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<sst xmlns="http://schemas.openxmlformats.org/spreadsheetml/2006/main" count="20824" uniqueCount="16481">
  <si>
    <t>person_id</t>
  </si>
  <si>
    <t>last_name</t>
  </si>
  <si>
    <t>first_name</t>
  </si>
  <si>
    <t>birth_date</t>
  </si>
  <si>
    <t>death_date</t>
  </si>
  <si>
    <t>sycomore_id</t>
  </si>
  <si>
    <t>senat_id</t>
  </si>
  <si>
    <t>wikidata_qid</t>
  </si>
  <si>
    <t>abbatucci_1857-11-02</t>
  </si>
  <si>
    <t>abbo_1883-06-26</t>
  </si>
  <si>
    <t>abeille_1843-02-14</t>
  </si>
  <si>
    <t>abel-bernard_1860-11-21</t>
  </si>
  <si>
    <t>abel_1863-01-12</t>
  </si>
  <si>
    <t>about_1890-03-17</t>
  </si>
  <si>
    <t>abrami_1879-07-01</t>
  </si>
  <si>
    <t>abrial_1836-12-28</t>
  </si>
  <si>
    <t>accambray_1868-05-02</t>
  </si>
  <si>
    <t>achard_1814-12-12</t>
  </si>
  <si>
    <t>adam-fontaine_1829-11-29</t>
  </si>
  <si>
    <t>adam_1800-01-28</t>
  </si>
  <si>
    <t>adam_1859-12-01</t>
  </si>
  <si>
    <t>adam_1883-02-20</t>
  </si>
  <si>
    <t>adam_1883-03-06</t>
  </si>
  <si>
    <t>adenis_1879-05-31</t>
  </si>
  <si>
    <t>adigard_1859-07-20</t>
  </si>
  <si>
    <t>adnet_1829-12-04</t>
  </si>
  <si>
    <t>adriani_1862-10-02</t>
  </si>
  <si>
    <t>aguillon_1851-10-14</t>
  </si>
  <si>
    <t>aiguier_1876-03-31</t>
  </si>
  <si>
    <t>aillaud_1857-03-31</t>
  </si>
  <si>
    <t>aimelafille_1844-09-28</t>
  </si>
  <si>
    <t>aimond_1850-11-03</t>
  </si>
  <si>
    <t>aimond_1878-10-29</t>
  </si>
  <si>
    <t>ajam_1861-06-11</t>
  </si>
  <si>
    <t>alasseur_1843-09-18</t>
  </si>
  <si>
    <t>albert leret d'aubigny_1875-07-06</t>
  </si>
  <si>
    <t>albert-favre_1868-07-12</t>
  </si>
  <si>
    <t>albert-favre_1868-07-27</t>
  </si>
  <si>
    <t>albert-le-roy_1856-12-10</t>
  </si>
  <si>
    <t>albert-poulain_1866-06-18</t>
  </si>
  <si>
    <t>albert-thomas_1878-06-16</t>
  </si>
  <si>
    <t>albert_1877-04-04</t>
  </si>
  <si>
    <t>albertin_1879-11-30</t>
  </si>
  <si>
    <t>albertini_1890-11-15</t>
  </si>
  <si>
    <t>aldy_1853-07-17</t>
  </si>
  <si>
    <t>alexandre-blanc_1874-09-14</t>
  </si>
  <si>
    <t>alheritiere_1882-02-01</t>
  </si>
  <si>
    <t>alibert_1887-02-17</t>
  </si>
  <si>
    <t>alicot_1842-07-17</t>
  </si>
  <si>
    <t>allain-targé_1832-05-07</t>
  </si>
  <si>
    <t>allain-targé_1832-05-17</t>
  </si>
  <si>
    <t>allard_1860-05-01</t>
  </si>
  <si>
    <t>allegre_1835-08-07</t>
  </si>
  <si>
    <t>allemand_1826-10-17</t>
  </si>
  <si>
    <t>allemand_1846-06-10</t>
  </si>
  <si>
    <t>allemane_1843-08-25</t>
  </si>
  <si>
    <t>allombert_1860-03-11</t>
  </si>
  <si>
    <t>allou_1820-03-06</t>
  </si>
  <si>
    <t>alphonse-rivière_1855-07-31</t>
  </si>
  <si>
    <t>altorffer_1881-01-30</t>
  </si>
  <si>
    <t>alès_1870-01-22</t>
  </si>
  <si>
    <t>amagat_1847-07-12</t>
  </si>
  <si>
    <t>amat_1877-06-14</t>
  </si>
  <si>
    <t>amat_1877-07-14</t>
  </si>
  <si>
    <t>ambrosini_1880-01-05</t>
  </si>
  <si>
    <t>ameline_1862-08-16</t>
  </si>
  <si>
    <t>amet_1870-09-28</t>
  </si>
  <si>
    <t>amiard_1872-04-04</t>
  </si>
  <si>
    <t>amic_1864-07-30</t>
  </si>
  <si>
    <t>amiot_1871-08-02</t>
  </si>
  <si>
    <t>amodru_1849-10-09</t>
  </si>
  <si>
    <t>amouroux_1843-12-21</t>
  </si>
  <si>
    <t>ancel-seitz_1846-06-26</t>
  </si>
  <si>
    <t>ancel_1812-10-16</t>
  </si>
  <si>
    <t>ancel_1844-10-04</t>
  </si>
  <si>
    <t>ancel_1846-06-07</t>
  </si>
  <si>
    <t>ancel_1870-07-01</t>
  </si>
  <si>
    <t>andraud_1895-04-09</t>
  </si>
  <si>
    <t>andre_1884-05-29</t>
  </si>
  <si>
    <t>andrieu_1862-12-20</t>
  </si>
  <si>
    <t>andrieux_1840-07-24</t>
  </si>
  <si>
    <t>andré-fribourg_1887-11-20</t>
  </si>
  <si>
    <t>andré-hesse_1874-04-22</t>
  </si>
  <si>
    <t>andré_1838-03-08</t>
  </si>
  <si>
    <t>andré_1852-08-23</t>
  </si>
  <si>
    <t>andré_1884-05-29</t>
  </si>
  <si>
    <t>angles_1838-10-24</t>
  </si>
  <si>
    <t>anglès_1887-10-21</t>
  </si>
  <si>
    <t>angoulvant_1872-02-08</t>
  </si>
  <si>
    <t>anne_1840-05-05</t>
  </si>
  <si>
    <t>anquetil_1873-10-31</t>
  </si>
  <si>
    <t>antier_1868-05-31</t>
  </si>
  <si>
    <t>antonelli_1879-08-24</t>
  </si>
  <si>
    <t>antériou_1887-06-14</t>
  </si>
  <si>
    <t>appell_1887-07-03</t>
  </si>
  <si>
    <t>arago_1812-08-06</t>
  </si>
  <si>
    <t>arago_1862-01-10</t>
  </si>
  <si>
    <t>arbel_1826-09-05</t>
  </si>
  <si>
    <t>arbel_1855-08-16</t>
  </si>
  <si>
    <t>arbouin_1849-11-30</t>
  </si>
  <si>
    <t>archambeaud_1868-03-17</t>
  </si>
  <si>
    <t>archdeacon_1864-12-24</t>
  </si>
  <si>
    <t>archer_1883-02-15</t>
  </si>
  <si>
    <t>archimbaud_1856-04-29</t>
  </si>
  <si>
    <t>archimbaud_1880-09-23</t>
  </si>
  <si>
    <t>arene_1856-01-01</t>
  </si>
  <si>
    <t>argeliès_1862-08-28</t>
  </si>
  <si>
    <t>armand_1829-03-06</t>
  </si>
  <si>
    <t>armbruster_1879-09-19</t>
  </si>
  <si>
    <t>armez_1838-08-19</t>
  </si>
  <si>
    <t>arnal_1873-03-18</t>
  </si>
  <si>
    <t>arnaudeau_1821-09-08</t>
  </si>
  <si>
    <t>arnault_1837-09-21</t>
  </si>
  <si>
    <t>arnould_1891-06-08</t>
  </si>
  <si>
    <t>arnoult_1832-06-09</t>
  </si>
  <si>
    <t>arnous_1846-06-30</t>
  </si>
  <si>
    <t>arrazat_1826-10-03</t>
  </si>
  <si>
    <t>arribat_1855-11-24</t>
  </si>
  <si>
    <t>artaud_1852-05-20</t>
  </si>
  <si>
    <t>artaud_1859-09-26</t>
  </si>
  <si>
    <t>arène_1856-01-01</t>
  </si>
  <si>
    <t>astier_1855-08-07</t>
  </si>
  <si>
    <t>astier_1856-02-23</t>
  </si>
  <si>
    <t>astier_1885-01-07</t>
  </si>
  <si>
    <t>astima_1826-08-07</t>
  </si>
  <si>
    <t>astor_1824-06-27</t>
  </si>
  <si>
    <t>aubaud_1881-11-03</t>
  </si>
  <si>
    <t>aube_1826-11-22</t>
  </si>
  <si>
    <t>auber_1867-04-29</t>
  </si>
  <si>
    <t>aubert_1878-08-25</t>
  </si>
  <si>
    <t>aubriot_1873-07-30</t>
  </si>
  <si>
    <t>aubry_1853-06-22</t>
  </si>
  <si>
    <t>aubry_1892-12-08</t>
  </si>
  <si>
    <t>aucoin_1834-08-25</t>
  </si>
  <si>
    <t>aucouturier_1835-12-23</t>
  </si>
  <si>
    <t>audiffred_1840-12-12</t>
  </si>
  <si>
    <t>audiguier_1863-03-01</t>
  </si>
  <si>
    <t>audren de kerdrel_1815-09-27</t>
  </si>
  <si>
    <t>audren de kerdrel_1841-02-28</t>
  </si>
  <si>
    <t>auffray_1852-11-03</t>
  </si>
  <si>
    <t>auffray_1887-12-20</t>
  </si>
  <si>
    <t>augagneur_1855-05-16</t>
  </si>
  <si>
    <t>augère_1824-05-10</t>
  </si>
  <si>
    <t>augé_1850-03-31</t>
  </si>
  <si>
    <t>augé_1852-08-10</t>
  </si>
  <si>
    <t>augé_1853-12-11</t>
  </si>
  <si>
    <t>augé_1873-08-11</t>
  </si>
  <si>
    <t>augé_1881-12-19</t>
  </si>
  <si>
    <t>aujame_1834-03-06</t>
  </si>
  <si>
    <t>aulois_1893-06-18</t>
  </si>
  <si>
    <t>auray_1879-09-15</t>
  </si>
  <si>
    <t>auricoste_1844-12-25</t>
  </si>
  <si>
    <t>aurin_1899-06-19</t>
  </si>
  <si>
    <t>auriol_1880-05-08</t>
  </si>
  <si>
    <t>auriol_1884-08-27</t>
  </si>
  <si>
    <t>aussoleil_1861-10-15</t>
  </si>
  <si>
    <t>authier_1856-06-16</t>
  </si>
  <si>
    <t>autrand_1878-11-30</t>
  </si>
  <si>
    <t>avez_1858-06-16</t>
  </si>
  <si>
    <t>avril_1888-12-04</t>
  </si>
  <si>
    <t>ayme_1836-05-20</t>
  </si>
  <si>
    <t>aymé-martin_1859-05-13</t>
  </si>
  <si>
    <t>aynard_1837-01-01</t>
  </si>
  <si>
    <t>azemar_1877-01-02</t>
  </si>
  <si>
    <t>babaud-lacroze_1846-11-29</t>
  </si>
  <si>
    <t>babaud-lacroze_1876-08-14</t>
  </si>
  <si>
    <t>babin-chevaye_1863-04-03</t>
  </si>
  <si>
    <t>bachelet_1852-09-07</t>
  </si>
  <si>
    <t>bachelet_1866-01-06</t>
  </si>
  <si>
    <t>bachelet_1878-11-17</t>
  </si>
  <si>
    <t>bachimont_1844-10-10</t>
  </si>
  <si>
    <t>bacquet_1881-12-29</t>
  </si>
  <si>
    <t>bacquias_1825-04-18</t>
  </si>
  <si>
    <t>baduel_1844-04-25</t>
  </si>
  <si>
    <t>baduel_1859-06-08</t>
  </si>
  <si>
    <t>bagneux_1845-07-26</t>
  </si>
  <si>
    <t>bagnol_1862-07-08</t>
  </si>
  <si>
    <t>bahier_1887-09-11</t>
  </si>
  <si>
    <t>bail-maignan_1886-10-06</t>
  </si>
  <si>
    <t>bail_1857-06-15</t>
  </si>
  <si>
    <t>bail_1898-08-04</t>
  </si>
  <si>
    <t>baile_1833-07-31</t>
  </si>
  <si>
    <t>baillardel de lareinty_1824-01-19</t>
  </si>
  <si>
    <t>balanant_1888-07-03</t>
  </si>
  <si>
    <t>balandreau_1843-09-19</t>
  </si>
  <si>
    <t>balesi_1850-09-21</t>
  </si>
  <si>
    <t>balitrand_1864-08-09</t>
  </si>
  <si>
    <t>ballande_1857-09-22</t>
  </si>
  <si>
    <t>ballu_1885-05-27</t>
  </si>
  <si>
    <t>ballue_1835-12-16</t>
  </si>
  <si>
    <t>balsan_1838-04-16</t>
  </si>
  <si>
    <t>baltet_1832-11-25</t>
  </si>
  <si>
    <t>bar_1842-02-04</t>
  </si>
  <si>
    <t>bar_1853-04-28</t>
  </si>
  <si>
    <t>barabant_1874-11-09</t>
  </si>
  <si>
    <t>baradé_1882-12-03</t>
  </si>
  <si>
    <t>baragnon_1835-11-24</t>
  </si>
  <si>
    <t>baranton_1895-11-10</t>
  </si>
  <si>
    <t>barascud_1819-06-10</t>
  </si>
  <si>
    <t>barbançois_1869-05-04</t>
  </si>
  <si>
    <t>barbaza_1845-10-24</t>
  </si>
  <si>
    <t>barbe_1836-02-04</t>
  </si>
  <si>
    <t>barbecot_1876-08-03</t>
  </si>
  <si>
    <t>barbedette_1827-03-17</t>
  </si>
  <si>
    <t>barbero_1870-08-24</t>
  </si>
  <si>
    <t>barbey_1831-09-02</t>
  </si>
  <si>
    <t>barbier_1853-01-31</t>
  </si>
  <si>
    <t>barbier_1885-03-03</t>
  </si>
  <si>
    <t>barbin_1876-07-19</t>
  </si>
  <si>
    <t>barbot_1893-04-27</t>
  </si>
  <si>
    <t>barbotin_1831-03-13</t>
  </si>
  <si>
    <t>barbé_1836-02-04</t>
  </si>
  <si>
    <t>barbé_1863-10-31</t>
  </si>
  <si>
    <t>bardon_1901-01-10</t>
  </si>
  <si>
    <t>bardoul_1892-12-27</t>
  </si>
  <si>
    <t>bardoux_1829-01-15</t>
  </si>
  <si>
    <t>bardoux_1874-05-27</t>
  </si>
  <si>
    <t>bargy_1847-06-22</t>
  </si>
  <si>
    <t>barillet_1871-01-25</t>
  </si>
  <si>
    <t>barillet_1881-04-10</t>
  </si>
  <si>
    <t>barne_1831-09-09</t>
  </si>
  <si>
    <t>barodet_1823-07-27</t>
  </si>
  <si>
    <t>baron_1859-12-23</t>
  </si>
  <si>
    <t>baron_1876-05-16</t>
  </si>
  <si>
    <t>baron_1878-03-03</t>
  </si>
  <si>
    <t>baron_1885-02-15</t>
  </si>
  <si>
    <t>barouille_1840-08-30</t>
  </si>
  <si>
    <t>baroux_1881-12-31</t>
  </si>
  <si>
    <t>barra_1870-06-22</t>
  </si>
  <si>
    <t>barrachin_1900-01-12</t>
  </si>
  <si>
    <t>barriere_1830-09-27</t>
  </si>
  <si>
    <t>barrière_1837-09-26</t>
  </si>
  <si>
    <t>barrois_1857-02-10</t>
  </si>
  <si>
    <t>barrot_1806-01-10</t>
  </si>
  <si>
    <t>barrès_1862-09-22</t>
  </si>
  <si>
    <t>barré_1836-11-05</t>
  </si>
  <si>
    <t>barthe_1813-01-15</t>
  </si>
  <si>
    <t>barthe_1882-05-26</t>
  </si>
  <si>
    <t>barthelemy saint-hilaire_1805-08-19</t>
  </si>
  <si>
    <t>bartholoni_1881-06-22</t>
  </si>
  <si>
    <t>barthou_1862-08-23</t>
  </si>
  <si>
    <t>barthou_1862-08-25</t>
  </si>
  <si>
    <t>barthélemy_1874-07-09</t>
  </si>
  <si>
    <t>barthélemy_1882-11-01</t>
  </si>
  <si>
    <t>barthélemy_1897-06-15</t>
  </si>
  <si>
    <t>bartissol_1841-12-20</t>
  </si>
  <si>
    <t>bartoli_1814-12-27</t>
  </si>
  <si>
    <t>bartoli_1822-05-11</t>
  </si>
  <si>
    <t>bartolini_1899-05-10</t>
  </si>
  <si>
    <t>barès_1872-11-21</t>
  </si>
  <si>
    <t>baréty_1883-10-18</t>
  </si>
  <si>
    <t>bascou_1865-02-09</t>
  </si>
  <si>
    <t>basly_1854-03-29</t>
  </si>
  <si>
    <t>basquin_1895-01-27</t>
  </si>
  <si>
    <t>basset_1889-07-21</t>
  </si>
  <si>
    <t>bassetière_1825-03-09</t>
  </si>
  <si>
    <t>bassetière_1857-05-24</t>
  </si>
  <si>
    <t>bassinet_1850-05-16</t>
  </si>
  <si>
    <t>bastid_1853-10-01</t>
  </si>
  <si>
    <t>bastid_1892-05-17</t>
  </si>
  <si>
    <t>bastide_1831-10-19</t>
  </si>
  <si>
    <t>bastide_1876-08-29</t>
  </si>
  <si>
    <t>baston de la riboisiere_1856-01-01</t>
  </si>
  <si>
    <t>bataille_1848-01-15</t>
  </si>
  <si>
    <t>bataille_1887-11-12</t>
  </si>
  <si>
    <t>batbie_1828-05-31</t>
  </si>
  <si>
    <t>batie_1832-09-08</t>
  </si>
  <si>
    <t>batiot_1843-04-08</t>
  </si>
  <si>
    <t>batiot_1845-08-17</t>
  </si>
  <si>
    <t>battle_1859-12-10</t>
  </si>
  <si>
    <t>batut_1854-05-09</t>
  </si>
  <si>
    <t>baucarne-leroux_1817-01-06</t>
  </si>
  <si>
    <t>baudens_1843-10-01</t>
  </si>
  <si>
    <t>baudet_1852-01-16</t>
  </si>
  <si>
    <t>baudet_1857-01-09</t>
  </si>
  <si>
    <t>baudin_1853-08-29</t>
  </si>
  <si>
    <t>baudin_1863-08-21</t>
  </si>
  <si>
    <t>baudon_1869-01-26</t>
  </si>
  <si>
    <t>baudouin-bugnet_1889-08-06</t>
  </si>
  <si>
    <t>baudouin_1894-12-19</t>
  </si>
  <si>
    <t>baudry_1891-11-01</t>
  </si>
  <si>
    <t>baufle_1886-09-17</t>
  </si>
  <si>
    <t>baulard_1827-02-11</t>
  </si>
  <si>
    <t>bavoux_1817-04-07</t>
  </si>
  <si>
    <t>baylet_1867-10-14</t>
  </si>
  <si>
    <t>bayol_1830-01-05</t>
  </si>
  <si>
    <t>bayol_1849-12-24</t>
  </si>
  <si>
    <t>bazile_1883-02-16</t>
  </si>
  <si>
    <t>bazille_1812-09-29</t>
  </si>
  <si>
    <t>bazille_1854-05-01</t>
  </si>
  <si>
    <t>bazillon_1847-01-10</t>
  </si>
  <si>
    <t>bazire_1852-04-02</t>
  </si>
  <si>
    <t>bazire_1877-09-30</t>
  </si>
  <si>
    <t>baïhaut_1843-04-02</t>
  </si>
  <si>
    <t>beaugrand_1893-10-24</t>
  </si>
  <si>
    <t>beauguitte_1901-07-06</t>
  </si>
  <si>
    <t>beaumont_1870-06-10</t>
  </si>
  <si>
    <t>beaupin_1842-02-12</t>
  </si>
  <si>
    <t>beauquier_1833-12-18</t>
  </si>
  <si>
    <t>beauregard_1853-10-13</t>
  </si>
  <si>
    <t>beauregard_1854-02-19</t>
  </si>
  <si>
    <t>beauregard_1862-10-11</t>
  </si>
  <si>
    <t>beaussier_1826-01-24</t>
  </si>
  <si>
    <t>beauvillain_1878-12-27</t>
  </si>
  <si>
    <t>beauvisage_1852-01-29</t>
  </si>
  <si>
    <t>becays_1870-09-14</t>
  </si>
  <si>
    <t>bedouce_1869-01-08</t>
  </si>
  <si>
    <t>bedu_1876-01-07</t>
  </si>
  <si>
    <t>begey_1857-10-19</t>
  </si>
  <si>
    <t>bel_1805-11-25</t>
  </si>
  <si>
    <t>belcastel_1860-10-01</t>
  </si>
  <si>
    <t>belhomme_1848-10-08</t>
  </si>
  <si>
    <t>bellamy_1866-10-27</t>
  </si>
  <si>
    <t>bellanger_1884-01-03</t>
  </si>
  <si>
    <t>belle_1824-12-08</t>
  </si>
  <si>
    <t>bellet_1880-08-03</t>
  </si>
  <si>
    <t>belleval_1860-01-20</t>
  </si>
  <si>
    <t>bellier_1854-09-10</t>
  </si>
  <si>
    <t>bellocq_1880-03-10</t>
  </si>
  <si>
    <t>bellot_1824-06-19</t>
  </si>
  <si>
    <t>belmont_1892-12-22</t>
  </si>
  <si>
    <t>belon_1834-01-06</t>
  </si>
  <si>
    <t>bels_1882-10-25</t>
  </si>
  <si>
    <t>beltrémieux_1876-03-15</t>
  </si>
  <si>
    <t>beluel_1885-02-21</t>
  </si>
  <si>
    <t>benard_1882-01-10</t>
  </si>
  <si>
    <t>benazet paul,_1843-11-22</t>
  </si>
  <si>
    <t>benazet paul,_1876-02-24</t>
  </si>
  <si>
    <t>bender_1871-09-06</t>
  </si>
  <si>
    <t>benoist_1821-02-20</t>
  </si>
  <si>
    <t>benoist_1842-06-11</t>
  </si>
  <si>
    <t>benoist_1843-05-17</t>
  </si>
  <si>
    <t>benoist_1881-11-30</t>
  </si>
  <si>
    <t>benoit_1838-05-12</t>
  </si>
  <si>
    <t>bepmale_1852-09-01</t>
  </si>
  <si>
    <t>bepmale_1859-09-01</t>
  </si>
  <si>
    <t>beral_1838-08-01</t>
  </si>
  <si>
    <t>beraldi_1821-08-24</t>
  </si>
  <si>
    <t>berard_1859-02-03</t>
  </si>
  <si>
    <t>berard_1864-08-10</t>
  </si>
  <si>
    <t>berard_1876-01-06</t>
  </si>
  <si>
    <t>beraud_1858-01-17</t>
  </si>
  <si>
    <t>berdoly_1844-02-29</t>
  </si>
  <si>
    <t>berenger_1829-11-23</t>
  </si>
  <si>
    <t>berenger_1830-04-22</t>
  </si>
  <si>
    <t>berenger_1867-04-22</t>
  </si>
  <si>
    <t>berge_1845-06-21</t>
  </si>
  <si>
    <t>bergeon_1828-07-21</t>
  </si>
  <si>
    <t>bergeon_1870-02-11</t>
  </si>
  <si>
    <t>berger_1829-01-10</t>
  </si>
  <si>
    <t>berger_1834-10-05</t>
  </si>
  <si>
    <t>berger_1846-09-15</t>
  </si>
  <si>
    <t>berger_1852-09-25</t>
  </si>
  <si>
    <t>berger_1873-10-27</t>
  </si>
  <si>
    <t>berger_1885-06-07</t>
  </si>
  <si>
    <t>bergerot_1820-09-07</t>
  </si>
  <si>
    <t>bergerot_1861-03-30</t>
  </si>
  <si>
    <t>bergery_1892-11-22</t>
  </si>
  <si>
    <t>bergey_1881-04-19</t>
  </si>
  <si>
    <t>berlet_1837-10-18</t>
  </si>
  <si>
    <t>berlia_1878-05-23</t>
  </si>
  <si>
    <t>berlié_1850-05-03</t>
  </si>
  <si>
    <t>bernachon_1876-12-13</t>
  </si>
  <si>
    <t>bernard-dutreil_1831-11-01</t>
  </si>
  <si>
    <t>bernard_1824-12-01</t>
  </si>
  <si>
    <t>bernard_1831-07-30</t>
  </si>
  <si>
    <t>bernard_1836-11-11</t>
  </si>
  <si>
    <t>bernard_1862-05-31</t>
  </si>
  <si>
    <t>bernard_1875-12-12</t>
  </si>
  <si>
    <t>bernard_1877-05-05</t>
  </si>
  <si>
    <t>bernard_1886-01-26</t>
  </si>
  <si>
    <t>berne-lagarde_1850-11-15</t>
  </si>
  <si>
    <t>bernere_1856-10-14</t>
  </si>
  <si>
    <t>bernex_1893-10-26</t>
  </si>
  <si>
    <t>bernier_1809-01-28</t>
  </si>
  <si>
    <t>bernier_1864-04-12</t>
  </si>
  <si>
    <t>bernier_1866-07-10</t>
  </si>
  <si>
    <t>bernier_1868-07-10</t>
  </si>
  <si>
    <t>berniolle_1855-05-14</t>
  </si>
  <si>
    <t>bernis_1839-02-03</t>
  </si>
  <si>
    <t>bernis_1842-01-08</t>
  </si>
  <si>
    <t>bernot_1842-06-10</t>
  </si>
  <si>
    <t>berquet_1860-08-26</t>
  </si>
  <si>
    <t>berry_1855-03-08</t>
  </si>
  <si>
    <t>bersez_1857-01-22</t>
  </si>
  <si>
    <t>bert_1833-10-17</t>
  </si>
  <si>
    <t>bert_1833-10-19</t>
  </si>
  <si>
    <t>bertauld_1812-06-09</t>
  </si>
  <si>
    <t>berteaux_1852-06-03</t>
  </si>
  <si>
    <t>berthelemot_1877-06-21</t>
  </si>
  <si>
    <t>berthelot_1827-10-25</t>
  </si>
  <si>
    <t>berthelot_1862-05-20</t>
  </si>
  <si>
    <t>berthet_1857-08-22</t>
  </si>
  <si>
    <t>berthet_1861-09-29</t>
  </si>
  <si>
    <t>berthod_1878-08-09</t>
  </si>
  <si>
    <t>bertholon_1818-01-18</t>
  </si>
  <si>
    <t>berthon_1860-10-06</t>
  </si>
  <si>
    <t>berthon_1882-07-21</t>
  </si>
  <si>
    <t>berthoulat_1859-08-16</t>
  </si>
  <si>
    <t>berthézenne_1871-01-30</t>
  </si>
  <si>
    <t>berton_1859-03-12</t>
  </si>
  <si>
    <t>bertrand_1808-09-18</t>
  </si>
  <si>
    <t>bertrand_1847-10-09</t>
  </si>
  <si>
    <t>bertrand_1847-12-11</t>
  </si>
  <si>
    <t>bertrand_1864-01-19</t>
  </si>
  <si>
    <t>bertrand_1881-11-09</t>
  </si>
  <si>
    <t>bertrand_1884-05-26</t>
  </si>
  <si>
    <t>besnard-ferron_1873-05-13</t>
  </si>
  <si>
    <t>besnard_1833-10-11</t>
  </si>
  <si>
    <t>besnard_1858-06-06</t>
  </si>
  <si>
    <t>besnard_1879-04-12</t>
  </si>
  <si>
    <t>besse_1891-02-20</t>
  </si>
  <si>
    <t>besset_1892-01-04</t>
  </si>
  <si>
    <t>besson_1898-06-06</t>
  </si>
  <si>
    <t>bessonneau_1880-05-19</t>
  </si>
  <si>
    <t>betfert_1874-04-18</t>
  </si>
  <si>
    <t>bethmont_1833-10-12</t>
  </si>
  <si>
    <t>betoulle_1871-10-25</t>
  </si>
  <si>
    <t>bezanson_1825-01-25</t>
  </si>
  <si>
    <t>bezine_1854-06-11</t>
  </si>
  <si>
    <t>bibié_1891-01-11</t>
  </si>
  <si>
    <t>bichon_1848-11-26</t>
  </si>
  <si>
    <t>bidault_1851-03-15</t>
  </si>
  <si>
    <t>bienaimé_1843-02-26</t>
  </si>
  <si>
    <t>bienvenu-martin_1847-07-22</t>
  </si>
  <si>
    <t>bienvenu_1835-11-19</t>
  </si>
  <si>
    <t>bignon_1858-04-14</t>
  </si>
  <si>
    <t>bigot_1831-01-18</t>
  </si>
  <si>
    <t>bilger_1879-10-17</t>
  </si>
  <si>
    <t>biliais_1836-03-22</t>
  </si>
  <si>
    <t>billiet_1873-07-01</t>
  </si>
  <si>
    <t>billot_1828-08-15</t>
  </si>
  <si>
    <t>bimorel_1842-01-05</t>
  </si>
  <si>
    <t>binachon_1816-03-21</t>
  </si>
  <si>
    <t>binder_1857-03-21</t>
  </si>
  <si>
    <t>binet_1880-05-04</t>
  </si>
  <si>
    <t>bire_1826-09-29</t>
  </si>
  <si>
    <t>biré_1863-10-22</t>
  </si>
  <si>
    <t>bisaccia_1825-09-14</t>
  </si>
  <si>
    <t>bischoffsheim_1823-07-22</t>
  </si>
  <si>
    <t>bisseuil_1833-04-23</t>
  </si>
  <si>
    <t>bizarelli_1836-01-25</t>
  </si>
  <si>
    <t>bizarelli_1836-07-25</t>
  </si>
  <si>
    <t>bizet_1875-11-07</t>
  </si>
  <si>
    <t>bizot de fonteny_1825-08-29</t>
  </si>
  <si>
    <t>bizot_1855-01-05</t>
  </si>
  <si>
    <t>bizouard-bert_1826-06-10</t>
  </si>
  <si>
    <t>biétry_1872-05-09</t>
  </si>
  <si>
    <t>blachez_1861-09-13</t>
  </si>
  <si>
    <t>blachère_1837-05-03</t>
  </si>
  <si>
    <t>blacque-belair_1898-08-21</t>
  </si>
  <si>
    <t>blaignan_1871-12-20</t>
  </si>
  <si>
    <t>blaisot_1881-01-19</t>
  </si>
  <si>
    <t>blanc_1806-06-20</t>
  </si>
  <si>
    <t>blanc_1811-10-29</t>
  </si>
  <si>
    <t>blanc_1817-08-05</t>
  </si>
  <si>
    <t>blanc_1832-11-11</t>
  </si>
  <si>
    <t>blanc_1838-04-14</t>
  </si>
  <si>
    <t>blanc_1848-07-23</t>
  </si>
  <si>
    <t>blanc_1856-02-22</t>
  </si>
  <si>
    <t>blanc_1858-01-07</t>
  </si>
  <si>
    <t>blanc_1858-05-12</t>
  </si>
  <si>
    <t>blanc_1863-06-19</t>
  </si>
  <si>
    <t>blanc_1873-06-21</t>
  </si>
  <si>
    <t>blanchard_1852-01-10</t>
  </si>
  <si>
    <t>blanchet_1862-04-25</t>
  </si>
  <si>
    <t>blanchier_1850-09-03</t>
  </si>
  <si>
    <t>blancho_1893-06-28</t>
  </si>
  <si>
    <t>blanchoin_1902-08-17</t>
  </si>
  <si>
    <t>blancsubé_1834-12-11</t>
  </si>
  <si>
    <t>blandin_1830-07-28</t>
  </si>
  <si>
    <t>blatin_1841-08-01</t>
  </si>
  <si>
    <t>blavier_1827-08-21</t>
  </si>
  <si>
    <t>bloncourt_1896-05-05</t>
  </si>
  <si>
    <t>blondel_1877-04-29</t>
  </si>
  <si>
    <t>bloud_1876-12-10</t>
  </si>
  <si>
    <t>blum_1872-04-09</t>
  </si>
  <si>
    <t>bluysen_1861-04-10</t>
  </si>
  <si>
    <t>blériot_1891-07-29</t>
  </si>
  <si>
    <t>boccard_1869-04-21</t>
  </si>
  <si>
    <t>bocher_1811-02-16</t>
  </si>
  <si>
    <t>bodan_1827-05-23</t>
  </si>
  <si>
    <t>bodinier_1847-05-30</t>
  </si>
  <si>
    <t>boffinton_1817-08-27</t>
  </si>
  <si>
    <t>bois_1848-04-29</t>
  </si>
  <si>
    <t>boisboissel_1849-09-28</t>
  </si>
  <si>
    <t>boissard_1870-12-11</t>
  </si>
  <si>
    <t>boisse_1810-09-16</t>
  </si>
  <si>
    <t>boisseau_1884-08-27</t>
  </si>
  <si>
    <t>boissel-dombreval_1864-04-10</t>
  </si>
  <si>
    <t>boissel_1840-01-14</t>
  </si>
  <si>
    <t>boisserin_1852-06-08</t>
  </si>
  <si>
    <t>boissier_1834-11-23</t>
  </si>
  <si>
    <t>boissieu_1871-05-26</t>
  </si>
  <si>
    <t>boissin_1869-01-15</t>
  </si>
  <si>
    <t>boissy d'anglas_1846-02-19</t>
  </si>
  <si>
    <t>boivin-champeaux_1854-06-21</t>
  </si>
  <si>
    <t>boivin-champeaux_1887-08-12</t>
  </si>
  <si>
    <t>bokanowski_1879-08-31</t>
  </si>
  <si>
    <t>bollet_1851-10-02</t>
  </si>
  <si>
    <t>bompard_1854-05-17</t>
  </si>
  <si>
    <t>bompard_1860-12-17</t>
  </si>
  <si>
    <t>bon_1872-10-18</t>
  </si>
  <si>
    <t>bon_1875-07-27</t>
  </si>
  <si>
    <t>bonard_1855-03-31</t>
  </si>
  <si>
    <t>bonin_1879-08-26</t>
  </si>
  <si>
    <t>bonnail_1852-11-13</t>
  </si>
  <si>
    <t>bonnaure_1886-01-21</t>
  </si>
  <si>
    <t>bonnefille_1841-12-14</t>
  </si>
  <si>
    <t>bonnefous_1859-09-07</t>
  </si>
  <si>
    <t>bonnefous_1867-11-30</t>
  </si>
  <si>
    <t>bonnefoy-sibour_1849-09-28</t>
  </si>
  <si>
    <t>bonnefoy-sibourg_1849-09-28</t>
  </si>
  <si>
    <t>bonnelat_1845-06-17</t>
  </si>
  <si>
    <t>bonnerot_1838-05-31</t>
  </si>
  <si>
    <t>bonnet de paillerets_1867-09-11</t>
  </si>
  <si>
    <t>bonnet louis_1815-10-06</t>
  </si>
  <si>
    <t>bonnet-duverdier_1824-09-13</t>
  </si>
  <si>
    <t>bonnet_1856-06-01</t>
  </si>
  <si>
    <t>bonnet_1889-07-23</t>
  </si>
  <si>
    <t>bonneval_1838-11-05</t>
  </si>
  <si>
    <t>bonnevay_1870-07-18</t>
  </si>
  <si>
    <t>bonnevay_1870-07-28</t>
  </si>
  <si>
    <t>bonniard_1855-04-03</t>
  </si>
  <si>
    <t>bonte_1853-06-02</t>
  </si>
  <si>
    <t>bontemps_1840-04-22</t>
  </si>
  <si>
    <t>bontoux_1846-12-13</t>
  </si>
  <si>
    <t>bonvalot_1853-07-14</t>
  </si>
  <si>
    <t>bony-cisternes_1847-12-15</t>
  </si>
  <si>
    <t>borda_1823-10-28</t>
  </si>
  <si>
    <t>borderie_1861-08-21</t>
  </si>
  <si>
    <t>bordes-pages_1815-05-20</t>
  </si>
  <si>
    <t>bordet_1829-04-07</t>
  </si>
  <si>
    <t>bordier_1855-01-28</t>
  </si>
  <si>
    <t>boreau-lajanadie_1825-10-20</t>
  </si>
  <si>
    <t>borel_1871-01-07</t>
  </si>
  <si>
    <t>boret_1872-08-18</t>
  </si>
  <si>
    <t>borgeot_1876-02-01</t>
  </si>
  <si>
    <t>borgne_1844-09-01</t>
  </si>
  <si>
    <t>borgnet_1846-02-03</t>
  </si>
  <si>
    <t>borgo_1858-02-27</t>
  </si>
  <si>
    <t>borie_1843-03-21</t>
  </si>
  <si>
    <t>bories_1852-02-15</t>
  </si>
  <si>
    <t>borne_1850-02-01</t>
  </si>
  <si>
    <t>borrel_1878-11-22</t>
  </si>
  <si>
    <t>borriglione_1841-02-17</t>
  </si>
  <si>
    <t>bory_1844-07-08</t>
  </si>
  <si>
    <t>bos_1862-02-01</t>
  </si>
  <si>
    <t>bosc_1827-02-11</t>
  </si>
  <si>
    <t>bosc_1875-09-18</t>
  </si>
  <si>
    <t>boscher-delangle_1840-05-13</t>
  </si>
  <si>
    <t>bosquette_1872-08-31</t>
  </si>
  <si>
    <t>bostquénard_1851-11-20</t>
  </si>
  <si>
    <t>bottieau_1822-09-12</t>
  </si>
  <si>
    <t>bouat_1873-03-31</t>
  </si>
  <si>
    <t>boucau_1826-12-26</t>
  </si>
  <si>
    <t>boucher-cadart_1836-05-17</t>
  </si>
  <si>
    <t>boucher_1829-09-23</t>
  </si>
  <si>
    <t>boucher_1847-09-19</t>
  </si>
  <si>
    <t>boucheron_1880-12-25</t>
  </si>
  <si>
    <t>bouchet_1840-12-28</t>
  </si>
  <si>
    <t>boucq_1868-06-08</t>
  </si>
  <si>
    <t>bouctot_1855-06-29</t>
  </si>
  <si>
    <t>boudeau_1852-02-04</t>
  </si>
  <si>
    <t>boudenoot_1855-05-02</t>
  </si>
  <si>
    <t>boudet_1874-09-10</t>
  </si>
  <si>
    <t>boudeville_1824-09-23</t>
  </si>
  <si>
    <t>boudin_1860-05-25</t>
  </si>
  <si>
    <t>boudoint_1860-01-16</t>
  </si>
  <si>
    <t>bouffandeau_1855-04-21</t>
  </si>
  <si>
    <t>bouffier_1835-08-13</t>
  </si>
  <si>
    <t>bouge_1853-06-23</t>
  </si>
  <si>
    <t>bougere_1868-07-26</t>
  </si>
  <si>
    <t>bougon_1850-02-10</t>
  </si>
  <si>
    <t>bouguen_1882-07-20</t>
  </si>
  <si>
    <t>bougues_1848-03-07</t>
  </si>
  <si>
    <t>bougues_1876-08-20</t>
  </si>
  <si>
    <t>bougère_1864-12-14</t>
  </si>
  <si>
    <t>bougère_1868-07-26</t>
  </si>
  <si>
    <t>bouhenry_1873-11-23</t>
  </si>
  <si>
    <t>bouhey-allex_1855-02-03</t>
  </si>
  <si>
    <t>bouilliez-bridou_1815-01-01</t>
  </si>
  <si>
    <t>bouilliez_1839-01-23</t>
  </si>
  <si>
    <t>bouilloux-lafont_1875-04-10</t>
  </si>
  <si>
    <t>bouisson_1874-06-16</t>
  </si>
  <si>
    <t>bouissoud_1880-07-30</t>
  </si>
  <si>
    <t>boulanger-bernet_1831-01-12</t>
  </si>
  <si>
    <t>boulanger_1831-10-12</t>
  </si>
  <si>
    <t>boulanger_1837-04-29</t>
  </si>
  <si>
    <t>boulanger_1854-01-14</t>
  </si>
  <si>
    <t>boularan_1850-03-30</t>
  </si>
  <si>
    <t>boulard_1825-04-03</t>
  </si>
  <si>
    <t>boulay_1889-07-14</t>
  </si>
  <si>
    <t>bouligand_1866-11-22</t>
  </si>
  <si>
    <t>boullay_1825-05-16</t>
  </si>
  <si>
    <t>boully_1877-02-20</t>
  </si>
  <si>
    <t>bouniols_1872-03-01</t>
  </si>
  <si>
    <t>bourcy_1829-10-01</t>
  </si>
  <si>
    <t>bourdeaux_1869-05-02</t>
  </si>
  <si>
    <t>bourdon_1837-05-20</t>
  </si>
  <si>
    <t>bourdonnaye_1837-05-12</t>
  </si>
  <si>
    <t>bourely_1867-12-08</t>
  </si>
  <si>
    <t>bourganel_1850-02-18</t>
  </si>
  <si>
    <t>bourgeat_1840-11-09</t>
  </si>
  <si>
    <t>bourgeois-du-jura_1831-02-19</t>
  </si>
  <si>
    <t>bourgeois_1827-03-06</t>
  </si>
  <si>
    <t>bourgeois_1831-02-19</t>
  </si>
  <si>
    <t>bourgeois_1851-05-29</t>
  </si>
  <si>
    <t>bourgeois_1857-02-21</t>
  </si>
  <si>
    <t>bourgier_1872-08-20</t>
  </si>
  <si>
    <t>bourgoin_1836-05-27</t>
  </si>
  <si>
    <t>bourgoing_1827-10-22</t>
  </si>
  <si>
    <t>bourgot_1879-08-04</t>
  </si>
  <si>
    <t>bourguet_1876-05-22</t>
  </si>
  <si>
    <t>bourlier_1830-04-05</t>
  </si>
  <si>
    <t>bourlois_1893-06-09</t>
  </si>
  <si>
    <t>bourneville_1840-10-21</t>
  </si>
  <si>
    <t>bourrat_1859-12-12</t>
  </si>
  <si>
    <t>bourrillon_1840-11-08</t>
  </si>
  <si>
    <t>bourrillon_1853-09-15</t>
  </si>
  <si>
    <t>boury_1857-10-14</t>
  </si>
  <si>
    <t>bousgarbiès_1889-02-19</t>
  </si>
  <si>
    <t>bousquet_1839-04-20</t>
  </si>
  <si>
    <t>bousquet_1879-07-08</t>
  </si>
  <si>
    <t>boussenot_1876-07-25</t>
  </si>
  <si>
    <t>boussuges_1848-08-27</t>
  </si>
  <si>
    <t>boutard_1862-07-23</t>
  </si>
  <si>
    <t>boutaud_1866-03-19</t>
  </si>
  <si>
    <t>bouteille_1825-11-13</t>
  </si>
  <si>
    <t>bouteille_1880-11-08</t>
  </si>
  <si>
    <t>boutet_1865-06-17</t>
  </si>
  <si>
    <t>bouthillier_1901-02-26</t>
  </si>
  <si>
    <t>bouttié_1844-11-03</t>
  </si>
  <si>
    <t>boutton_1883-12-10</t>
  </si>
  <si>
    <t>bouvart_1864-07-03</t>
  </si>
  <si>
    <t>bouvattier_1843-09-09</t>
  </si>
  <si>
    <t>bouveri_1865-07-18</t>
  </si>
  <si>
    <t>bouvet_1855-10-31</t>
  </si>
  <si>
    <t>bouvier_1854-09-01</t>
  </si>
  <si>
    <t>bouyssou_1872-12-02</t>
  </si>
  <si>
    <t>boué de lapeyrère_1852-01-18</t>
  </si>
  <si>
    <t>boué_1870-12-30</t>
  </si>
  <si>
    <t>bovier-lapierre_1837-03-27</t>
  </si>
  <si>
    <t>bovier-lapierre_1883-04-28</t>
  </si>
  <si>
    <t>boyer_1823-10-12</t>
  </si>
  <si>
    <t>boyer_1850-10-26</t>
  </si>
  <si>
    <t>boyer_1882-11-22</t>
  </si>
  <si>
    <t>boyer_1887-11-07</t>
  </si>
  <si>
    <t>boyer_1888-12-15</t>
  </si>
  <si>
    <t>boysset_1817-04-29</t>
  </si>
  <si>
    <t>bozerian_1825-10-28</t>
  </si>
  <si>
    <t>bozonet_1852-01-10</t>
  </si>
  <si>
    <t>bozérian_1853-07-16</t>
  </si>
  <si>
    <t>boüessé_1891-07-16</t>
  </si>
  <si>
    <t>brachard_1887-04-29</t>
  </si>
  <si>
    <t>bracke-desrousseaux_1861-09-29</t>
  </si>
  <si>
    <t>brager de la ville-moysan_1862-06-16</t>
  </si>
  <si>
    <t>braibant_1863-09-16</t>
  </si>
  <si>
    <t>braise_1893-04-09</t>
  </si>
  <si>
    <t>brame_1839-08-16</t>
  </si>
  <si>
    <t>brandon_1878-03-24</t>
  </si>
  <si>
    <t>brangier_1859-09-07</t>
  </si>
  <si>
    <t>brard mathurin dit_1876-07-23</t>
  </si>
  <si>
    <t>brard_1867-07-23</t>
  </si>
  <si>
    <t>bras_1859-03-07</t>
  </si>
  <si>
    <t>brasseau_1879-09-21</t>
  </si>
  <si>
    <t>braud_1846-08-11</t>
  </si>
  <si>
    <t>bravet_1820-06-30</t>
  </si>
  <si>
    <t>bravet_1873-11-15</t>
  </si>
  <si>
    <t>brecq_1876-03-13</t>
  </si>
  <si>
    <t>brelay_1817-12-07</t>
  </si>
  <si>
    <t>brenier_1876-04-23</t>
  </si>
  <si>
    <t>bresson_1826-06-27</t>
  </si>
  <si>
    <t>bret_1885-09-21</t>
  </si>
  <si>
    <t>breteau_1862-05-28</t>
  </si>
  <si>
    <t>breteuil_1848-09-17</t>
  </si>
  <si>
    <t>breton andré dit_1897-04-01</t>
  </si>
  <si>
    <t>breton_1841-04-19</t>
  </si>
  <si>
    <t>breton_1865-03-24</t>
  </si>
  <si>
    <t>breton_1872-04-01</t>
  </si>
  <si>
    <t>breton_1897-04-03</t>
  </si>
  <si>
    <t>brialou_1833-02-14</t>
  </si>
  <si>
    <t>briand_1862-03-28</t>
  </si>
  <si>
    <t>brice_1830-10-28</t>
  </si>
  <si>
    <t>brice_1839-06-23</t>
  </si>
  <si>
    <t>briens_1835-08-13</t>
  </si>
  <si>
    <t>brierre_1818-01-14</t>
  </si>
  <si>
    <t>briffaut_1857-07-30</t>
  </si>
  <si>
    <t>brigault_1886-09-15</t>
  </si>
  <si>
    <t>brincard_1842-03-11</t>
  </si>
  <si>
    <t>brindeau_1856-12-21</t>
  </si>
  <si>
    <t>bringer_1872-08-03</t>
  </si>
  <si>
    <t>briquet_1875-11-04</t>
  </si>
  <si>
    <t>briquet_1880-03-10</t>
  </si>
  <si>
    <t>brisson_1835-07-31</t>
  </si>
  <si>
    <t>brisson_1837-08-09</t>
  </si>
  <si>
    <t>brisson_1857-03-28</t>
  </si>
  <si>
    <t>brizon_1878-05-16</t>
  </si>
  <si>
    <t>brière_1873-12-13</t>
  </si>
  <si>
    <t>brocard_1860-12-23</t>
  </si>
  <si>
    <t>brocard_1885-11-14</t>
  </si>
  <si>
    <t>brodel_1892-03-31</t>
  </si>
  <si>
    <t>broglie_1846-10-31</t>
  </si>
  <si>
    <t>brogly_1878-04-29</t>
  </si>
  <si>
    <t>brom_1881-10-10</t>
  </si>
  <si>
    <t>brossard_1839-03-09</t>
  </si>
  <si>
    <t>brothier_1819-03-16</t>
  </si>
  <si>
    <t>broussais_1855-06-20</t>
  </si>
  <si>
    <t>brousse_1844-01-24</t>
  </si>
  <si>
    <t>brousse_1850-09-25</t>
  </si>
  <si>
    <t>brousse_1866-08-23</t>
  </si>
  <si>
    <t>bruel_1834-04-19</t>
  </si>
  <si>
    <t>brugeilles_1845-03-19</t>
  </si>
  <si>
    <t>brugerolle_1840-05-10</t>
  </si>
  <si>
    <t>brugnot_1827-05-11</t>
  </si>
  <si>
    <t>bruguier_1884-03-16</t>
  </si>
  <si>
    <t>brugère_1841-09-17</t>
  </si>
  <si>
    <t>brun_1821-11-22</t>
  </si>
  <si>
    <t>brun_1822-06-02</t>
  </si>
  <si>
    <t>brun_1849-04-24</t>
  </si>
  <si>
    <t>brun_1867-10-02</t>
  </si>
  <si>
    <t>brunard_1837-05-06</t>
  </si>
  <si>
    <t>brune_1835-04-01</t>
  </si>
  <si>
    <t>bruneau_1835-01-03</t>
  </si>
  <si>
    <t>brunel_1838-04-01</t>
  </si>
  <si>
    <t>brunel_1871-03-08</t>
  </si>
  <si>
    <t>brunet_1829-03-04</t>
  </si>
  <si>
    <t>brunet_1845-05-18</t>
  </si>
  <si>
    <t>brunet_1847-07-23</t>
  </si>
  <si>
    <t>brunet_1868-10-21</t>
  </si>
  <si>
    <t>brunet_1870-02-23</t>
  </si>
  <si>
    <t>brunet_1872-04-29</t>
  </si>
  <si>
    <t>brunet_1878-01-04</t>
  </si>
  <si>
    <t>brunet_1882-11-13</t>
  </si>
  <si>
    <t>brunier_1841-10-26</t>
  </si>
  <si>
    <t>brunon_1836-05-08</t>
  </si>
  <si>
    <t>brunschvicg_1877-07-19</t>
  </si>
  <si>
    <t>brusset_1839-03-07</t>
  </si>
  <si>
    <t>bruyas_1892-01-04</t>
  </si>
  <si>
    <t>bréant_1880-12-25</t>
  </si>
  <si>
    <t>brémond_1880-02-27</t>
  </si>
  <si>
    <t>buffet_1818-10-26</t>
  </si>
  <si>
    <t>buhan_1859-12-29</t>
  </si>
  <si>
    <t>buisset_1870-06-10</t>
  </si>
  <si>
    <t>buisson_1841-12-20</t>
  </si>
  <si>
    <t>buisson_1881-05-03</t>
  </si>
  <si>
    <t>bully_1822-02-08</t>
  </si>
  <si>
    <t>buquin_1869-10-30</t>
  </si>
  <si>
    <t>burdeau_1851-09-10</t>
  </si>
  <si>
    <t>bureau_1870-01-31</t>
  </si>
  <si>
    <t>bureau_1876-01-31</t>
  </si>
  <si>
    <t>burger_1878-02-06</t>
  </si>
  <si>
    <t>burnet_1863-11-06</t>
  </si>
  <si>
    <t>burrus_1882-03-08</t>
  </si>
  <si>
    <t>burtin_1892-03-28</t>
  </si>
  <si>
    <t>bury_1844-08-07</t>
  </si>
  <si>
    <t>bussat_1863-08-30</t>
  </si>
  <si>
    <t>bussiere_1858-11-01</t>
  </si>
  <si>
    <t>bussière_1858-11-01</t>
  </si>
  <si>
    <t>busson-billault_1853-07-01</t>
  </si>
  <si>
    <t>bussy_1860-01-27</t>
  </si>
  <si>
    <t>butin_1860-12-14</t>
  </si>
  <si>
    <t>butterlin_1845-01-31</t>
  </si>
  <si>
    <t>buvignier_1823-01-01</t>
  </si>
  <si>
    <t>buyat_1831-07-08</t>
  </si>
  <si>
    <t>buyat_1875-01-26</t>
  </si>
  <si>
    <t>béharelle_1861-11-09</t>
  </si>
  <si>
    <t>bélinguier_1870-06-24</t>
  </si>
  <si>
    <t>bélizal_1834-03-06</t>
  </si>
  <si>
    <t>bénassy_1887-02-25</t>
  </si>
  <si>
    <t>bénazet_1843-11-22</t>
  </si>
  <si>
    <t>bénazet_1876-02-24</t>
  </si>
  <si>
    <t>bénézech_1852-04-06</t>
  </si>
  <si>
    <t>béranger_1834-05-10</t>
  </si>
  <si>
    <t>bérard_1829-10-29</t>
  </si>
  <si>
    <t>bérard_1859-02-03</t>
  </si>
  <si>
    <t>bérard_1876-01-06</t>
  </si>
  <si>
    <t>béraud_1858-01-17</t>
  </si>
  <si>
    <t>bérenger_1867-04-22</t>
  </si>
  <si>
    <t>bérenger_1886-04-03</t>
  </si>
  <si>
    <t>béron_1896-01-01</t>
  </si>
  <si>
    <t>bézine_1854-06-11</t>
  </si>
  <si>
    <t>bézos_1882-05-05</t>
  </si>
  <si>
    <t>cabanes_1831-10-13</t>
  </si>
  <si>
    <t>cabanes_1840-01-28</t>
  </si>
  <si>
    <t>cabanis_1892-11-09</t>
  </si>
  <si>
    <t>cabannes_1882-08-12</t>
  </si>
  <si>
    <t>cabart-danneville_1846-06-24</t>
  </si>
  <si>
    <t>cabart-danneville_1886-01-09</t>
  </si>
  <si>
    <t>cabrol_1871-06-08</t>
  </si>
  <si>
    <t>cachet_1850-04-21</t>
  </si>
  <si>
    <t>cachin_1869-09-20</t>
  </si>
  <si>
    <t>cadenat_1853-01-02</t>
  </si>
  <si>
    <t>cadet_1821-03-23</t>
  </si>
  <si>
    <t>cadic_1886-09-05</t>
  </si>
  <si>
    <t>cadilhon_1876-12-15</t>
  </si>
  <si>
    <t>cadoret_1887-02-13</t>
  </si>
  <si>
    <t>cadot_1864-04-22</t>
  </si>
  <si>
    <t>caduc_1818-09-13</t>
  </si>
  <si>
    <t>caffarelli_1855-02-05</t>
  </si>
  <si>
    <t>caffort_1880-09-12</t>
  </si>
  <si>
    <t>caillat_1874-10-02</t>
  </si>
  <si>
    <t>caillaux_1822-09-08</t>
  </si>
  <si>
    <t>caillaux_1863-03-30</t>
  </si>
  <si>
    <t>caillier_1879-07-07</t>
  </si>
  <si>
    <t>calla_1840-12-05</t>
  </si>
  <si>
    <t>callen_1820-10-30</t>
  </si>
  <si>
    <t>calliès_1870-03-26</t>
  </si>
  <si>
    <t>calmel_1871-04-07</t>
  </si>
  <si>
    <t>calmon_1815-03-03</t>
  </si>
  <si>
    <t>calmon_1897-07-14</t>
  </si>
  <si>
    <t>calmès_1853-07-31</t>
  </si>
  <si>
    <t>calouin de treville_1802-02-28</t>
  </si>
  <si>
    <t>calvet-rogniat_1853-11-12</t>
  </si>
  <si>
    <t>calvet_1843-11-16</t>
  </si>
  <si>
    <t>calvet_1889-02-25</t>
  </si>
  <si>
    <t>calvinhac_1849-06-24</t>
  </si>
  <si>
    <t>calès_1828-07-24</t>
  </si>
  <si>
    <t>cambe_1844-09-26</t>
  </si>
  <si>
    <t>camboulives_1883-08-26</t>
  </si>
  <si>
    <t>camelle_1863-08-31</t>
  </si>
  <si>
    <t>camescasse_1838-09-23</t>
  </si>
  <si>
    <t>camier_1884-06-15</t>
  </si>
  <si>
    <t>camparan_1832-11-29</t>
  </si>
  <si>
    <t>campenon_1819-05-04</t>
  </si>
  <si>
    <t>campinchi_1882-05-04</t>
  </si>
  <si>
    <t>camuzet_1867-06-10</t>
  </si>
  <si>
    <t>camélinat_1840-09-14</t>
  </si>
  <si>
    <t>canavelli_1877-12-01</t>
  </si>
  <si>
    <t>canda_1884-06-16</t>
  </si>
  <si>
    <t>candace_1873-12-18</t>
  </si>
  <si>
    <t>canet_1837-03-07</t>
  </si>
  <si>
    <t>cannac_1858-12-21</t>
  </si>
  <si>
    <t>canrobert_1809-06-27</t>
  </si>
  <si>
    <t>cantagrel_1810-06-27</t>
  </si>
  <si>
    <t>cante_1882-04-23</t>
  </si>
  <si>
    <t>canu_1864-09-11</t>
  </si>
  <si>
    <t>caperan_1862-11-12</t>
  </si>
  <si>
    <t>capgras_1873-03-23</t>
  </si>
  <si>
    <t>capron_1854-08-23</t>
  </si>
  <si>
    <t>capron_1896-03-24</t>
  </si>
  <si>
    <t>capus_1867-08-18</t>
  </si>
  <si>
    <t>capéran_1862-11-12</t>
  </si>
  <si>
    <t>caradec_1831-03-12</t>
  </si>
  <si>
    <t>caraman_1845-04-10</t>
  </si>
  <si>
    <t>carbuccia_1891-03-01</t>
  </si>
  <si>
    <t>cardet_1856-03-02</t>
  </si>
  <si>
    <t>cardon_1860-09-27</t>
  </si>
  <si>
    <t>carette_1841-04-23</t>
  </si>
  <si>
    <t>carlier-caffieri_1878-12-09</t>
  </si>
  <si>
    <t>carlier_1859-04-29</t>
  </si>
  <si>
    <t>carmagnolle_1879-04-25</t>
  </si>
  <si>
    <t>carnaud_1863-07-06</t>
  </si>
  <si>
    <t>carnot_1801-08-06</t>
  </si>
  <si>
    <t>carnot_1837-08-11</t>
  </si>
  <si>
    <t>carnot_1866-12-26</t>
  </si>
  <si>
    <t>carnot_1872-02-22</t>
  </si>
  <si>
    <t>carnot_1881-07-13</t>
  </si>
  <si>
    <t>caron_1861-07-08</t>
  </si>
  <si>
    <t>carpentier-risbourg_1842-09-12</t>
  </si>
  <si>
    <t>carpot_1862-05-11</t>
  </si>
  <si>
    <t>carquet_1810-10-22</t>
  </si>
  <si>
    <t>carquet_1845-10-12</t>
  </si>
  <si>
    <t>carre-bonvalet_1875-08-11</t>
  </si>
  <si>
    <t>carrere_1877-07-27</t>
  </si>
  <si>
    <t>carrere_1880-09-29</t>
  </si>
  <si>
    <t>carret_1844-01-10</t>
  </si>
  <si>
    <t>carrier_1834-09-28</t>
  </si>
  <si>
    <t>carrière_1852-07-22</t>
  </si>
  <si>
    <t>carron_1879-07-01</t>
  </si>
  <si>
    <t>carré-bonvalet_1875-08-11</t>
  </si>
  <si>
    <t>casabianca (de)_1839-09-13</t>
  </si>
  <si>
    <t>casabianca_1847-11-27</t>
  </si>
  <si>
    <t>casimir-perier_1812-12-10</t>
  </si>
  <si>
    <t>casimir-perier_1812-12-18</t>
  </si>
  <si>
    <t>casimir-perier_1847-11-08</t>
  </si>
  <si>
    <t>cassadou_1854-06-04</t>
  </si>
  <si>
    <t>cassagnac_1842-12-02</t>
  </si>
  <si>
    <t>cassagnac_1880-04-12</t>
  </si>
  <si>
    <t>casse_1837-09-22</t>
  </si>
  <si>
    <t>cassez_1871-07-23</t>
  </si>
  <si>
    <t>cassou_1827-05-31</t>
  </si>
  <si>
    <t>castagnet_1886-03-24</t>
  </si>
  <si>
    <t>castagnez_1902-04-29</t>
  </si>
  <si>
    <t>castaing_1858-07-05</t>
  </si>
  <si>
    <t>castanet_1884-03-22</t>
  </si>
  <si>
    <t>castel_1871-02-07</t>
  </si>
  <si>
    <t>castelin_1858-07-05</t>
  </si>
  <si>
    <t>castellane_1867-02-14</t>
  </si>
  <si>
    <t>castellane_1868-04-24</t>
  </si>
  <si>
    <t>castellane_1875-10-15</t>
  </si>
  <si>
    <t>castelnau_1845-06-10</t>
  </si>
  <si>
    <t>castelnau_1851-12-24</t>
  </si>
  <si>
    <t>castelnau_1879-01-04</t>
  </si>
  <si>
    <t>castiau_1842-04-23</t>
  </si>
  <si>
    <t>castillard_1847-09-03</t>
  </si>
  <si>
    <t>castillo_1855-02-01</t>
  </si>
  <si>
    <t>catalan_1889-02-10</t>
  </si>
  <si>
    <t>catalogne_1856-09-27</t>
  </si>
  <si>
    <t>cathala_1888-09-22</t>
  </si>
  <si>
    <t>cauderon_1870-12-26</t>
  </si>
  <si>
    <t>caujole_1878-10-11</t>
  </si>
  <si>
    <t>caurant_1839-10-22</t>
  </si>
  <si>
    <t>causeret_1868-03-02</t>
  </si>
  <si>
    <t>caussanel_1838-09-18</t>
  </si>
  <si>
    <t>cautru_1879-02-04</t>
  </si>
  <si>
    <t>cauvin_1843-07-24</t>
  </si>
  <si>
    <t>cavaignac_1853-05-21</t>
  </si>
  <si>
    <t>cavalié_1831-03-04</t>
  </si>
  <si>
    <t>cavillon_1875-08-06</t>
  </si>
  <si>
    <t>cayrade_1840-04-05</t>
  </si>
  <si>
    <t>cayrel_1885-04-23</t>
  </si>
  <si>
    <t>cazalas_1813-09-01</t>
  </si>
  <si>
    <t>cazalet_1886-01-11</t>
  </si>
  <si>
    <t>cazals_1853-11-05</t>
  </si>
  <si>
    <t>cazals_1861-12-24</t>
  </si>
  <si>
    <t>cazassus_1862-03-08</t>
  </si>
  <si>
    <t>cazaud_1858-03-08</t>
  </si>
  <si>
    <t>cazauvieilh_1834-05-04</t>
  </si>
  <si>
    <t>cazauvieilh_1859-07-26</t>
  </si>
  <si>
    <t>caze_1839-09-16</t>
  </si>
  <si>
    <t>cazeaux-cazalet_1861-04-23</t>
  </si>
  <si>
    <t>cazeaux_1835-12-12</t>
  </si>
  <si>
    <t>cazelles_1860-08-31</t>
  </si>
  <si>
    <t>cazeneuve_1852-01-10</t>
  </si>
  <si>
    <t>cazes_1861-07-03</t>
  </si>
  <si>
    <t>cazot_1821-02-11</t>
  </si>
  <si>
    <t>caïtucoli_1865-01-12</t>
  </si>
  <si>
    <t>ceccaldi_1833-02-02</t>
  </si>
  <si>
    <t>ceccaldi_1876-12-25</t>
  </si>
  <si>
    <t>celos_1860-11-19</t>
  </si>
  <si>
    <t>cels-couybes_1865-11-18</t>
  </si>
  <si>
    <t>cencelme_1878-10-19</t>
  </si>
  <si>
    <t>cerf_1846-11-21</t>
  </si>
  <si>
    <t>cernesson_1831-01-28</t>
  </si>
  <si>
    <t>cesbron fabien dit_1862-01-13</t>
  </si>
  <si>
    <t>chabert_1852-12-16</t>
  </si>
  <si>
    <t>chabrie_1855-08-03</t>
  </si>
  <si>
    <t>chabrun_1880-12-14</t>
  </si>
  <si>
    <t>chagnaud_1866-03-12</t>
  </si>
  <si>
    <t>chaix_1821-11-11</t>
  </si>
  <si>
    <t>chalamet_1822-12-19</t>
  </si>
  <si>
    <t>chalamet_1849-09-16</t>
  </si>
  <si>
    <t>challemel-lacour_1827-05-19</t>
  </si>
  <si>
    <t>chambige_1853-01-21</t>
  </si>
  <si>
    <t>chambonnet_1888-05-06</t>
  </si>
  <si>
    <t>chambre_1816-10-25</t>
  </si>
  <si>
    <t>chambre_1861-11-07</t>
  </si>
  <si>
    <t>chambre_1898-06-05</t>
  </si>
  <si>
    <t>chambrun_1865-06-11</t>
  </si>
  <si>
    <t>chamerlat_1841-11-28</t>
  </si>
  <si>
    <t>chammard_1888-06-01</t>
  </si>
  <si>
    <t>champetier de ribes_1882-07-30</t>
  </si>
  <si>
    <t>champetier_1871-11-12</t>
  </si>
  <si>
    <t>champvallier_1826-04-19</t>
  </si>
  <si>
    <t>chanal jean dit eugène_1868-07-28</t>
  </si>
  <si>
    <t>chanal_1868-07-28</t>
  </si>
  <si>
    <t>chandioux_1849-03-21</t>
  </si>
  <si>
    <t>chanoine_1835-12-18</t>
  </si>
  <si>
    <t>chanot_1855-09-13</t>
  </si>
  <si>
    <t>chanoz_1863-03-31</t>
  </si>
  <si>
    <t>chantagrel_1822-04-14</t>
  </si>
  <si>
    <t>chantelauze_1847-05-24</t>
  </si>
  <si>
    <t>chantemille_1827-04-23</t>
  </si>
  <si>
    <t>chanzy_1823-03-18</t>
  </si>
  <si>
    <t>chappedelaine_1876-06-21</t>
  </si>
  <si>
    <t>chapsal_1862-03-10</t>
  </si>
  <si>
    <t>chapuis_1851-01-12</t>
  </si>
  <si>
    <t>charabot_1870-07-14</t>
  </si>
  <si>
    <t>chardon_1828-10-04</t>
  </si>
  <si>
    <t>charles dessoye_1854-08-23</t>
  </si>
  <si>
    <t>charles tillaye_1847-05-31</t>
  </si>
  <si>
    <t>charles-benoist_1861-01-31</t>
  </si>
  <si>
    <t>charles-bernard_1856-06-14</t>
  </si>
  <si>
    <t>charles-gras_1850-10-04</t>
  </si>
  <si>
    <t>charles-roux_1841-11-14</t>
  </si>
  <si>
    <t>charlot_1865-09-27</t>
  </si>
  <si>
    <t>charmes_1848-04-21</t>
  </si>
  <si>
    <t>charmes_1848-11-21</t>
  </si>
  <si>
    <t>charoulet_1870-02-15</t>
  </si>
  <si>
    <t>charpentier_1858-12-20</t>
  </si>
  <si>
    <t>charpentier_1859-08-22</t>
  </si>
  <si>
    <t>charton_1807-05-11</t>
  </si>
  <si>
    <t>chassaigne-goyon_1855-08-02</t>
  </si>
  <si>
    <t>chassaing_1855-12-15</t>
  </si>
  <si>
    <t>chassaing_1876-07-07</t>
  </si>
  <si>
    <t>chastanet_1882-11-19</t>
  </si>
  <si>
    <t>chastenet de castaing_1858-07-05</t>
  </si>
  <si>
    <t>chatenay_1839-09-03</t>
  </si>
  <si>
    <t>chatenet_1879-06-14</t>
  </si>
  <si>
    <t>chatteleyn_1861-04-13</t>
  </si>
  <si>
    <t>chaudey_1857-05-23</t>
  </si>
  <si>
    <t>chaulet_1858-06-28</t>
  </si>
  <si>
    <t>chaulin-servinière_1848-06-11</t>
  </si>
  <si>
    <t>chaulin-servinière_1884-12-08</t>
  </si>
  <si>
    <t>chauly_1868-02-23</t>
  </si>
  <si>
    <t>chaumeil_1856-01-10</t>
  </si>
  <si>
    <t>chaumet_1866-02-21</t>
  </si>
  <si>
    <t>chaumettes_1855-02-19</t>
  </si>
  <si>
    <t>chaumettes_1861-03-20</t>
  </si>
  <si>
    <t>chaumie_1849-03-17</t>
  </si>
  <si>
    <t>chaumie_1880-02-21</t>
  </si>
  <si>
    <t>chaumié_1849-03-17</t>
  </si>
  <si>
    <t>chaumié_1877-08-10</t>
  </si>
  <si>
    <t>chaumié_1890-08-15</t>
  </si>
  <si>
    <t>chaumontel_1828-10-02</t>
  </si>
  <si>
    <t>chaussier_1835-06-07</t>
  </si>
  <si>
    <t>chaussy_1880-01-18</t>
  </si>
  <si>
    <t>chautard_1862-05-06</t>
  </si>
  <si>
    <t>chautemps_1850-05-02</t>
  </si>
  <si>
    <t>chautemps_1860-10-18</t>
  </si>
  <si>
    <t>chautemps_1877-08-14</t>
  </si>
  <si>
    <t>chautemps_1885-02-01</t>
  </si>
  <si>
    <t>chauveau_1846-09-01</t>
  </si>
  <si>
    <t>chauveau_1861-08-22</t>
  </si>
  <si>
    <t>chauvel_1902-05-20</t>
  </si>
  <si>
    <t>chauvin_1860-03-23</t>
  </si>
  <si>
    <t>chauvin_1869-02-12</t>
  </si>
  <si>
    <t>chauvin_1870-08-27</t>
  </si>
  <si>
    <t>chauvin_1885-11-16</t>
  </si>
  <si>
    <t>chauvière_1850-08-13</t>
  </si>
  <si>
    <t>chavagnes_1883-10-10</t>
  </si>
  <si>
    <t>chavanne_1817-02-18</t>
  </si>
  <si>
    <t>chavanne_1824-10-11</t>
  </si>
  <si>
    <t>chavassieu_1814-10-16</t>
  </si>
  <si>
    <t>chaver-bière léonce dit léonce de_1833-09-30</t>
  </si>
  <si>
    <t>chavet_1844-03-23</t>
  </si>
  <si>
    <t>chavoix_1844-01-28</t>
  </si>
  <si>
    <t>chavoix_1881-08-21</t>
  </si>
  <si>
    <t>chazal_1875-03-27</t>
  </si>
  <si>
    <t>chazette_1872-09-19</t>
  </si>
  <si>
    <t>chenal_1852-09-02</t>
  </si>
  <si>
    <t>chenavaz_1855-07-15</t>
  </si>
  <si>
    <t>chenebenoit_1861-06-28</t>
  </si>
  <si>
    <t>chenel_1847-10-23</t>
  </si>
  <si>
    <t>cherbonnier_1822-09-09</t>
  </si>
  <si>
    <t>cheron_1867-05-11</t>
  </si>
  <si>
    <t>cherpin_1813-03-08</t>
  </si>
  <si>
    <t>cherpy_1874-10-10</t>
  </si>
  <si>
    <t>chesnelong_1820-04-14</t>
  </si>
  <si>
    <t>chevalier pol dit_1861-10-12</t>
  </si>
  <si>
    <t>chevalier_1820-08-14</t>
  </si>
  <si>
    <t>chevalier_1844-05-17</t>
  </si>
  <si>
    <t>chevalier_1848-08-09</t>
  </si>
  <si>
    <t>chevallay_1816-08-15</t>
  </si>
  <si>
    <t>chevallier_1851-12-21</t>
  </si>
  <si>
    <t>chevandier_1822-05-27</t>
  </si>
  <si>
    <t>chevillon_1849-03-21</t>
  </si>
  <si>
    <t>chevillon_1879-01-12</t>
  </si>
  <si>
    <t>chevillotte_1838-02-03</t>
  </si>
  <si>
    <t>chevreau_1823-04-27</t>
  </si>
  <si>
    <t>chevreau_1827-10-22</t>
  </si>
  <si>
    <t>chevrelière_1858-03-09</t>
  </si>
  <si>
    <t>chevrey-rameau_1836-08-05</t>
  </si>
  <si>
    <t>chevrier_1876-09-21</t>
  </si>
  <si>
    <t>chialvo_1853-05-28</t>
  </si>
  <si>
    <t>chichery_1888-10-12</t>
  </si>
  <si>
    <t>chiché_1854-09-09</t>
  </si>
  <si>
    <t>chion-ducollet_1848-09-23</t>
  </si>
  <si>
    <t>chiris_1839-12-13</t>
  </si>
  <si>
    <t>choiseul-praslin_1837-02-23</t>
  </si>
  <si>
    <t>chollet_1830-11-20</t>
  </si>
  <si>
    <t>chollet_1876-06-30</t>
  </si>
  <si>
    <t>chomet_1863-05-11</t>
  </si>
  <si>
    <t>chommeton_1869-03-06</t>
  </si>
  <si>
    <t>chopin_1869-11-23</t>
  </si>
  <si>
    <t>chopinet_1847-04-26</t>
  </si>
  <si>
    <t>choribit_1875-02-23</t>
  </si>
  <si>
    <t>chouffet_1895-03-04</t>
  </si>
  <si>
    <t>chovet_1831-11-26</t>
  </si>
  <si>
    <t>christophle_1830-07-13</t>
  </si>
  <si>
    <t>christophle_1851-11-21</t>
  </si>
  <si>
    <t>chéneau_1845-05-02</t>
  </si>
  <si>
    <t>chépié_1835-02-05</t>
  </si>
  <si>
    <t>chéron_1867-05-11</t>
  </si>
  <si>
    <t>chéron_1873-03-27</t>
  </si>
  <si>
    <t>cibiel_1841-05-11</t>
  </si>
  <si>
    <t>cibiel_1850-11-03</t>
  </si>
  <si>
    <t>ciceron_1853-05-28</t>
  </si>
  <si>
    <t>cirier_1823-04-16</t>
  </si>
  <si>
    <t>civrac_1812-07-26</t>
  </si>
  <si>
    <t>claeys_1829-12-01</t>
  </si>
  <si>
    <t>clagny_1853-09-14</t>
  </si>
  <si>
    <t>clamageran_1827-03-29</t>
  </si>
  <si>
    <t>clamamus_1879-07-27</t>
  </si>
  <si>
    <t>clament_1851-02-17</t>
  </si>
  <si>
    <t>clapot_1850-05-19</t>
  </si>
  <si>
    <t>claris_1825-03-17</t>
  </si>
  <si>
    <t>clarou_1860-12-06</t>
  </si>
  <si>
    <t>claude_1821-11-11</t>
  </si>
  <si>
    <t>claudet_1896-06-10</t>
  </si>
  <si>
    <t>claudinon_1849-02-07</t>
  </si>
  <si>
    <t>claussat_1874-10-12</t>
  </si>
  <si>
    <t>clauzel_1842-06-17</t>
  </si>
  <si>
    <t>claveille_1865-01-01</t>
  </si>
  <si>
    <t>claye_1845-06-29</t>
  </si>
  <si>
    <t>clec'h_1857-04-10</t>
  </si>
  <si>
    <t>clech_1850-05-09</t>
  </si>
  <si>
    <t>clemenceau_1841-09-28</t>
  </si>
  <si>
    <t>clement_1829-10-30</t>
  </si>
  <si>
    <t>clementel_1864-03-29</t>
  </si>
  <si>
    <t>clerc_1856-01-15</t>
  </si>
  <si>
    <t>clerc_1857-01-15</t>
  </si>
  <si>
    <t>clerc_1881-12-22</t>
  </si>
  <si>
    <t>clercq_1837-12-24</t>
  </si>
  <si>
    <t>clerjounie_1837-12-11</t>
  </si>
  <si>
    <t>cleron d'haussonville_1810-05-27</t>
  </si>
  <si>
    <t>cloarec_1858-01-06</t>
  </si>
  <si>
    <t>clos_1881-09-16</t>
  </si>
  <si>
    <t>cloutier_1862-01-22</t>
  </si>
  <si>
    <t>cluseret_1823-06-13</t>
  </si>
  <si>
    <t>cluzan_1887-06-19</t>
  </si>
  <si>
    <t>cluzel_1879-12-15</t>
  </si>
  <si>
    <t>clédou_1841-05-25</t>
  </si>
  <si>
    <t>clément_1852-07-12</t>
  </si>
  <si>
    <t>clémentel_1864-03-29</t>
  </si>
  <si>
    <t>coache_1857-05-08</t>
  </si>
  <si>
    <t>coache_1890-06-24</t>
  </si>
  <si>
    <t>cochard_1876-12-12</t>
  </si>
  <si>
    <t>cochery_1819-08-26</t>
  </si>
  <si>
    <t>cochery_1855-03-20</t>
  </si>
  <si>
    <t>cochet_1867-07-20</t>
  </si>
  <si>
    <t>cochin_1851-09-01</t>
  </si>
  <si>
    <t>cochin_1854-01-31</t>
  </si>
  <si>
    <t>cochin_1883-11-17</t>
  </si>
  <si>
    <t>cocula_1843-11-24</t>
  </si>
  <si>
    <t>codet_1852-07-24</t>
  </si>
  <si>
    <t>codet_1863-05-27</t>
  </si>
  <si>
    <t>codet_1876-10-09</t>
  </si>
  <si>
    <t>coget_1829-06-19</t>
  </si>
  <si>
    <t>coignet_1855-05-13</t>
  </si>
  <si>
    <t>coillot_1832-08-11</t>
  </si>
  <si>
    <t>cointreau_1888-05-28</t>
  </si>
  <si>
    <t>coipel_1872-02-10</t>
  </si>
  <si>
    <t>colbert-laplace_1843-08-06</t>
  </si>
  <si>
    <t>colfavru_1820-12-01</t>
  </si>
  <si>
    <t>colin_1859-01-11</t>
  </si>
  <si>
    <t>colin_1859-01-19</t>
  </si>
  <si>
    <t>colin_1865-02-05</t>
  </si>
  <si>
    <t>colins_1860-02-03</t>
  </si>
  <si>
    <t>colle_1847-06-29</t>
  </si>
  <si>
    <t>collet_1848-12-01</t>
  </si>
  <si>
    <t>colliard_1852-04-30</t>
  </si>
  <si>
    <t>collin_1853-07-27</t>
  </si>
  <si>
    <t>collinot_1844-03-17</t>
  </si>
  <si>
    <t>colly_1858-02-10</t>
  </si>
  <si>
    <t>colomb_1883-07-22</t>
  </si>
  <si>
    <t>colrat_1871-09-29</t>
  </si>
  <si>
    <t>colson_1875-10-27</t>
  </si>
  <si>
    <t>combes_1835-09-06</t>
  </si>
  <si>
    <t>combescure_1819-01-15</t>
  </si>
  <si>
    <t>combrouze_1865-06-07</t>
  </si>
  <si>
    <t>compayré_1843-01-02</t>
  </si>
  <si>
    <t>compayré_1851-03-21</t>
  </si>
  <si>
    <t>compayré_1877-11-23</t>
  </si>
  <si>
    <t>compère-morel_1872-10-05</t>
  </si>
  <si>
    <t>comte d'alsace_1853-08-05</t>
  </si>
  <si>
    <t>condé_1875-07-17</t>
  </si>
  <si>
    <t>congy_1857-05-24</t>
  </si>
  <si>
    <t>connevot_1873-12-12</t>
  </si>
  <si>
    <t>constans_1833-05-03</t>
  </si>
  <si>
    <t>constans_1857-09-08</t>
  </si>
  <si>
    <t>constans_1873-03-26</t>
  </si>
  <si>
    <t>constans_1876-12-13</t>
  </si>
  <si>
    <t>constant_1852-11-22</t>
  </si>
  <si>
    <t>constant_1861-07-20</t>
  </si>
  <si>
    <t>constant_1869-03-24</t>
  </si>
  <si>
    <t>contancin_1855-07-13</t>
  </si>
  <si>
    <t>converset_1886-08-05</t>
  </si>
  <si>
    <t>coponat_1893-11-22</t>
  </si>
  <si>
    <t>coppeaux_1870-02-15</t>
  </si>
  <si>
    <t>coquelle_1864-07-05</t>
  </si>
  <si>
    <t>coral_1900-06-23</t>
  </si>
  <si>
    <t>corbedaine_1879-11-11</t>
  </si>
  <si>
    <t>corbeiller_1859-09-14</t>
  </si>
  <si>
    <t>corbon_1808-12-23</t>
  </si>
  <si>
    <t>cordelet_1834-01-17</t>
  </si>
  <si>
    <t>cordelle_1871-07-01</t>
  </si>
  <si>
    <t>corderoy_1849-03-30</t>
  </si>
  <si>
    <t>cordier_1820-02-27</t>
  </si>
  <si>
    <t>cordier_1844-01-16</t>
  </si>
  <si>
    <t>coreil_1863-11-12</t>
  </si>
  <si>
    <t>corentin-guyho_1844-06-07</t>
  </si>
  <si>
    <t>cornand_1876-07-14</t>
  </si>
  <si>
    <t>cornavin_1894-06-27</t>
  </si>
  <si>
    <t>corne_1802-08-28</t>
  </si>
  <si>
    <t>corneau_1826-08-19</t>
  </si>
  <si>
    <t>cornet_1865-03-01</t>
  </si>
  <si>
    <t>cornil_1837-06-17</t>
  </si>
  <si>
    <t>cornu_1892-06-27</t>
  </si>
  <si>
    <t>cornudet des chaumettes_1861-03-21</t>
  </si>
  <si>
    <t>cornulier_1825-10-08</t>
  </si>
  <si>
    <t>corsin_1881-08-03</t>
  </si>
  <si>
    <t>cosmao-dumenez_1840-02-29</t>
  </si>
  <si>
    <t>cosnard_1856-10-04</t>
  </si>
  <si>
    <t>cosnier_1869-07-14</t>
  </si>
  <si>
    <t>coste_1833-08-28</t>
  </si>
  <si>
    <t>costes_1813-01-09</t>
  </si>
  <si>
    <t>costes_1838-10-02</t>
  </si>
  <si>
    <t>cot_1845-07-01</t>
  </si>
  <si>
    <t>cot_1895-11-20</t>
  </si>
  <si>
    <t>cotin_1876-08-28</t>
  </si>
  <si>
    <t>coty_1874-05-03</t>
  </si>
  <si>
    <t>coty_1882-03-20</t>
  </si>
  <si>
    <t>couchard_1848-07-19</t>
  </si>
  <si>
    <t>coucoureux_1879-10-18</t>
  </si>
  <si>
    <t>couderc_1852-06-02</t>
  </si>
  <si>
    <t>coudert_1887-07-28</t>
  </si>
  <si>
    <t>coudreuse_1837-02-26</t>
  </si>
  <si>
    <t>couesnon_1850-11-07</t>
  </si>
  <si>
    <t>couhé_1889-06-24</t>
  </si>
  <si>
    <t>couillerot_1863-01-04</t>
  </si>
  <si>
    <t>coulondre_1857-06-01</t>
  </si>
  <si>
    <t>coupanec_1857-11-01</t>
  </si>
  <si>
    <t>coupat_1860-06-17</t>
  </si>
  <si>
    <t>courcel alphonse chodron_1835-07-30</t>
  </si>
  <si>
    <t>coureau_1849-03-26</t>
  </si>
  <si>
    <t>courmeaux_1817-02-15</t>
  </si>
  <si>
    <t>cournault_1876-07-09</t>
  </si>
  <si>
    <t>courot_1873-06-29</t>
  </si>
  <si>
    <t>courregelongue_1849-04-25</t>
  </si>
  <si>
    <t>courrent_1872-06-06</t>
  </si>
  <si>
    <t>courson_1883-10-21</t>
  </si>
  <si>
    <t>courtehoux_1879-03-18</t>
  </si>
  <si>
    <t>courtial_1866-03-18</t>
  </si>
  <si>
    <t>courtier_1874-03-24</t>
  </si>
  <si>
    <t>courtier_1878-03-29</t>
  </si>
  <si>
    <t>cousin_1847-07-31</t>
  </si>
  <si>
    <t>cousin_1886-08-21</t>
  </si>
  <si>
    <t>coussergues_1831-12-03</t>
  </si>
  <si>
    <t>cousset_1833-01-16</t>
  </si>
  <si>
    <t>coutant-d'ivry_1854-05-21</t>
  </si>
  <si>
    <t>coutant_1868-04-14</t>
  </si>
  <si>
    <t>coutant_1886-03-22</t>
  </si>
  <si>
    <t>couteaux_1835-12-17</t>
  </si>
  <si>
    <t>couteaux_1881-11-20</t>
  </si>
  <si>
    <t>coutel_1871-12-10</t>
  </si>
  <si>
    <t>coutisson_1832-04-21</t>
  </si>
  <si>
    <t>couturier_1813-07-15</t>
  </si>
  <si>
    <t>couturier_1813-07-16</t>
  </si>
  <si>
    <t>couturier_1829-05-02</t>
  </si>
  <si>
    <t>couyba_1866-01-01</t>
  </si>
  <si>
    <t>coyrard_1865-11-11</t>
  </si>
  <si>
    <t>cozannet_1898-01-28</t>
  </si>
  <si>
    <t>cravoisier_1884-12-21</t>
  </si>
  <si>
    <t>cremieux_1857-12-15</t>
  </si>
  <si>
    <t>crepin_1842-06-08</t>
  </si>
  <si>
    <t>crespel_1867-05-17</t>
  </si>
  <si>
    <t>creuzé_1845-01-21</t>
  </si>
  <si>
    <t>creyssel_1895-06-15</t>
  </si>
  <si>
    <t>cristofol_1901-03-24</t>
  </si>
  <si>
    <t>crolard_1861-04-30</t>
  </si>
  <si>
    <t>cros-bonnel_1855-05-10</t>
  </si>
  <si>
    <t>crozet-fourneyron_1837-04-22</t>
  </si>
  <si>
    <t>cruppi_1855-05-22</t>
  </si>
  <si>
    <t>crutel_1879-12-04</t>
  </si>
  <si>
    <t>crémieux_1857-12-15</t>
  </si>
  <si>
    <t>crépel_1856-04-16</t>
  </si>
  <si>
    <t>cuissart_1835-09-24</t>
  </si>
  <si>
    <t>cuminal_1863-10-28</t>
  </si>
  <si>
    <t>cuny_1872-11-19</t>
  </si>
  <si>
    <t>curral_1865-12-11</t>
  </si>
  <si>
    <t>cuttoli_1864-05-28</t>
  </si>
  <si>
    <t>cuttoli_1864-06-28</t>
  </si>
  <si>
    <t>cuttoli_1871-09-23</t>
  </si>
  <si>
    <t>cuven_1875-05-24</t>
  </si>
  <si>
    <t>cuvinot_1837-06-01</t>
  </si>
  <si>
    <t>cère_1863-03-13</t>
  </si>
  <si>
    <t>d'abbans_1820-04-20</t>
  </si>
  <si>
    <t>d'agens_1866-04-02</t>
  </si>
  <si>
    <t>d'agoult_1860-05-09</t>
  </si>
  <si>
    <t>d'aillières_1817-10-15</t>
  </si>
  <si>
    <t>d'aillières_1849-01-31</t>
  </si>
  <si>
    <t>d'aillières_1895-06-09</t>
  </si>
  <si>
    <t>d'alexandry_1829-03-09</t>
  </si>
  <si>
    <t>d'andigne_1821-11-10</t>
  </si>
  <si>
    <t>d'andigné_1858-02-11</t>
  </si>
  <si>
    <t>d'andigné_1868-12-11</t>
  </si>
  <si>
    <t>d'andlau de hombourg_1868-06-07</t>
  </si>
  <si>
    <t>d'andlau_1824-01-01</t>
  </si>
  <si>
    <t>d'anglas_1846-02-19</t>
  </si>
  <si>
    <t>d'aramon_1876-02-14</t>
  </si>
  <si>
    <t>d'arenberg_1837-09-15</t>
  </si>
  <si>
    <t>d'argenson_1877-03-09</t>
  </si>
  <si>
    <t>d'ariste_1845-10-13</t>
  </si>
  <si>
    <t>d'asson_1836-06-15</t>
  </si>
  <si>
    <t>d'asson_1862-10-26</t>
  </si>
  <si>
    <t>d'aubigny_1875-07-06</t>
  </si>
  <si>
    <t>d'audiffret-pasquier_1823-10-21</t>
  </si>
  <si>
    <t>d'audiffret-pasquier_1882-03-15</t>
  </si>
  <si>
    <t>d'aulan_1864-06-07</t>
  </si>
  <si>
    <t>d'aulps_1853-05-27</t>
  </si>
  <si>
    <t>d'aunay_1840-10-04</t>
  </si>
  <si>
    <t>d'auray_1832-10-04</t>
  </si>
  <si>
    <t>d'auriac_1855-09-29</t>
  </si>
  <si>
    <t>d'elva_1850-09-21</t>
  </si>
  <si>
    <t>d'espeuilles_1840-11-12</t>
  </si>
  <si>
    <t>d'estourmel_1841-01-16</t>
  </si>
  <si>
    <t>d'estournelles de constant_1852-01-22</t>
  </si>
  <si>
    <t>d'etchepare_1859-07-24</t>
  </si>
  <si>
    <t>d'harcourt_1870-04-18</t>
  </si>
  <si>
    <t>d'harcourt_1902-07-12</t>
  </si>
  <si>
    <t>d'hornoy_1816-02-24</t>
  </si>
  <si>
    <t>d'hugues_1859-09-12</t>
  </si>
  <si>
    <t>d'hulst_1841-10-01</t>
  </si>
  <si>
    <t>d'hénin_1853-08-05</t>
  </si>
  <si>
    <t>d'octon_1859-09-07</t>
  </si>
  <si>
    <t>d'oissel_1833-02-15</t>
  </si>
  <si>
    <t>d'ornano_1845-11-15</t>
  </si>
  <si>
    <t>d'osmoy_1827-08-19</t>
  </si>
  <si>
    <t>d'osmoy_1862-07-01</t>
  </si>
  <si>
    <t>dagorne_1826-10-20</t>
  </si>
  <si>
    <t>daguenet_1801-07-09</t>
  </si>
  <si>
    <t>dahlet_1883-07-21</t>
  </si>
  <si>
    <t>daille_1879-01-19</t>
  </si>
  <si>
    <t>daladier_1884-06-18</t>
  </si>
  <si>
    <t>dalbiez_1876-06-23</t>
  </si>
  <si>
    <t>dalimier_1875-02-20</t>
  </si>
  <si>
    <t>dalmagne_1860-09-10</t>
  </si>
  <si>
    <t>damecour_1846-10-15</t>
  </si>
  <si>
    <t>damour_1873-03-25</t>
  </si>
  <si>
    <t>danelle-bernardin_1826-09-16</t>
  </si>
  <si>
    <t>daniel-lamazière_1812-03-06</t>
  </si>
  <si>
    <t>daniel-vincent_1874-03-31</t>
  </si>
  <si>
    <t>daniel_1854-11-26</t>
  </si>
  <si>
    <t>daniélou_1878-07-13</t>
  </si>
  <si>
    <t>dansette_1857-09-17</t>
  </si>
  <si>
    <t>daraignez_1864-12-07</t>
  </si>
  <si>
    <t>darblay_1851-09-17</t>
  </si>
  <si>
    <t>darbot_1841-09-08</t>
  </si>
  <si>
    <t>dard_1875-06-20</t>
  </si>
  <si>
    <t>dariac_1868-06-14</t>
  </si>
  <si>
    <t>darlan_1848-06-10</t>
  </si>
  <si>
    <t>darlan_1881-08-07</t>
  </si>
  <si>
    <t>darme_1868-05-08</t>
  </si>
  <si>
    <t>daron_1803-09-06</t>
  </si>
  <si>
    <t>daroux_1866-07-25</t>
  </si>
  <si>
    <t>darteyre_1870-12-09</t>
  </si>
  <si>
    <t>dasque_1860-01-25</t>
  </si>
  <si>
    <t>dasque_1872-08-14</t>
  </si>
  <si>
    <t>datas_1804-03-31</t>
  </si>
  <si>
    <t>daudet_1867-11-16</t>
  </si>
  <si>
    <t>daudé-gleize_1862-01-17</t>
  </si>
  <si>
    <t>daumas_1826-05-25</t>
  </si>
  <si>
    <t>daumy_1836-08-15</t>
  </si>
  <si>
    <t>dauphin_1827-08-28</t>
  </si>
  <si>
    <t>dauphinot_1821-01-24</t>
  </si>
  <si>
    <t>daussel_1813-03-22</t>
  </si>
  <si>
    <t>dausset_1866-09-03</t>
  </si>
  <si>
    <t>dauthy_1866-11-13</t>
  </si>
  <si>
    <t>dauthy_1875-08-01</t>
  </si>
  <si>
    <t>dautresme_1826-05-21</t>
  </si>
  <si>
    <t>dautresme_1829-05-21</t>
  </si>
  <si>
    <t>dautry_1880-09-16</t>
  </si>
  <si>
    <t>dauzier_1873-07-01</t>
  </si>
  <si>
    <t>dauzon_1860-08-01</t>
  </si>
  <si>
    <t>davaine_1862-05-26</t>
  </si>
  <si>
    <t>davaine_1862-05-27</t>
  </si>
  <si>
    <t>david_1805-05-07</t>
  </si>
  <si>
    <t>david_1834-07-06</t>
  </si>
  <si>
    <t>david_1837-10-19</t>
  </si>
  <si>
    <t>david_1851-10-11</t>
  </si>
  <si>
    <t>david_1856-05-31</t>
  </si>
  <si>
    <t>david_1857-04-18</t>
  </si>
  <si>
    <t>david_1869-10-18</t>
  </si>
  <si>
    <t>david_1873-11-05</t>
  </si>
  <si>
    <t>daynaud_1838-06-01</t>
  </si>
  <si>
    <t>de barante_1816-08-27</t>
  </si>
  <si>
    <t>de baudry d'asson_1862-10-26</t>
  </si>
  <si>
    <t>de beauchamp_1820-04-01</t>
  </si>
  <si>
    <t>de bejarry_1840-06-30</t>
  </si>
  <si>
    <t>de berny_1880-02-18</t>
  </si>
  <si>
    <t>de bertier de sauvigny_1877-10-31</t>
  </si>
  <si>
    <t>de blois_1849-01-01</t>
  </si>
  <si>
    <t>de blois_1880-02-15</t>
  </si>
  <si>
    <t>de bondy_1802-04-23</t>
  </si>
  <si>
    <t>de bosredon_1831-02-22</t>
  </si>
  <si>
    <t>de breil de pontbriand_1848-11-09</t>
  </si>
  <si>
    <t>de bremond d'ars_1810-03-19</t>
  </si>
  <si>
    <t>de broglie_1821-06-13</t>
  </si>
  <si>
    <t>de callac_1821-09-17</t>
  </si>
  <si>
    <t>de carayon-latour_1824-04-10</t>
  </si>
  <si>
    <t>de cardevac d' havrincourt_1806-09-12</t>
  </si>
  <si>
    <t>de carne_1834-01-17</t>
  </si>
  <si>
    <t>de castellane_1875-10-15</t>
  </si>
  <si>
    <t>de chabaud-latour_1804-01-26</t>
  </si>
  <si>
    <t>de chabron_1806-01-05</t>
  </si>
  <si>
    <t>de chadois_1830-03-12</t>
  </si>
  <si>
    <t>de chambrun_1865-06-11</t>
  </si>
  <si>
    <t>de chammard_1888-06-01</t>
  </si>
  <si>
    <t>de champagny_1831-06-17</t>
  </si>
  <si>
    <t>de chantemerle_1818-02-16</t>
  </si>
  <si>
    <t>de chappedelaine_1876-06-21</t>
  </si>
  <si>
    <t>de chappedeleine_1876-06-21</t>
  </si>
  <si>
    <t>de cissey ernest_1810-12-23</t>
  </si>
  <si>
    <t>de cornulier de la lande_1812-09-23</t>
  </si>
  <si>
    <t>de cornulier-luciniere_1809-07-17</t>
  </si>
  <si>
    <t>de corsi_1824-09-15</t>
  </si>
  <si>
    <t>de courtois_1878-11-28</t>
  </si>
  <si>
    <t>de cuverville_1834-07-28</t>
  </si>
  <si>
    <t>de cès-caupenne_1832-01-28</t>
  </si>
  <si>
    <t>de dion_1856-03-09</t>
  </si>
  <si>
    <t>de dompierre d'hornoy_1816-02-24</t>
  </si>
  <si>
    <t>de douhet_1811-04-21</t>
  </si>
  <si>
    <t>de flers_1817-10-27</t>
  </si>
  <si>
    <t>de fontaines_1859-05-30</t>
  </si>
  <si>
    <t>de fourtou_1836-01-03</t>
  </si>
  <si>
    <t>de freycinet_1828-11-14</t>
  </si>
  <si>
    <t>de galliffet_1831-01-23</t>
  </si>
  <si>
    <t>de gaulle_1890-11-22</t>
  </si>
  <si>
    <t>de gavardie_1823-12-02</t>
  </si>
  <si>
    <t>de gontaut-biron_1817-11-09</t>
  </si>
  <si>
    <t>de gontaut-biron_1851-06-29</t>
  </si>
  <si>
    <t>de goulaine_1844-08-16</t>
  </si>
  <si>
    <t>de grandmaison_1865-05-14</t>
  </si>
  <si>
    <t>de guibourg de luzinais_1834-07-27</t>
  </si>
  <si>
    <t>de heredia_1836-11-08</t>
  </si>
  <si>
    <t>de jouvenel_1876-04-02</t>
  </si>
  <si>
    <t>de juigne_1874-02-16</t>
  </si>
  <si>
    <t>de keranflec'h_1861-10-22</t>
  </si>
  <si>
    <t>de kergariou_1884-12-26</t>
  </si>
  <si>
    <t>de kerguezec_1868-05-18</t>
  </si>
  <si>
    <t>de kerouartz_1858-05-06</t>
  </si>
  <si>
    <t>de l'angle-beaumanoir_1828-03-03</t>
  </si>
  <si>
    <t>de la batut_1854-05-09</t>
  </si>
  <si>
    <t>de la bourdonnaye_1837-05-12</t>
  </si>
  <si>
    <t>de la grandiere_1881-01-01</t>
  </si>
  <si>
    <t>de la grange_1888-03-31</t>
  </si>
  <si>
    <t>de la jaille_1824-04-15</t>
  </si>
  <si>
    <t>de la jaille_1836-01-07</t>
  </si>
  <si>
    <t>de la monneraye_1812-02-03</t>
  </si>
  <si>
    <t>de la porte_1848-06-20</t>
  </si>
  <si>
    <t>de la sicotiere_1812-02-03</t>
  </si>
  <si>
    <t>de lacroix de ravignan_1829-01-29</t>
  </si>
  <si>
    <t>de ladmirault_1808-02-17</t>
  </si>
  <si>
    <t>de lamarzelle_1852-08-04</t>
  </si>
  <si>
    <t>de landemont_1856-04-14</t>
  </si>
  <si>
    <t>de lanessan_1843-07-13</t>
  </si>
  <si>
    <t>de langenhagen_1859-09-26</t>
  </si>
  <si>
    <t>de larcy_1805-08-20</t>
  </si>
  <si>
    <t>de las-cases_1854-04-02</t>
  </si>
  <si>
    <t>de lasteyrie_1877-08-27</t>
  </si>
  <si>
    <t>de laubespin_1810-09-06</t>
  </si>
  <si>
    <t>de lavrignais_1805-09-02</t>
  </si>
  <si>
    <t>de lavrignais_1850-07-15</t>
  </si>
  <si>
    <t>de lestapis_1814-02-03</t>
  </si>
  <si>
    <t>de leusse_1877-02-06</t>
  </si>
  <si>
    <t>de lorgeril_1811-05-24</t>
  </si>
  <si>
    <t>de lubersac_1878-01-20</t>
  </si>
  <si>
    <t>de ludre-frolois_1864-05-10</t>
  </si>
  <si>
    <t>de lur-saluces_1808-12-11</t>
  </si>
  <si>
    <t>de mahy_1830-07-22</t>
  </si>
  <si>
    <t>de maillé de la jumelliere_1816-07-01</t>
  </si>
  <si>
    <t>de maleville_1805-08-20</t>
  </si>
  <si>
    <t>de marguerie_1868-11-25</t>
  </si>
  <si>
    <t>de merode_1816-01-13</t>
  </si>
  <si>
    <t>de montaignac de chauvance_1811-03-14</t>
  </si>
  <si>
    <t>de montaigu_1844-03-11</t>
  </si>
  <si>
    <t>de montfort_1840-02-03</t>
  </si>
  <si>
    <t>de monti de reze_1874-10-19</t>
  </si>
  <si>
    <t>de monzie_1876-11-22</t>
  </si>
  <si>
    <t>de moro giafferi_1878-06-06</t>
  </si>
  <si>
    <t>de moustier_1850-02-16</t>
  </si>
  <si>
    <t>de parieu_1815-04-13</t>
  </si>
  <si>
    <t>de pavin de lafarge_1889-10-17</t>
  </si>
  <si>
    <t>de penanros_1865-02-10</t>
  </si>
  <si>
    <t>de pomereu_1860-02-06</t>
  </si>
  <si>
    <t>de preissac_1819-07-17</t>
  </si>
  <si>
    <t>de raismes_1828-03-15</t>
  </si>
  <si>
    <t>de reignie_1827-10-04</t>
  </si>
  <si>
    <t>de remusat_1831-11-17</t>
  </si>
  <si>
    <t>de rothschild_1881-05-19</t>
  </si>
  <si>
    <t>de rougé_1862-01-15</t>
  </si>
  <si>
    <t>de roziere_1820-05-03</t>
  </si>
  <si>
    <t>de saint-germain_1833-06-20</t>
  </si>
  <si>
    <t>de saint-pierre_1810-03-14</t>
  </si>
  <si>
    <t>de saint-vallier_1833-09-12</t>
  </si>
  <si>
    <t>de saisy de kerampuil_1833-04-05</t>
  </si>
  <si>
    <t>de saulces de freycinet_1828-11-14</t>
  </si>
  <si>
    <t>de selves_1848-07-19</t>
  </si>
  <si>
    <t>de talhouet_1819-10-11</t>
  </si>
  <si>
    <t>de tessan_1883-02-16</t>
  </si>
  <si>
    <t>de treveneuc_1815-09-13</t>
  </si>
  <si>
    <t>de treveneuc_1860-11-03</t>
  </si>
  <si>
    <t>de vallee_1821-09-01</t>
  </si>
  <si>
    <t>de vast-vimeux_1826-07-08</t>
  </si>
  <si>
    <t>de veauce_1820-01-01</t>
  </si>
  <si>
    <t>de verninac-saint-maur_1841-05-18</t>
  </si>
  <si>
    <t>de voisins-laverniere_1813-05-17</t>
  </si>
  <si>
    <t>de wendel_1874-05-05</t>
  </si>
  <si>
    <t>de wendel_1878-04-22</t>
  </si>
  <si>
    <t>deandreis_1838-06-21</t>
  </si>
  <si>
    <t>deandréis_1838-06-20</t>
  </si>
  <si>
    <t>debaune_1840-10-29</t>
  </si>
  <si>
    <t>deberly_1844-08-31</t>
  </si>
  <si>
    <t>debierre_1853-10-31</t>
  </si>
  <si>
    <t>debiève_1844-01-28</t>
  </si>
  <si>
    <t>debrégéas_1882-02-23</t>
  </si>
  <si>
    <t>debuchy_1823-10-07</t>
  </si>
  <si>
    <t>debussy_1847-02-08</t>
  </si>
  <si>
    <t>debève_1837-08-13</t>
  </si>
  <si>
    <t>debève_1876-05-21</t>
  </si>
  <si>
    <t>decauville_1846-06-07</t>
  </si>
  <si>
    <t>decker-david_1863-09-27</t>
  </si>
  <si>
    <t>decoëne-racouchot_1878-07-12</t>
  </si>
  <si>
    <t>decrais_1838-12-18</t>
  </si>
  <si>
    <t>decray_1814-12-17</t>
  </si>
  <si>
    <t>decroix_1810-05-07</t>
  </si>
  <si>
    <t>decroze_1869-05-01</t>
  </si>
  <si>
    <t>decréquy_1899-12-21</t>
  </si>
  <si>
    <t>defarge_1836-08-22</t>
  </si>
  <si>
    <t>deffis_1827-02-06</t>
  </si>
  <si>
    <t>defontaine_1858-08-12</t>
  </si>
  <si>
    <t>defos_1866-12-25</t>
  </si>
  <si>
    <t>defossé_1855-01-20</t>
  </si>
  <si>
    <t>defumade_1844-01-14</t>
  </si>
  <si>
    <t>deguilhem_1831-09-20</t>
  </si>
  <si>
    <t>deguise_1871-01-21</t>
  </si>
  <si>
    <t>deguise_1894-10-26</t>
  </si>
  <si>
    <t>dehault de pressense_1823-06-21</t>
  </si>
  <si>
    <t>dehove_1851-03-03</t>
  </si>
  <si>
    <t>dejardin-verkinder_1840-06-10</t>
  </si>
  <si>
    <t>dejean_1859-07-11</t>
  </si>
  <si>
    <t>dejeante_1850-12-28</t>
  </si>
  <si>
    <t>delabarre_1887-11-06</t>
  </si>
  <si>
    <t>delabie_1887-08-20</t>
  </si>
  <si>
    <t>delachenal_1881-08-12</t>
  </si>
  <si>
    <t>delacroix_1807-11-05</t>
  </si>
  <si>
    <t>delafosse_1841-03-02</t>
  </si>
  <si>
    <t>delafosse_1843-08-18</t>
  </si>
  <si>
    <t>delafoy_1860-03-19</t>
  </si>
  <si>
    <t>delahaye_1848-12-05</t>
  </si>
  <si>
    <t>delahaye_1851-05-05</t>
  </si>
  <si>
    <t>delahaye_1877-05-14</t>
  </si>
  <si>
    <t>delanne_1838-01-27</t>
  </si>
  <si>
    <t>delarbre_1866-05-05</t>
  </si>
  <si>
    <t>delaroche-vernet_1878-11-10</t>
  </si>
  <si>
    <t>delaroue_1864-04-04</t>
  </si>
  <si>
    <t>delarue_1846-03-14</t>
  </si>
  <si>
    <t>delattre_1830-01-03</t>
  </si>
  <si>
    <t>delaunay_1838-01-22</t>
  </si>
  <si>
    <t>delaunay_1854-05-24</t>
  </si>
  <si>
    <t>delaunay_1870-04-09</t>
  </si>
  <si>
    <t>delaune_1855-10-13</t>
  </si>
  <si>
    <t>delay_1855-02-14</t>
  </si>
  <si>
    <t>delbet_1831-11-09</t>
  </si>
  <si>
    <t>delbos_1885-05-07</t>
  </si>
  <si>
    <t>delbreil_1807-07-25</t>
  </si>
  <si>
    <t>delbreil_1841-01-18</t>
  </si>
  <si>
    <t>delcassé_1852-03-01</t>
  </si>
  <si>
    <t>delcluze_1857-01-18</t>
  </si>
  <si>
    <t>delcourt_1889-10-10</t>
  </si>
  <si>
    <t>delcros_1844-04-09</t>
  </si>
  <si>
    <t>delecroix_1861-10-27</t>
  </si>
  <si>
    <t>delelis-fanien_1843-03-30</t>
  </si>
  <si>
    <t>delelis_1827-06-03</t>
  </si>
  <si>
    <t>delesalle_1886-04-15</t>
  </si>
  <si>
    <t>delestrac_1844-05-08</t>
  </si>
  <si>
    <t>delhon_1861-12-22</t>
  </si>
  <si>
    <t>delhoume_1855-11-10</t>
  </si>
  <si>
    <t>deligne_1861-10-07</t>
  </si>
  <si>
    <t>dellac_1876-05-03</t>
  </si>
  <si>
    <t>dellestable_1851-12-31</t>
  </si>
  <si>
    <t>dellisse_1840-03-31</t>
  </si>
  <si>
    <t>delmas_1834-03-27</t>
  </si>
  <si>
    <t>delmas_1853-07-27</t>
  </si>
  <si>
    <t>delmas_1885-07-26</t>
  </si>
  <si>
    <t>delmont_1874-10-02</t>
  </si>
  <si>
    <t>delmotte_1876-02-05</t>
  </si>
  <si>
    <t>delobeau_1834-09-02</t>
  </si>
  <si>
    <t>delom-sorbé_1860-01-12</t>
  </si>
  <si>
    <t>delom-sorbé_1898-09-17</t>
  </si>
  <si>
    <t>delombre_1848-03-18</t>
  </si>
  <si>
    <t>delon-soubeiran_1837-11-21</t>
  </si>
  <si>
    <t>deloncle_1856-08-14</t>
  </si>
  <si>
    <t>deloncle_1866-01-27</t>
  </si>
  <si>
    <t>delord_1808-02-21</t>
  </si>
  <si>
    <t>delorme_1865-03-09</t>
  </si>
  <si>
    <t>delory_1857-09-10</t>
  </si>
  <si>
    <t>delourme_1877-01-14</t>
  </si>
  <si>
    <t>delpech-cantaloup_1848-02-25</t>
  </si>
  <si>
    <t>delpech_1834-09-08</t>
  </si>
  <si>
    <t>delpech_1846-12-22</t>
  </si>
  <si>
    <t>delpeuch_1860-07-24</t>
  </si>
  <si>
    <t>delpierre_1859-05-24</t>
  </si>
  <si>
    <t>delport_1840-11-04</t>
  </si>
  <si>
    <t>delport_1866-09-24</t>
  </si>
  <si>
    <t>delpuech_1888-04-05</t>
  </si>
  <si>
    <t>delsart_1883-12-08</t>
  </si>
  <si>
    <t>delsol_1827-10-27</t>
  </si>
  <si>
    <t>delsol_1870-03-09</t>
  </si>
  <si>
    <t>delsor_1847-10-05</t>
  </si>
  <si>
    <t>delthil_1869-05-11</t>
  </si>
  <si>
    <t>deluns-montaud_1845-06-05</t>
  </si>
  <si>
    <t>deléglise_1856-06-11</t>
  </si>
  <si>
    <t>demalvillain_1841-01-18</t>
  </si>
  <si>
    <t>demarcay_1835-10-26</t>
  </si>
  <si>
    <t>demarçay_1835-10-26</t>
  </si>
  <si>
    <t>demellier_1862-04-07</t>
  </si>
  <si>
    <t>demesmay_1876-10-10</t>
  </si>
  <si>
    <t>demiautte_1829-10-15</t>
  </si>
  <si>
    <t>demole_1828-03-22</t>
  </si>
  <si>
    <t>demoulin_1863-08-30</t>
  </si>
  <si>
    <t>demoulins de riols_1833-11-15</t>
  </si>
  <si>
    <t>demôle_1828-03-22</t>
  </si>
  <si>
    <t>denain_1880-11-06</t>
  </si>
  <si>
    <t>denais_1877-08-10</t>
  </si>
  <si>
    <t>denayrouze_1848-05-17</t>
  </si>
  <si>
    <t>deniau_1834-02-01</t>
  </si>
  <si>
    <t>denis_1833-08-20</t>
  </si>
  <si>
    <t>denis_1853-11-23</t>
  </si>
  <si>
    <t>denis_1858-05-14</t>
  </si>
  <si>
    <t>denis_1866-01-12</t>
  </si>
  <si>
    <t>denis_1868-10-28</t>
  </si>
  <si>
    <t>denise_1863-05-19</t>
  </si>
  <si>
    <t>denizot_1830-04-04</t>
  </si>
  <si>
    <t>denoix_1848-06-29</t>
  </si>
  <si>
    <t>denormandie_1821-08-16</t>
  </si>
  <si>
    <t>dentu_1861-10-20</t>
  </si>
  <si>
    <t>denécheau_1845-05-13</t>
  </si>
  <si>
    <t>depasse_1842-12-14</t>
  </si>
  <si>
    <t>depierre_1888-03-15</t>
  </si>
  <si>
    <t>depreux_1826-03-07</t>
  </si>
  <si>
    <t>deprez_1839-06-23</t>
  </si>
  <si>
    <t>deproge_1850-08-05</t>
  </si>
  <si>
    <t>derangère_1863-01-27</t>
  </si>
  <si>
    <t>deribéré-desgardes_1848-10-28</t>
  </si>
  <si>
    <t>derognat_1865-02-15</t>
  </si>
  <si>
    <t>deroyer_1824-09-24</t>
  </si>
  <si>
    <t>derrien_1857-07-23</t>
  </si>
  <si>
    <t>derveloy_1855-01-16</t>
  </si>
  <si>
    <t>des rotours_1888-07-01</t>
  </si>
  <si>
    <t>desbassyns de richemont_1833-01-29</t>
  </si>
  <si>
    <t>desbons_1891-02-01</t>
  </si>
  <si>
    <t>descamps_1832-10-13</t>
  </si>
  <si>
    <t>descaure_1848-05-11</t>
  </si>
  <si>
    <t>deschamps_1861-01-05</t>
  </si>
  <si>
    <t>deschamps_1878-12-23</t>
  </si>
  <si>
    <t>deschanel_1819-11-19</t>
  </si>
  <si>
    <t>deschanel_1855-02-13</t>
  </si>
  <si>
    <t>deschanel_1904-09-01</t>
  </si>
  <si>
    <t>deschizeaux_1897-12-15</t>
  </si>
  <si>
    <t>descubes-desgueraines_1853-01-29</t>
  </si>
  <si>
    <t>descubes_1887-03-02</t>
  </si>
  <si>
    <t>desfarges_1851-08-12</t>
  </si>
  <si>
    <t>desgenétais_1854-10-05</t>
  </si>
  <si>
    <t>desgeorges_1888-08-24</t>
  </si>
  <si>
    <t>desgranges_1857-09-07</t>
  </si>
  <si>
    <t>desgranges_1874-01-12</t>
  </si>
  <si>
    <t>desgroux_1854-09-26</t>
  </si>
  <si>
    <t>deshayes de marcere_1828-03-16</t>
  </si>
  <si>
    <t>deshayes_1833-01-15</t>
  </si>
  <si>
    <t>deshayes_1867-11-15</t>
  </si>
  <si>
    <t>desjardins_1840-05-21</t>
  </si>
  <si>
    <t>desjardins_1845-09-23</t>
  </si>
  <si>
    <t>desjardins_1878-12-24</t>
  </si>
  <si>
    <t>desloges_1828-05-14</t>
  </si>
  <si>
    <t>desmazes_1806-11-16</t>
  </si>
  <si>
    <t>desmons_1832-10-14</t>
  </si>
  <si>
    <t>desmoutiers_1810-01-30</t>
  </si>
  <si>
    <t>desoblin_1873-07-26</t>
  </si>
  <si>
    <t>despax_1878-11-22</t>
  </si>
  <si>
    <t>desplas_1856-01-30</t>
  </si>
  <si>
    <t>desprez-potié_1887-09-26</t>
  </si>
  <si>
    <t>després_1834-04-12</t>
  </si>
  <si>
    <t>després_1890-01-25</t>
  </si>
  <si>
    <t>dessaint_1869-02-15</t>
  </si>
  <si>
    <t>dessein_1875-02-23</t>
  </si>
  <si>
    <t>dessoliers_1845-02-02</t>
  </si>
  <si>
    <t>dessoye_1854-08-23</t>
  </si>
  <si>
    <t>destandau_1828-03-17</t>
  </si>
  <si>
    <t>destieux-junca_1855-01-11</t>
  </si>
  <si>
    <t>dethil_1834-06-30</t>
  </si>
  <si>
    <t>dethomas_1842-10-04</t>
  </si>
  <si>
    <t>dethou_1819-04-18</t>
  </si>
  <si>
    <t>deudon_1889-06-10</t>
  </si>
  <si>
    <t>deudon_1896-04-03</t>
  </si>
  <si>
    <t>devade_1818-01-11</t>
  </si>
  <si>
    <t>devaud_1896-05-15</t>
  </si>
  <si>
    <t>devaux_1819-11-23</t>
  </si>
  <si>
    <t>develle_1831-04-06</t>
  </si>
  <si>
    <t>develle_1845-04-12</t>
  </si>
  <si>
    <t>develle_1845-08-12</t>
  </si>
  <si>
    <t>deves_1837-11-03</t>
  </si>
  <si>
    <t>devic_1836-10-03</t>
  </si>
  <si>
    <t>deville_1841-03-14</t>
  </si>
  <si>
    <t>deville_1854-03-08</t>
  </si>
  <si>
    <t>devins_1850-12-28</t>
  </si>
  <si>
    <t>devès_1837-11-03</t>
  </si>
  <si>
    <t>devèze_1863-05-21</t>
  </si>
  <si>
    <t>dewez_1904-09-30</t>
  </si>
  <si>
    <t>deyris_1875-10-30</t>
  </si>
  <si>
    <t>dezarnaulds_1879-12-07</t>
  </si>
  <si>
    <t>dherbecourt_1865-03-31</t>
  </si>
  <si>
    <t>diagne_1872-10-13</t>
  </si>
  <si>
    <t>diancourt_1825-10-05</t>
  </si>
  <si>
    <t>dide_1839-04-04</t>
  </si>
  <si>
    <t>didier_1807-04-12</t>
  </si>
  <si>
    <t>didry_1862-04-15</t>
  </si>
  <si>
    <t>diebolt-weber_1859-12-10</t>
  </si>
  <si>
    <t>dien_1875-05-24</t>
  </si>
  <si>
    <t>diesbach_1893-08-31</t>
  </si>
  <si>
    <t>dietz-monnin_1826-11-13</t>
  </si>
  <si>
    <t>dieu_1842-01-14</t>
  </si>
  <si>
    <t>dieude-defly_1809-02-10</t>
  </si>
  <si>
    <t>dignac_1876-01-13</t>
  </si>
  <si>
    <t>dillon_1834-05-18</t>
  </si>
  <si>
    <t>dindeau_1841-12-24</t>
  </si>
  <si>
    <t>dion_1856-03-10</t>
  </si>
  <si>
    <t>dior_1867-07-04</t>
  </si>
  <si>
    <t>diouf_1875-09-14</t>
  </si>
  <si>
    <t>disleau_1853-03-30</t>
  </si>
  <si>
    <t>dodat_1862-02-14</t>
  </si>
  <si>
    <t>doeblé_1890-02-24</t>
  </si>
  <si>
    <t>doizy_1869-01-03</t>
  </si>
  <si>
    <t>dollat_1882-07-18</t>
  </si>
  <si>
    <t>doléris_1852-12-22</t>
  </si>
  <si>
    <t>dommange_1888-12-18</t>
  </si>
  <si>
    <t>donadei_1875-06-13</t>
  </si>
  <si>
    <t>donadeï_1875-06-13</t>
  </si>
  <si>
    <t>donnet_1831-01-10</t>
  </si>
  <si>
    <t>donnot_1827-10-15</t>
  </si>
  <si>
    <t>donon_1879-06-12</t>
  </si>
  <si>
    <t>dorian_1852-04-12</t>
  </si>
  <si>
    <t>dorian_1855-06-02</t>
  </si>
  <si>
    <t>doriot_1898-09-26</t>
  </si>
  <si>
    <t>dorly_1867-05-05</t>
  </si>
  <si>
    <t>dormann_1881-04-20</t>
  </si>
  <si>
    <t>dormoy_1862-02-17</t>
  </si>
  <si>
    <t>dormoy_1876-07-09</t>
  </si>
  <si>
    <t>dormoy_1888-08-01</t>
  </si>
  <si>
    <t>douarec_1884-03-24</t>
  </si>
  <si>
    <t>doumer_1857-03-22</t>
  </si>
  <si>
    <t>doumergue_1863-08-01</t>
  </si>
  <si>
    <t>doussain_1872-05-01</t>
  </si>
  <si>
    <t>doussaud_1871-06-16</t>
  </si>
  <si>
    <t>douville-maillefeu_1835-08-06</t>
  </si>
  <si>
    <t>drelon_1861-03-15</t>
  </si>
  <si>
    <t>dreux-linget_1829-04-22</t>
  </si>
  <si>
    <t>dreux_1829-04-22</t>
  </si>
  <si>
    <t>dreyfus_1849-05-05</t>
  </si>
  <si>
    <t>dreyfus_1851-08-19</t>
  </si>
  <si>
    <t>dreyt_1857-12-14</t>
  </si>
  <si>
    <t>driant_1855-09-11</t>
  </si>
  <si>
    <t>drivet_1863-08-31</t>
  </si>
  <si>
    <t>drivet_1863-09-01</t>
  </si>
  <si>
    <t>dron_1856-10-21</t>
  </si>
  <si>
    <t>drouhet_1817-04-04</t>
  </si>
  <si>
    <t>drouillard_1833-07-16</t>
  </si>
  <si>
    <t>drouot_1876-02-10</t>
  </si>
  <si>
    <t>drumel_1844-01-25</t>
  </si>
  <si>
    <t>drumont_1844-05-03</t>
  </si>
  <si>
    <t>dréo_1829-12-07</t>
  </si>
  <si>
    <t>dréolle_1829-07-01</t>
  </si>
  <si>
    <t>du campe de rosamel_1833-06-14</t>
  </si>
  <si>
    <t>du chaffault_1822-05-19</t>
  </si>
  <si>
    <t>du motier de la fayette_1818-01-11</t>
  </si>
  <si>
    <t>dubarle_1881-10-16</t>
  </si>
  <si>
    <t>dubief_1850-10-14</t>
  </si>
  <si>
    <t>dubled_1864-01-21</t>
  </si>
  <si>
    <t>dubochet_1852-11-26</t>
  </si>
  <si>
    <t>duboin_1878-09-17</t>
  </si>
  <si>
    <t>duboin_1879-09-17</t>
  </si>
  <si>
    <t>dubois_1814-03-28</t>
  </si>
  <si>
    <t>dubois_1837-12-04</t>
  </si>
  <si>
    <t>dubois_1839-08-21</t>
  </si>
  <si>
    <t>dubois_1842-01-23</t>
  </si>
  <si>
    <t>dubois_1849-10-16</t>
  </si>
  <si>
    <t>dubois_1853-12-28</t>
  </si>
  <si>
    <t>dubois_1859-06-10</t>
  </si>
  <si>
    <t>dubois_1867-02-22</t>
  </si>
  <si>
    <t>dubon_1894-09-11</t>
  </si>
  <si>
    <t>dubosc_1874-03-07</t>
  </si>
  <si>
    <t>dubost_1842-04-06</t>
  </si>
  <si>
    <t>dubost_1844-04-06</t>
  </si>
  <si>
    <t>duboys fresney_1808-08-15</t>
  </si>
  <si>
    <t>duboys fresney_1837-04-07</t>
  </si>
  <si>
    <t>duboys-fresney_1873-05-17</t>
  </si>
  <si>
    <t>dubreuil_1873-12-30</t>
  </si>
  <si>
    <t>dubrulle_1821-11-26</t>
  </si>
  <si>
    <t>dubuisson_1842-02-12</t>
  </si>
  <si>
    <t>ducarouge_1859-10-13</t>
  </si>
  <si>
    <t>ducaud_1877-09-04</t>
  </si>
  <si>
    <t>duchasseint_1814-01-20</t>
  </si>
  <si>
    <t>duchatel_1838-10-19</t>
  </si>
  <si>
    <t>duchein_1869-01-15</t>
  </si>
  <si>
    <t>ducher_1832-10-21</t>
  </si>
  <si>
    <t>duchesne-fournet_1845-05-20</t>
  </si>
  <si>
    <t>duchesne-fournet_1880-08-01</t>
  </si>
  <si>
    <t>duchesne_1851-08-21</t>
  </si>
  <si>
    <t>duché_1843-06-08</t>
  </si>
  <si>
    <t>duclaud_1824-04-08</t>
  </si>
  <si>
    <t>duclaux-monteil_1848-07-30</t>
  </si>
  <si>
    <t>duclaux-monteil_1848-07-31</t>
  </si>
  <si>
    <t>duclerc_1812-11-09</t>
  </si>
  <si>
    <t>duclos_1896-10-02</t>
  </si>
  <si>
    <t>ducos_1833-10-14</t>
  </si>
  <si>
    <t>ducos_1881-10-04</t>
  </si>
  <si>
    <t>ducoudray_1842-08-19</t>
  </si>
  <si>
    <t>ducroz_1820-05-21</t>
  </si>
  <si>
    <t>dudouyt_1851-10-24</t>
  </si>
  <si>
    <t>duez_1872-08-18</t>
  </si>
  <si>
    <t>dufaure_1846-08-17</t>
  </si>
  <si>
    <t>dufaure_1851-11-27</t>
  </si>
  <si>
    <t>dufay_1815-06-24</t>
  </si>
  <si>
    <t>duffau_1853-02-24</t>
  </si>
  <si>
    <t>dufour_1824-04-03</t>
  </si>
  <si>
    <t>dufour_1844-03-30</t>
  </si>
  <si>
    <t>dufour_1846-02-23</t>
  </si>
  <si>
    <t>dufour_1850-01-02</t>
  </si>
  <si>
    <t>dufournel_1808-08-30</t>
  </si>
  <si>
    <t>dufoussat_1843-07-10</t>
  </si>
  <si>
    <t>dufraigne_1822-04-28</t>
  </si>
  <si>
    <t>dufresne_1809-03-28</t>
  </si>
  <si>
    <t>dufrèche_1864-01-13</t>
  </si>
  <si>
    <t>dugueyt_1877-09-17</t>
  </si>
  <si>
    <t>dujardin-beaumetz_1852-09-20</t>
  </si>
  <si>
    <t>dujardin-beaumetz_1852-12-29</t>
  </si>
  <si>
    <t>dulac_1834-10-18</t>
  </si>
  <si>
    <t>dulau_1857-07-26</t>
  </si>
  <si>
    <t>dumaine_1877-06-22</t>
  </si>
  <si>
    <t>dumas_1852-08-07</t>
  </si>
  <si>
    <t>dumas_1857-10-01</t>
  </si>
  <si>
    <t>dumas_1873-11-18</t>
  </si>
  <si>
    <t>dumas_1883-07-21</t>
  </si>
  <si>
    <t>dumat_1901-12-24</t>
  </si>
  <si>
    <t>dumay_1841-09-10</t>
  </si>
  <si>
    <t>dumesnil_1805-11-25</t>
  </si>
  <si>
    <t>dumesnil_1879-01-24</t>
  </si>
  <si>
    <t>dumesnil_1882-03-15</t>
  </si>
  <si>
    <t>dumon_1820-09-20</t>
  </si>
  <si>
    <t>dumont_1845-08-17</t>
  </si>
  <si>
    <t>dumont_1865-04-16</t>
  </si>
  <si>
    <t>dumont_1867-08-31</t>
  </si>
  <si>
    <t>dumont_1867-12-23</t>
  </si>
  <si>
    <t>dumonteil_1853-08-28</t>
  </si>
  <si>
    <t>dumoret_1892-06-24</t>
  </si>
  <si>
    <t>dunaime_1855-10-11</t>
  </si>
  <si>
    <t>dupin_1864-02-04</t>
  </si>
  <si>
    <t>duplantier_1874-03-04</t>
  </si>
  <si>
    <t>dupon_1823-04-20</t>
  </si>
  <si>
    <t>dupont_1811-03-21</t>
  </si>
  <si>
    <t>dupont_1848-02-28</t>
  </si>
  <si>
    <t>dupont_1872-01-13</t>
  </si>
  <si>
    <t>duport_1862-01-26</t>
  </si>
  <si>
    <t>duportal_1814-02-17</t>
  </si>
  <si>
    <t>duportal_1848-02-14</t>
  </si>
  <si>
    <t>dupourqué_1859-04-08</t>
  </si>
  <si>
    <t>dupouy_1825-07-01</t>
  </si>
  <si>
    <t>dupre_1811-01-10</t>
  </si>
  <si>
    <t>duprey_1864-10-16</t>
  </si>
  <si>
    <t>dupré_1871-01-20</t>
  </si>
  <si>
    <t>dupuis_1891-08-16</t>
  </si>
  <si>
    <t>dupuy charles dit_1851-11-05</t>
  </si>
  <si>
    <t>dupuy de lôme_1816-10-15</t>
  </si>
  <si>
    <t>dupuy-dutemps_1847-01-05</t>
  </si>
  <si>
    <t>dupuy_1844-10-01</t>
  </si>
  <si>
    <t>dupuy_1846-07-08</t>
  </si>
  <si>
    <t>dupuy_1848-10-15</t>
  </si>
  <si>
    <t>dupuy_1851-11-05</t>
  </si>
  <si>
    <t>dupuy_1876-06-21</t>
  </si>
  <si>
    <t>dupuy_1878-06-28</t>
  </si>
  <si>
    <t>dupuytrem_1863-09-09</t>
  </si>
  <si>
    <t>duquaire_1859-02-12</t>
  </si>
  <si>
    <t>duquesnay_1846-01-07</t>
  </si>
  <si>
    <t>duquesnel_1860-08-29</t>
  </si>
  <si>
    <t>durafour_1876-08-12</t>
  </si>
  <si>
    <t>durand-béchet_1886-04-12</t>
  </si>
  <si>
    <t>durand-savoyat_1847-02-14</t>
  </si>
  <si>
    <t>durand-savoyat_1849-12-11</t>
  </si>
  <si>
    <t>durand_1838-04-13</t>
  </si>
  <si>
    <t>durand_1843-12-22</t>
  </si>
  <si>
    <t>durand_1849-05-08</t>
  </si>
  <si>
    <t>durand_1865-01-08</t>
  </si>
  <si>
    <t>durand_1874-03-23</t>
  </si>
  <si>
    <t>durand_1874-05-25</t>
  </si>
  <si>
    <t>durandy_1868-10-18</t>
  </si>
  <si>
    <t>duroux_1878-10-15</t>
  </si>
  <si>
    <t>durre_1867-09-15</t>
  </si>
  <si>
    <t>dusevel_1840-10-05</t>
  </si>
  <si>
    <t>dusevel_1881-04-11</t>
  </si>
  <si>
    <t>dusolier_1836-09-21</t>
  </si>
  <si>
    <t>dussaussoy-hubert_1820-09-05</t>
  </si>
  <si>
    <t>dussaussoy_1860-01-06</t>
  </si>
  <si>
    <t>dussuel_1858-10-10</t>
  </si>
  <si>
    <t>dutailly_1847-08-02</t>
  </si>
  <si>
    <t>dutaud_1883-06-15</t>
  </si>
  <si>
    <t>dutilleul_1837-03-15</t>
  </si>
  <si>
    <t>dutreil_1875-07-13</t>
  </si>
  <si>
    <t>dutreix_1848-02-10</t>
  </si>
  <si>
    <t>duval-arnould_1863-08-06</t>
  </si>
  <si>
    <t>duval_1818-01-13</t>
  </si>
  <si>
    <t>duval_1841-01-20</t>
  </si>
  <si>
    <t>duval_1875-05-30</t>
  </si>
  <si>
    <t>duvau_1855-03-05</t>
  </si>
  <si>
    <t>duvaux_1827-05-21</t>
  </si>
  <si>
    <t>duvigneau_1833-08-21</t>
  </si>
  <si>
    <t>duvivier_1817-08-10</t>
  </si>
  <si>
    <t>dèche_1855-09-18</t>
  </si>
  <si>
    <t>déat_1894-03-07</t>
  </si>
  <si>
    <t>déchelette_1864-08-12</t>
  </si>
  <si>
    <t>décloux_1875-01-23</t>
  </si>
  <si>
    <t>délieux_1850-09-17</t>
  </si>
  <si>
    <t>déprez_1839-06-23</t>
  </si>
  <si>
    <t>déroulède_1846-09-02</t>
  </si>
  <si>
    <t>détailleur_1890-11-22</t>
  </si>
  <si>
    <t>dézarnaulds_1879-12-07</t>
  </si>
  <si>
    <t>eccard_1867-09-02</t>
  </si>
  <si>
    <t>elbel_1875-03-06</t>
  </si>
  <si>
    <t>elby_1857-11-25</t>
  </si>
  <si>
    <t>elby_1894-07-15</t>
  </si>
  <si>
    <t>eldin_1879-12-16</t>
  </si>
  <si>
    <t>eliez-evrard_1843-12-04</t>
  </si>
  <si>
    <t>ellen-prévot_1877-08-11</t>
  </si>
  <si>
    <t>elmiger_1886-03-29</t>
  </si>
  <si>
    <t>elsaesser_1891-01-04</t>
  </si>
  <si>
    <t>elva_1850-09-21</t>
  </si>
  <si>
    <t>empereur_1848-05-17</t>
  </si>
  <si>
    <t>engerand_1841-04-23</t>
  </si>
  <si>
    <t>engerand_1867-04-15</t>
  </si>
  <si>
    <t>enjolras_1854-05-30</t>
  </si>
  <si>
    <t>epivent_1877-08-23</t>
  </si>
  <si>
    <t>erlich_1884-04-07</t>
  </si>
  <si>
    <t>ermant_1852-06-22</t>
  </si>
  <si>
    <t>escande_1847-08-13</t>
  </si>
  <si>
    <t>escande_1879-05-10</t>
  </si>
  <si>
    <t>escanyé_1833-05-15</t>
  </si>
  <si>
    <t>escarguel_1816-03-23</t>
  </si>
  <si>
    <t>escartefigue_1872-11-02</t>
  </si>
  <si>
    <t>eschassériaux_1823-07-25</t>
  </si>
  <si>
    <t>escoffier_1877-07-31</t>
  </si>
  <si>
    <t>escoffier_1886-05-20</t>
  </si>
  <si>
    <t>escoulent_1881-12-28</t>
  </si>
  <si>
    <t>escudier_1858-03-15</t>
  </si>
  <si>
    <t>esnault_1812-06-16</t>
  </si>
  <si>
    <t>espinasse_1810-09-04</t>
  </si>
  <si>
    <t>espivent de la villeboisnet_1813-03-30</t>
  </si>
  <si>
    <t>essarts_1865-03-06</t>
  </si>
  <si>
    <t>etcheverry_1853-02-22</t>
  </si>
  <si>
    <t>etienne_1844-12-15</t>
  </si>
  <si>
    <t>euzière_1842-05-20</t>
  </si>
  <si>
    <t>evain_1864-01-16</t>
  </si>
  <si>
    <t>even_1813-03-11</t>
  </si>
  <si>
    <t>even_1834-09-29</t>
  </si>
  <si>
    <t>even_1884-05-06</t>
  </si>
  <si>
    <t>evesque_1855-12-04</t>
  </si>
  <si>
    <t>evrard_1879-06-03</t>
  </si>
  <si>
    <t>expert-bezançon_1845-01-05</t>
  </si>
  <si>
    <t>eymard-duvernay_1816-01-03</t>
  </si>
  <si>
    <t>eymery_1862-06-07</t>
  </si>
  <si>
    <t>eymond_1859-06-08</t>
  </si>
  <si>
    <t>eynac_1886-10-04</t>
  </si>
  <si>
    <t>eynard_1874-08-04</t>
  </si>
  <si>
    <t>faberot_1834-05-27</t>
  </si>
  <si>
    <t>fabre_1842-12-10</t>
  </si>
  <si>
    <t>fabre_1851-11-29</t>
  </si>
  <si>
    <t>fabre_1871-01-11</t>
  </si>
  <si>
    <t>fabre_1879-02-12</t>
  </si>
  <si>
    <t>fabry_1876-06-06</t>
  </si>
  <si>
    <t>fachard_1846-04-26</t>
  </si>
  <si>
    <t>faget_1861-07-25</t>
  </si>
  <si>
    <t>fagot_1831-01-01</t>
  </si>
  <si>
    <t>fagot_1858-11-10</t>
  </si>
  <si>
    <t>faidherbe_1818-06-03</t>
  </si>
  <si>
    <t>failliot_1851-10-26</t>
  </si>
  <si>
    <t>fairé_1824-03-01</t>
  </si>
  <si>
    <t>faisans_1847-07-28</t>
  </si>
  <si>
    <t>faisant_1876-12-31</t>
  </si>
  <si>
    <t>falcoz_1884-05-06</t>
  </si>
  <si>
    <t>falcoz_1884-11-07</t>
  </si>
  <si>
    <t>fallieres_1841-11-06</t>
  </si>
  <si>
    <t>fallieres_1875-09-30</t>
  </si>
  <si>
    <t>fallières_1841-11-06</t>
  </si>
  <si>
    <t>fallières_1875-09-30</t>
  </si>
  <si>
    <t>fanien_1827-01-19</t>
  </si>
  <si>
    <t>farcy_1830-03-19</t>
  </si>
  <si>
    <t>fardinière_1897-05-12</t>
  </si>
  <si>
    <t>farges_1858-10-12</t>
  </si>
  <si>
    <t>farines_1825-02-16</t>
  </si>
  <si>
    <t>farinole_1832-09-01</t>
  </si>
  <si>
    <t>farjon_1841-12-19</t>
  </si>
  <si>
    <t>farjon_1850-01-25</t>
  </si>
  <si>
    <t>farjon_1876-03-27</t>
  </si>
  <si>
    <t>farny_1848-07-04</t>
  </si>
  <si>
    <t>farre_1816-05-05</t>
  </si>
  <si>
    <t>fauchon_1894-03-04</t>
  </si>
  <si>
    <t>fauconnerie_1835-05-11</t>
  </si>
  <si>
    <t>faugere_1869-12-27</t>
  </si>
  <si>
    <t>faugère_1869-12-27</t>
  </si>
  <si>
    <t>faure maurice dit_1850-01-19</t>
  </si>
  <si>
    <t>faure_1816-08-26</t>
  </si>
  <si>
    <t>faure_1838-10-20</t>
  </si>
  <si>
    <t>faure_1841-01-30</t>
  </si>
  <si>
    <t>faure_1841-01-31</t>
  </si>
  <si>
    <t>faure_1850-01-07</t>
  </si>
  <si>
    <t>faure_1850-08-20</t>
  </si>
  <si>
    <t>faure_1853-03-16</t>
  </si>
  <si>
    <t>faure_1864-07-28</t>
  </si>
  <si>
    <t>faure_1873-02-16</t>
  </si>
  <si>
    <t>faure_1875-08-08</t>
  </si>
  <si>
    <t>faure_1878-02-03</t>
  </si>
  <si>
    <t>faure_1880-04-26</t>
  </si>
  <si>
    <t>faure_1882-05-22</t>
  </si>
  <si>
    <t>faure_1890-07-21</t>
  </si>
  <si>
    <t>faure_1891-10-11</t>
  </si>
  <si>
    <t>fauré_1840-01-03</t>
  </si>
  <si>
    <t>faverges_1829-12-17</t>
  </si>
  <si>
    <t>favernay_1827-03-09</t>
  </si>
  <si>
    <t>favre_1869-02-27</t>
  </si>
  <si>
    <t>fayard_1816-04-02</t>
  </si>
  <si>
    <t>faye_1828-11-16</t>
  </si>
  <si>
    <t>fayolle_1815-02-16</t>
  </si>
  <si>
    <t>fayolle_1867-03-07</t>
  </si>
  <si>
    <t>fayolle_1867-03-08</t>
  </si>
  <si>
    <t>fays_1870-03-13</t>
  </si>
  <si>
    <t>fayssat_1855-12-08</t>
  </si>
  <si>
    <t>fayssat_1897-11-14</t>
  </si>
  <si>
    <t>febvre_1869-02-17</t>
  </si>
  <si>
    <t>fels_1890-01-27</t>
  </si>
  <si>
    <t>feltre_1844-09-14</t>
  </si>
  <si>
    <t>fenal_1851-09-12</t>
  </si>
  <si>
    <t>fenoux_1868-08-17</t>
  </si>
  <si>
    <t>feral_1830-12-13</t>
  </si>
  <si>
    <t>feray_1804-05-29</t>
  </si>
  <si>
    <t>fernand-laurent_1889-05-15</t>
  </si>
  <si>
    <t>ferrand_1844-05-10</t>
  </si>
  <si>
    <t>ferrand_1864-08-15</t>
  </si>
  <si>
    <t>ferrand_1892-01-10</t>
  </si>
  <si>
    <t>ferraris_1886-12-28</t>
  </si>
  <si>
    <t>ferrary_1827-04-27</t>
  </si>
  <si>
    <t>ferrero_1859-12-25</t>
  </si>
  <si>
    <t>ferret_1851-09-02</t>
  </si>
  <si>
    <t>ferrette_1869-07-13</t>
  </si>
  <si>
    <t>ferrier_1842-06-14</t>
  </si>
  <si>
    <t>ferrière_1838-03-17</t>
  </si>
  <si>
    <t>ferron_1830-09-19</t>
  </si>
  <si>
    <t>ferronnays_1842-09-15</t>
  </si>
  <si>
    <t>ferronnays_1876-04-08</t>
  </si>
  <si>
    <t>ferrouillat_1820-05-04</t>
  </si>
  <si>
    <t>ferroul_1853-12-13</t>
  </si>
  <si>
    <t>ferru_1905-05-13</t>
  </si>
  <si>
    <t>ferry_1821-01-07</t>
  </si>
  <si>
    <t>ferry_1832-04-05</t>
  </si>
  <si>
    <t>ferry_1833-02-27</t>
  </si>
  <si>
    <t>ferry_1834-05-23</t>
  </si>
  <si>
    <t>ferry_1881-05-26</t>
  </si>
  <si>
    <t>ferry_1886-10-26</t>
  </si>
  <si>
    <t>ferté_1873-12-08</t>
  </si>
  <si>
    <t>fesq_1851-05-13</t>
  </si>
  <si>
    <t>fessard_1844-02-11</t>
  </si>
  <si>
    <t>feuchin_1868-08-28</t>
  </si>
  <si>
    <t>feuga_1863-04-03</t>
  </si>
  <si>
    <t>feuillette_1883-01-12</t>
  </si>
  <si>
    <t>fevre_1867-08-07</t>
  </si>
  <si>
    <t>fiancette_1881-10-25</t>
  </si>
  <si>
    <t>fiesnet_1827-11-14</t>
  </si>
  <si>
    <t>fieu_1879-11-07</t>
  </si>
  <si>
    <t>fievet_1817-03-26</t>
  </si>
  <si>
    <t>filhol de camas_1866-12-16</t>
  </si>
  <si>
    <t>filhol_1824-04-11</t>
  </si>
  <si>
    <t>filhoud-lavergne_1889-07-08</t>
  </si>
  <si>
    <t>fillon_1874-05-23</t>
  </si>
  <si>
    <t>fiori_1881-02-20</t>
  </si>
  <si>
    <t>fiquet_1841-04-08</t>
  </si>
  <si>
    <t>firino_1854-09-23</t>
  </si>
  <si>
    <t>fitte_1845-04-30</t>
  </si>
  <si>
    <t>fié_1869-10-31</t>
  </si>
  <si>
    <t>fiévet_1867-02-17</t>
  </si>
  <si>
    <t>flaissieres_1851-03-25</t>
  </si>
  <si>
    <t>flandin_1853-04-01</t>
  </si>
  <si>
    <t>flandin_1868-06-19</t>
  </si>
  <si>
    <t>flandin_1889-04-12</t>
  </si>
  <si>
    <t>flayelle_1857-04-25</t>
  </si>
  <si>
    <t>fleurent_1865-01-30</t>
  </si>
  <si>
    <t>fleuret_1861-04-27</t>
  </si>
  <si>
    <t>fleurot_1874-12-20</t>
  </si>
  <si>
    <t>fleury-ravarin_1861-04-21</t>
  </si>
  <si>
    <t>fleury-ravarin_1861-04-24</t>
  </si>
  <si>
    <t>fleury_1819-02-19</t>
  </si>
  <si>
    <t>fleury_1839-11-30</t>
  </si>
  <si>
    <t>fleury_1879-08-06</t>
  </si>
  <si>
    <t>floquet_1828-10-02</t>
  </si>
  <si>
    <t>florent-lefebvre_1821-03-26</t>
  </si>
  <si>
    <t>florent_1849-02-04</t>
  </si>
  <si>
    <t>flourens_1841-04-26</t>
  </si>
  <si>
    <t>flourens_1841-04-27</t>
  </si>
  <si>
    <t>folliet_1838-03-18</t>
  </si>
  <si>
    <t>fonbelle-labrousse_1846-06-29</t>
  </si>
  <si>
    <t>fonck_1894-03-26</t>
  </si>
  <si>
    <t>fontaines_1859-05-30</t>
  </si>
  <si>
    <t>fontanier_1880-02-16</t>
  </si>
  <si>
    <t>fontanille_1858-11-21</t>
  </si>
  <si>
    <t>fonteny_1825-08-29</t>
  </si>
  <si>
    <t>forcinal_1887-05-11</t>
  </si>
  <si>
    <t>forcioli_1838-04-06</t>
  </si>
  <si>
    <t>forest_1813-11-20</t>
  </si>
  <si>
    <t>forest_1827-08-03</t>
  </si>
  <si>
    <t>forest_1852-09-13</t>
  </si>
  <si>
    <t>forge_1821-04-01</t>
  </si>
  <si>
    <t>forgemol de bostquenard_1851-11-20</t>
  </si>
  <si>
    <t>forgeot_1888-03-10</t>
  </si>
  <si>
    <t>forichon_1848-11-17</t>
  </si>
  <si>
    <t>forissier_1889-03-06</t>
  </si>
  <si>
    <t>forni_1838-09-17</t>
  </si>
  <si>
    <t>forné_1829-02-13</t>
  </si>
  <si>
    <t>forsans_1853-09-01</t>
  </si>
  <si>
    <t>forsanz_1825-04-16</t>
  </si>
  <si>
    <t>fort_1865-01-12</t>
  </si>
  <si>
    <t>fortier_1836-08-18</t>
  </si>
  <si>
    <t>fortin_1858-03-31</t>
  </si>
  <si>
    <t>forzy_1856-01-15</t>
  </si>
  <si>
    <t>foubert_1812-05-21</t>
  </si>
  <si>
    <t>foucher de careil_1826-03-01</t>
  </si>
  <si>
    <t>foucher_1862-02-05</t>
  </si>
  <si>
    <t>fouché_1858-09-18</t>
  </si>
  <si>
    <t>fougeirol_1843-04-09</t>
  </si>
  <si>
    <t>fougère_1871-01-04</t>
  </si>
  <si>
    <t>fougère_1882-06-04</t>
  </si>
  <si>
    <t>fouilland_1900-10-04</t>
  </si>
  <si>
    <t>fouilloux_1870-10-08</t>
  </si>
  <si>
    <t>fould_1861-08-10</t>
  </si>
  <si>
    <t>fould_1890-09-19</t>
  </si>
  <si>
    <t>foulhy_1858-08-29</t>
  </si>
  <si>
    <t>foulon_1886-09-16</t>
  </si>
  <si>
    <t>fouquet_1825-11-10</t>
  </si>
  <si>
    <t>fouquet_1841-01-13</t>
  </si>
  <si>
    <t>fouquier_1838-09-01</t>
  </si>
  <si>
    <t>fourcade_1862-08-05</t>
  </si>
  <si>
    <t>fourcand-léon_1806-10-10</t>
  </si>
  <si>
    <t>fourichon_1809-01-10</t>
  </si>
  <si>
    <t>fourment_1869-05-04</t>
  </si>
  <si>
    <t>fournier-sarlovèze_1869-01-14</t>
  </si>
  <si>
    <t>fournier_1821-07-29</t>
  </si>
  <si>
    <t>fournier_1826-02-19</t>
  </si>
  <si>
    <t>fournier_1830-09-01</t>
  </si>
  <si>
    <t>fournier_1866-08-14</t>
  </si>
  <si>
    <t>fournier_1882-03-08</t>
  </si>
  <si>
    <t>fournière_1857-05-31</t>
  </si>
  <si>
    <t>fournol_1842-09-25</t>
  </si>
  <si>
    <t>fournol_1871-06-16</t>
  </si>
  <si>
    <t>fourot_1834-03-10</t>
  </si>
  <si>
    <t>fourtou_1836-01-03</t>
  </si>
  <si>
    <t>fourès_1879-02-09</t>
  </si>
  <si>
    <t>fousset_1830-07-24</t>
  </si>
  <si>
    <t>foy_1866-03-08</t>
  </si>
  <si>
    <t>foyer_1872-06-29</t>
  </si>
  <si>
    <t>frain de la villegontier_1841-01-10</t>
  </si>
  <si>
    <t>fraisseix_1872-07-12</t>
  </si>
  <si>
    <t>framondée_1886-06-05</t>
  </si>
  <si>
    <t>franc_1825-02-02</t>
  </si>
  <si>
    <t>france_1876-12-08</t>
  </si>
  <si>
    <t>france_1907-01-11</t>
  </si>
  <si>
    <t>francois-marsal_1874-03-16</t>
  </si>
  <si>
    <t>francois-saint-maur_1869-12-19</t>
  </si>
  <si>
    <t>franconie_1845-01-15</t>
  </si>
  <si>
    <t>francoz_1847-07-03</t>
  </si>
  <si>
    <t>franklin-bouillon_1870-09-03</t>
  </si>
  <si>
    <t>françois émile krantz_1821-12-29</t>
  </si>
  <si>
    <t>françois-albert_1877-04-04</t>
  </si>
  <si>
    <t>françois-marsal_1874-03-16</t>
  </si>
  <si>
    <t>françois-poncet_1887-06-13</t>
  </si>
  <si>
    <t>françois_1833-12-27</t>
  </si>
  <si>
    <t>françois_1842-07-01</t>
  </si>
  <si>
    <t>françois_1874-12-14</t>
  </si>
  <si>
    <t>frayssinet_1871-04-08</t>
  </si>
  <si>
    <t>frebault_1813-02-01</t>
  </si>
  <si>
    <t>freppel_1827-06-01</t>
  </si>
  <si>
    <t>frery_1846-11-26</t>
  </si>
  <si>
    <t>frescheville_1823-02-23</t>
  </si>
  <si>
    <t>fresneau_1823-01-05</t>
  </si>
  <si>
    <t>frey_1888-02-26</t>
  </si>
  <si>
    <t>frezoul_1837-04-02</t>
  </si>
  <si>
    <t>friec_1857-05-13</t>
  </si>
  <si>
    <t>fringant_1872-03-31</t>
  </si>
  <si>
    <t>froget_1880-03-20</t>
  </si>
  <si>
    <t>frogier de ponlevoy_1827-07-03</t>
  </si>
  <si>
    <t>froin_1823-06-16</t>
  </si>
  <si>
    <t>froment_1838-09-14</t>
  </si>
  <si>
    <t>froment_1884-03-13</t>
  </si>
  <si>
    <t>frossard_1889-03-05</t>
  </si>
  <si>
    <t>frot_1893-10-02</t>
  </si>
  <si>
    <t>frouin_1883-08-05</t>
  </si>
  <si>
    <t>fruchier_1851-03-20</t>
  </si>
  <si>
    <t>fruchier_1865-11-04</t>
  </si>
  <si>
    <t>frugier-puyboyer_1839-04-14</t>
  </si>
  <si>
    <t>frébault_1825-03-07</t>
  </si>
  <si>
    <t>frémicourt_1877-09-27</t>
  </si>
  <si>
    <t>fréry_1846-11-26</t>
  </si>
  <si>
    <t>féau_1852-06-07</t>
  </si>
  <si>
    <t>félix_1885-12-03</t>
  </si>
  <si>
    <t>féraud_1821-08-18</t>
  </si>
  <si>
    <t>férin_1871-07-16</t>
  </si>
  <si>
    <t>féron_1845-06-22</t>
  </si>
  <si>
    <t>février_1885-11-30</t>
  </si>
  <si>
    <t>gabiat_1861-12-16</t>
  </si>
  <si>
    <t>gaborit_1867-06-07</t>
  </si>
  <si>
    <t>gabriel_1848-09-14</t>
  </si>
  <si>
    <t>gabrielli_1856-08-07</t>
  </si>
  <si>
    <t>gabrielli_1856-08-08</t>
  </si>
  <si>
    <t>gac_1889-01-21</t>
  </si>
  <si>
    <t>gacon_1847-10-08</t>
  </si>
  <si>
    <t>gadaud_1841-04-26</t>
  </si>
  <si>
    <t>gadaud_1875-03-22</t>
  </si>
  <si>
    <t>gaebele_1860-03-10</t>
  </si>
  <si>
    <t>gaffier_1861-10-17</t>
  </si>
  <si>
    <t>gagneur_1807-08-09</t>
  </si>
  <si>
    <t>gailhard-bancel_1849-11-01</t>
  </si>
  <si>
    <t>gaillard_1836-06-19</t>
  </si>
  <si>
    <t>gaillard_1839-06-21</t>
  </si>
  <si>
    <t>gaillard_1843-11-19</t>
  </si>
  <si>
    <t>gaillard_1847-04-10</t>
  </si>
  <si>
    <t>gaillemin_1880-08-03</t>
  </si>
  <si>
    <t>gailly_1825-01-25</t>
  </si>
  <si>
    <t>galiber_1824-07-02</t>
  </si>
  <si>
    <t>gallet_1874-11-12</t>
  </si>
  <si>
    <t>gallet_1875-11-26</t>
  </si>
  <si>
    <t>galley_1847-03-22</t>
  </si>
  <si>
    <t>galli_1853-11-16</t>
  </si>
  <si>
    <t>gallieni_1849-04-24</t>
  </si>
  <si>
    <t>gallini_1860-10-12</t>
  </si>
  <si>
    <t>gallix_1838-10-15</t>
  </si>
  <si>
    <t>gallois_1864-01-16</t>
  </si>
  <si>
    <t>galloni d'istria_1815-01-20</t>
  </si>
  <si>
    <t>gallot_1845-01-03</t>
  </si>
  <si>
    <t>gallou_1853-07-10</t>
  </si>
  <si>
    <t>galmot_1879-06-01</t>
  </si>
  <si>
    <t>galot_1839-02-15</t>
  </si>
  <si>
    <t>galpin_1832-02-23</t>
  </si>
  <si>
    <t>galpin_1841-01-09</t>
  </si>
  <si>
    <t>galtier_1842-01-23</t>
  </si>
  <si>
    <t>galup_1853-07-15</t>
  </si>
  <si>
    <t>galy-gasparrou_1850-07-20</t>
  </si>
  <si>
    <t>gamard_1837-10-30</t>
  </si>
  <si>
    <t>gamard_1879-10-21</t>
  </si>
  <si>
    <t>gambetta_1838-04-02</t>
  </si>
  <si>
    <t>gambon_1820-03-19</t>
  </si>
  <si>
    <t>ganault_1831-05-17</t>
  </si>
  <si>
    <t>ganault_1868-03-12</t>
  </si>
  <si>
    <t>ganivet_1819-08-12</t>
  </si>
  <si>
    <t>ganne_1815-02-26</t>
  </si>
  <si>
    <t>garat_1872-12-31</t>
  </si>
  <si>
    <t>garchery_1872-01-01</t>
  </si>
  <si>
    <t>gardey_1882-11-21</t>
  </si>
  <si>
    <t>gardiol_1879-09-25</t>
  </si>
  <si>
    <t>garet_1829-01-21</t>
  </si>
  <si>
    <t>garnier-bodéléac_1819-12-24</t>
  </si>
  <si>
    <t>garnier_1822-04-27</t>
  </si>
  <si>
    <t>garnier_1836-02-24</t>
  </si>
  <si>
    <t>garnier_1870-03-24</t>
  </si>
  <si>
    <t>garran de balzan_1838-01-30</t>
  </si>
  <si>
    <t>garreau_1852-12-05</t>
  </si>
  <si>
    <t>garrigat_1839-01-25</t>
  </si>
  <si>
    <t>garrigou_1884-07-19</t>
  </si>
  <si>
    <t>garrisson_1820-02-28</t>
  </si>
  <si>
    <t>gasconi_1842-11-22</t>
  </si>
  <si>
    <t>gasnier-duparc_1879-06-21</t>
  </si>
  <si>
    <t>gasnier_1853-07-05</t>
  </si>
  <si>
    <t>gasparin_1868-02-18</t>
  </si>
  <si>
    <t>gasser_1865-04-11</t>
  </si>
  <si>
    <t>gassier_1834-09-11</t>
  </si>
  <si>
    <t>gassier_1834-09-21</t>
  </si>
  <si>
    <t>gassis_1839-07-11</t>
  </si>
  <si>
    <t>gast_1857-10-01</t>
  </si>
  <si>
    <t>gastellier_1830-01-01</t>
  </si>
  <si>
    <t>gasté_1811-08-30</t>
  </si>
  <si>
    <t>gatineau_1828-07-13</t>
  </si>
  <si>
    <t>gaudaire_1873-07-21</t>
  </si>
  <si>
    <t>gaudin de villaine_1852-12-12</t>
  </si>
  <si>
    <t>gaudin_1825-02-07</t>
  </si>
  <si>
    <t>gaudin_1858-06-23</t>
  </si>
  <si>
    <t>gaudineau_1817-05-24</t>
  </si>
  <si>
    <t>gaudy_1832-05-03</t>
  </si>
  <si>
    <t>gaulier_1829-11-10</t>
  </si>
  <si>
    <t>gaulthier de rumilly_1792-12-08</t>
  </si>
  <si>
    <t>gaumet_1880-11-09</t>
  </si>
  <si>
    <t>gaussorgues_1841-07-29</t>
  </si>
  <si>
    <t>gaussorgues_1857-12-07</t>
  </si>
  <si>
    <t>gautherot_1880-03-29</t>
  </si>
  <si>
    <t>gauthier de l'aude_1850-09-28</t>
  </si>
  <si>
    <t>gauthier_1835-07-25</t>
  </si>
  <si>
    <t>gauthier_1850-09-20</t>
  </si>
  <si>
    <t>gautier_1848-07-08</t>
  </si>
  <si>
    <t>gautier_1851-04-25</t>
  </si>
  <si>
    <t>gautier_1870-01-25</t>
  </si>
  <si>
    <t>gautier_1881-12-30</t>
  </si>
  <si>
    <t>gautret_1862-01-05</t>
  </si>
  <si>
    <t>gautron_1892-01-07</t>
  </si>
  <si>
    <t>gauvin_1852-06-08</t>
  </si>
  <si>
    <t>gauvin_1852-11-29</t>
  </si>
  <si>
    <t>gauvin_1859-06-08</t>
  </si>
  <si>
    <t>gavini_1820-10-08</t>
  </si>
  <si>
    <t>gavini_1856-07-24</t>
  </si>
  <si>
    <t>gavini_1858-12-16</t>
  </si>
  <si>
    <t>gavoty_1866-03-12</t>
  </si>
  <si>
    <t>gavrian_1832-02-28</t>
  </si>
  <si>
    <t>gay de savary_1848-06-26</t>
  </si>
  <si>
    <t>gay_1855-11-30</t>
  </si>
  <si>
    <t>gay_1861-03-18</t>
  </si>
  <si>
    <t>gay_1874-10-13</t>
  </si>
  <si>
    <t>gayot_1834-02-02</t>
  </si>
  <si>
    <t>gayraud_1856-08-13</t>
  </si>
  <si>
    <t>gazagne_1815-04-11</t>
  </si>
  <si>
    <t>gegauff_1862-02-09</t>
  </si>
  <si>
    <t>geistdoerfer_1883-04-14</t>
  </si>
  <si>
    <t>gellié_1885-08-12</t>
  </si>
  <si>
    <t>gellé_1845-10-25</t>
  </si>
  <si>
    <t>gendre_1840-07-22</t>
  </si>
  <si>
    <t>genet_1850-04-20</t>
  </si>
  <si>
    <t>genet_1852-02-10</t>
  </si>
  <si>
    <t>genois_1880-11-02</t>
  </si>
  <si>
    <t>genoux-prachee_1854-06-12</t>
  </si>
  <si>
    <t>genoux-prachée_1854-06-12</t>
  </si>
  <si>
    <t>gent_1813-10-27</t>
  </si>
  <si>
    <t>gentil_1848-12-29</t>
  </si>
  <si>
    <t>gentil_1848-12-30</t>
  </si>
  <si>
    <t>gentilliez_1856-10-18</t>
  </si>
  <si>
    <t>gentin_1876-09-27</t>
  </si>
  <si>
    <t>genty_1887-04-30</t>
  </si>
  <si>
    <t>geoffroy-saint-hilaire_1868-08-12</t>
  </si>
  <si>
    <t>george_1830-10-03</t>
  </si>
  <si>
    <t>georges_1893-07-09</t>
  </si>
  <si>
    <t>gerard_1861-04-26</t>
  </si>
  <si>
    <t>gerbay_1835-04-17</t>
  </si>
  <si>
    <t>gerbe_1868-10-18</t>
  </si>
  <si>
    <t>gerboud_1881-03-19</t>
  </si>
  <si>
    <t>gerente_1851-07-29</t>
  </si>
  <si>
    <t>germain-martin_1872-11-07</t>
  </si>
  <si>
    <t>germain_1824-02-19</t>
  </si>
  <si>
    <t>germain_1839-06-16</t>
  </si>
  <si>
    <t>germain_1858-11-20</t>
  </si>
  <si>
    <t>gervais_1851-02-28</t>
  </si>
  <si>
    <t>gervais_1857-12-06</t>
  </si>
  <si>
    <t>gervaize_1857-02-15</t>
  </si>
  <si>
    <t>gerville-réache_1854-08-23</t>
  </si>
  <si>
    <t>ghesquière_1863-08-27</t>
  </si>
  <si>
    <t>gheusi_1870-01-06</t>
  </si>
  <si>
    <t>giaccobi_1846-09-14</t>
  </si>
  <si>
    <t>giacobbi_1846-09-14</t>
  </si>
  <si>
    <t>giacobbi_1896-03-18</t>
  </si>
  <si>
    <t>gianotti_1871-09-28</t>
  </si>
  <si>
    <t>giard_1846-08-08</t>
  </si>
  <si>
    <t>gieuré_1844-12-26</t>
  </si>
  <si>
    <t>gignoux_1890-11-29</t>
  </si>
  <si>
    <t>gigon_1867-12-09</t>
  </si>
  <si>
    <t>giguet_1834-01-13</t>
  </si>
  <si>
    <t>gilbert-boucher_1819-05-29</t>
  </si>
  <si>
    <t>gilbert_1830-04-05</t>
  </si>
  <si>
    <t>gilbert_1878-03-31</t>
  </si>
  <si>
    <t>gillet_1845-08-05</t>
  </si>
  <si>
    <t>gillette-arimondy_1846-10-16</t>
  </si>
  <si>
    <t>gilliot_1822-06-20</t>
  </si>
  <si>
    <t>gillot_1851-05-29</t>
  </si>
  <si>
    <t>gilly_1834-08-06</t>
  </si>
  <si>
    <t>ginoux-defermon_1828-04-20</t>
  </si>
  <si>
    <t>ginoux-defermon_1868-02-24</t>
  </si>
  <si>
    <t>giordan_1864-10-07</t>
  </si>
  <si>
    <t>gioux_1863-08-18</t>
  </si>
  <si>
    <t>girard-madoux_1882-01-03</t>
  </si>
  <si>
    <t>girard_1826-12-04</t>
  </si>
  <si>
    <t>girard_1837-08-11</t>
  </si>
  <si>
    <t>girard_1851-01-14</t>
  </si>
  <si>
    <t>girard_1864-10-15</t>
  </si>
  <si>
    <t>girard_1898-11-16</t>
  </si>
  <si>
    <t>girardin_1830-02-03</t>
  </si>
  <si>
    <t>giraud_1814-05-22</t>
  </si>
  <si>
    <t>giraud_1865-09-07</t>
  </si>
  <si>
    <t>giraud_1876-04-08</t>
  </si>
  <si>
    <t>giraudoux_1882-10-29</t>
  </si>
  <si>
    <t>girault_1825-10-11</t>
  </si>
  <si>
    <t>girault_1852-09-21</t>
  </si>
  <si>
    <t>giray_1866-10-13</t>
  </si>
  <si>
    <t>giresse_1849-10-30</t>
  </si>
  <si>
    <t>girod_1856-01-19</t>
  </si>
  <si>
    <t>girod_1872-08-13</t>
  </si>
  <si>
    <t>girodet_1849-03-23</t>
  </si>
  <si>
    <t>girot-pouzol_1832-03-18</t>
  </si>
  <si>
    <t>girot-pouzol_1832-04-18</t>
  </si>
  <si>
    <t>girou_1860-09-15</t>
  </si>
  <si>
    <t>giroud_1811-01-03</t>
  </si>
  <si>
    <t>glotin_1870-05-18</t>
  </si>
  <si>
    <t>goblet_1828-09-26</t>
  </si>
  <si>
    <t>goblet_1828-11-26</t>
  </si>
  <si>
    <t>gobron_1846-06-15</t>
  </si>
  <si>
    <t>godart_1871-11-26</t>
  </si>
  <si>
    <t>godelle_1832-10-21</t>
  </si>
  <si>
    <t>godet_1850-09-06</t>
  </si>
  <si>
    <t>godin_1844-03-14</t>
  </si>
  <si>
    <t>goguet_1830-05-12</t>
  </si>
  <si>
    <t>goiran_1847-04-27</t>
  </si>
  <si>
    <t>goirand_1845-01-07</t>
  </si>
  <si>
    <t>goirand_1879-04-03</t>
  </si>
  <si>
    <t>gomot_1837-10-12</t>
  </si>
  <si>
    <t>gomot_1838-10-12</t>
  </si>
  <si>
    <t>goniaux_1872-06-10</t>
  </si>
  <si>
    <t>gonnet_1815-01-25</t>
  </si>
  <si>
    <t>gonnet_1878-06-08</t>
  </si>
  <si>
    <t>gontaut-biron_1851-06-29</t>
  </si>
  <si>
    <t>gontaut-biron_1854-07-30</t>
  </si>
  <si>
    <t>gore_1872-09-24</t>
  </si>
  <si>
    <t>gotteron_1849-05-11</t>
  </si>
  <si>
    <t>goude_1870-03-20</t>
  </si>
  <si>
    <t>gouge_1869-11-03</t>
  </si>
  <si>
    <t>gougeard_1827-11-15</t>
  </si>
  <si>
    <t>gouin_1884-10-04</t>
  </si>
  <si>
    <t>goujat_1845-02-22</t>
  </si>
  <si>
    <t>goujon_1835-12-01</t>
  </si>
  <si>
    <t>goujon_1840-04-29</t>
  </si>
  <si>
    <t>goujon_1854-05-22</t>
  </si>
  <si>
    <t>goujon_1869-07-23</t>
  </si>
  <si>
    <t>goujon_1875-08-31</t>
  </si>
  <si>
    <t>gounin_1898-06-18</t>
  </si>
  <si>
    <t>gounouilhou_1882-07-11</t>
  </si>
  <si>
    <t>gourd_1850-09-07</t>
  </si>
  <si>
    <t>gourdeau_1883-02-19</t>
  </si>
  <si>
    <t>gourin_1870-05-12</t>
  </si>
  <si>
    <t>gourju_1847-11-11</t>
  </si>
  <si>
    <t>gourvil_1845-03-29</t>
  </si>
  <si>
    <t>goussot_1862-12-02</t>
  </si>
  <si>
    <t>goust_1859-01-10</t>
  </si>
  <si>
    <t>gout_1876-11-09</t>
  </si>
  <si>
    <t>goutant_1847-10-15</t>
  </si>
  <si>
    <t>goutay_1804-11-21</t>
  </si>
  <si>
    <t>gouyon_1875-12-19</t>
  </si>
  <si>
    <t>gouyou-beauchamps_1855-01-04</t>
  </si>
  <si>
    <t>gouzy_1833-03-18</t>
  </si>
  <si>
    <t>goy_1853-08-18</t>
  </si>
  <si>
    <t>goy_1892-10-16</t>
  </si>
  <si>
    <t>goyon_1847-03-13</t>
  </si>
  <si>
    <t>goüin_1818-09-18</t>
  </si>
  <si>
    <t>gramond-lesparre_1889-05-29</t>
  </si>
  <si>
    <t>grand_1860-12-19</t>
  </si>
  <si>
    <t>grand_1874-09-03</t>
  </si>
  <si>
    <t>grandjean_1874-10-24</t>
  </si>
  <si>
    <t>grandmaison_1848-02-12</t>
  </si>
  <si>
    <t>grandmaison_1865-05-14</t>
  </si>
  <si>
    <t>grandmaison_1883-03-15</t>
  </si>
  <si>
    <t>grandmaison_1896-05-05</t>
  </si>
  <si>
    <t>grandperret_1818-01-26</t>
  </si>
  <si>
    <t>granet_1849-07-29</t>
  </si>
  <si>
    <t>granger_1844-04-20</t>
  </si>
  <si>
    <t>granier_1806-04-27</t>
  </si>
  <si>
    <t>gras_1847-03-02</t>
  </si>
  <si>
    <t>gras_1852-03-20</t>
  </si>
  <si>
    <t>gratien_1878-10-22</t>
  </si>
  <si>
    <t>graux_1843-02-15</t>
  </si>
  <si>
    <t>gravin_1845-10-19</t>
  </si>
  <si>
    <t>graziani_1820-06-02</t>
  </si>
  <si>
    <t>graziani_1884-05-28</t>
  </si>
  <si>
    <t>graëve_1878-12-08</t>
  </si>
  <si>
    <t>greffulhe_1848-12-25</t>
  </si>
  <si>
    <t>grenier_1865-08-14</t>
  </si>
  <si>
    <t>greppo_1810-01-08</t>
  </si>
  <si>
    <t>gresley_1819-02-09</t>
  </si>
  <si>
    <t>grevy_1820-09-05</t>
  </si>
  <si>
    <t>grevy_1823-08-24</t>
  </si>
  <si>
    <t>griffe_1825-10-18</t>
  </si>
  <si>
    <t>grillon_1875-09-06</t>
  </si>
  <si>
    <t>grimaud_1836-04-09</t>
  </si>
  <si>
    <t>grimaud_1888-12-01</t>
  </si>
  <si>
    <t>grinda_1866-12-20</t>
  </si>
  <si>
    <t>grisez_1841-12-06</t>
  </si>
  <si>
    <t>grisoni_1886-05-20</t>
  </si>
  <si>
    <t>grivart_1829-07-30</t>
  </si>
  <si>
    <t>grodet_1853-05-04</t>
  </si>
  <si>
    <t>grollier_1807-03-25</t>
  </si>
  <si>
    <t>gros_1838-01-17</t>
  </si>
  <si>
    <t>gros_1873-10-28</t>
  </si>
  <si>
    <t>gros_1881-01-11</t>
  </si>
  <si>
    <t>grosdidier_1846-01-14</t>
  </si>
  <si>
    <t>grosjean_1851-07-02</t>
  </si>
  <si>
    <t>grosjean_1865-07-23</t>
  </si>
  <si>
    <t>groudière_1878-11-10</t>
  </si>
  <si>
    <t>groussau_1851-06-17</t>
  </si>
  <si>
    <t>grousset_1843-10-20</t>
  </si>
  <si>
    <t>grousset_1844-04-07</t>
  </si>
  <si>
    <t>groussier_1863-08-16</t>
  </si>
  <si>
    <t>grout_1820-12-28</t>
  </si>
  <si>
    <t>gruet_1844-08-02</t>
  </si>
  <si>
    <t>gruet_1882-01-05</t>
  </si>
  <si>
    <t>grumbach_1884-01-06</t>
  </si>
  <si>
    <t>guastavino_1886-04-02</t>
  </si>
  <si>
    <t>guay_1839-05-12</t>
  </si>
  <si>
    <t>guen_1881-05-04</t>
  </si>
  <si>
    <t>gueneau_1849-02-11</t>
  </si>
  <si>
    <t>guerin_1847-12-19</t>
  </si>
  <si>
    <t>guerin_1849-07-27</t>
  </si>
  <si>
    <t>guerin_1873-10-20</t>
  </si>
  <si>
    <t>guernier_1870-04-26</t>
  </si>
  <si>
    <t>guernut_1876-11-02</t>
  </si>
  <si>
    <t>guersy_1880-08-03</t>
  </si>
  <si>
    <t>guesde_1845-11-11</t>
  </si>
  <si>
    <t>guesnier_1856-11-30</t>
  </si>
  <si>
    <t>gueydon_1809-11-22</t>
  </si>
  <si>
    <t>guibal_1859-12-11</t>
  </si>
  <si>
    <t>guibert_1843-01-08</t>
  </si>
  <si>
    <t>guichard_1803-08-18</t>
  </si>
  <si>
    <t>guichard_1826-05-25</t>
  </si>
  <si>
    <t>guichard_1827-12-10</t>
  </si>
  <si>
    <t>guichard_1866-06-13</t>
  </si>
  <si>
    <t>guichenné_1845-09-07</t>
  </si>
  <si>
    <t>guieysse_1841-05-11</t>
  </si>
  <si>
    <t>guiffrey_1827-12-16</t>
  </si>
  <si>
    <t>guignard_1829-09-16</t>
  </si>
  <si>
    <t>guilhaumon_1876-06-25</t>
  </si>
  <si>
    <t>guilhem_1874-09-29</t>
  </si>
  <si>
    <t>guillain_1844-02-07</t>
  </si>
  <si>
    <t>guillaumat_1863-01-04</t>
  </si>
  <si>
    <t>guillaumou_1834-04-17</t>
  </si>
  <si>
    <t>guillemaut_1806-09-18</t>
  </si>
  <si>
    <t>guillemaut_1842-08-21</t>
  </si>
  <si>
    <t>guillemet_1851-05-25</t>
  </si>
  <si>
    <t>guillemin_1828-12-19</t>
  </si>
  <si>
    <t>guillemin_1859-12-09</t>
  </si>
  <si>
    <t>guillemot_1869-04-25</t>
  </si>
  <si>
    <t>guillier_1852-10-07</t>
  </si>
  <si>
    <t>guillois_1872-02-23</t>
  </si>
  <si>
    <t>guillon_1885-09-13</t>
  </si>
  <si>
    <t>guillon_1887-08-25</t>
  </si>
  <si>
    <t>guillot_1844-11-07</t>
  </si>
  <si>
    <t>guilloteaux_1865-09-30</t>
  </si>
  <si>
    <t>guilloutet_1819-04-06</t>
  </si>
  <si>
    <t>guindey_1834-01-16</t>
  </si>
  <si>
    <t>guingand_1845-03-15</t>
  </si>
  <si>
    <t>guinot_1827-10-17</t>
  </si>
  <si>
    <t>guiraud_1857-06-04</t>
  </si>
  <si>
    <t>guislain_1855-11-18</t>
  </si>
  <si>
    <t>guist'hau_1863-09-22</t>
  </si>
  <si>
    <t>guy_1868-01-23</t>
  </si>
  <si>
    <t>guyard_1846-02-18</t>
  </si>
  <si>
    <t>guyonnet_1887-03-07</t>
  </si>
  <si>
    <t>guyot-dessaigne_1833-12-25</t>
  </si>
  <si>
    <t>guyot-dessaigne_1833-12-26</t>
  </si>
  <si>
    <t>guyot-lavaline_1827-07-15</t>
  </si>
  <si>
    <t>guyot_1830-03-13</t>
  </si>
  <si>
    <t>guyot_1834-01-06</t>
  </si>
  <si>
    <t>guyot_1843-09-06</t>
  </si>
  <si>
    <t>guéguen_1832-11-04</t>
  </si>
  <si>
    <t>guéneau_1853-07-13</t>
  </si>
  <si>
    <t>guépratte_1856-08-30</t>
  </si>
  <si>
    <t>guérault_1874-03-27</t>
  </si>
  <si>
    <t>guérin_1841-05-21</t>
  </si>
  <si>
    <t>guérin_1849-07-27</t>
  </si>
  <si>
    <t>guérin_1873-10-20</t>
  </si>
  <si>
    <t>gélis_1886-08-16</t>
  </si>
  <si>
    <t>génébrier_1870-09-08</t>
  </si>
  <si>
    <t>géo-gérald_1868-09-01</t>
  </si>
  <si>
    <t>gérard-varet_1860-08-20</t>
  </si>
  <si>
    <t>gérard_1818-03-22</t>
  </si>
  <si>
    <t>gérard_1853-10-04</t>
  </si>
  <si>
    <t>gérard_1861-02-08</t>
  </si>
  <si>
    <t>gérard_1878-04-30</t>
  </si>
  <si>
    <t>gérard_1880-12-31</t>
  </si>
  <si>
    <t>gérault-richard_1860-10-11</t>
  </si>
  <si>
    <t>gérente_1897-07-25</t>
  </si>
  <si>
    <t>gévelot_1826-06-06</t>
  </si>
  <si>
    <t>habert_1862-09-20</t>
  </si>
  <si>
    <t>hachette_1886-03-26</t>
  </si>
  <si>
    <t>hackspill_1871-06-30</t>
  </si>
  <si>
    <t>haentjens_1824-06-11</t>
  </si>
  <si>
    <t>haguenin_1849-04-13</t>
  </si>
  <si>
    <t>hainsselin_1835-02-09</t>
  </si>
  <si>
    <t>halgan_1828-04-08</t>
  </si>
  <si>
    <t>halgan_1839-02-16</t>
  </si>
  <si>
    <t>halleguen_1832-12-10</t>
  </si>
  <si>
    <t>halléguen_1867-07-04</t>
  </si>
  <si>
    <t>halna du fretay_1819-05-11</t>
  </si>
  <si>
    <t>halna du fretay_1891-11-13</t>
  </si>
  <si>
    <t>hamel_1826-07-02</t>
  </si>
  <si>
    <t>hamelin_1874-08-02</t>
  </si>
  <si>
    <t>hamille_1812-09-03</t>
  </si>
  <si>
    <t>hannotin_1874-11-18</t>
  </si>
  <si>
    <t>hanotaux_1853-11-19</t>
  </si>
  <si>
    <t>harent_1879-06-10</t>
  </si>
  <si>
    <t>harispe_1817-07-15</t>
  </si>
  <si>
    <t>harriague-saint-martin_1849-10-08</t>
  </si>
  <si>
    <t>harter_1897-01-23</t>
  </si>
  <si>
    <t>hartmann_1891-11-26</t>
  </si>
  <si>
    <t>haudos_1870-09-25</t>
  </si>
  <si>
    <t>haudricourt_1858-02-07</t>
  </si>
  <si>
    <t>hauet_1867-08-05</t>
  </si>
  <si>
    <t>haugoumar des portes_1841-12-18</t>
  </si>
  <si>
    <t>haulon_1822-10-02</t>
  </si>
  <si>
    <t>hauss_1896-01-25</t>
  </si>
  <si>
    <t>haussmann_1847-07-13</t>
  </si>
  <si>
    <t>hayaux_1867-12-12</t>
  </si>
  <si>
    <t>hayez_1859-10-22</t>
  </si>
  <si>
    <t>haynaut_1844-09-13</t>
  </si>
  <si>
    <t>hebrard_1834-01-01</t>
  </si>
  <si>
    <t>hebrard_1841-02-21</t>
  </si>
  <si>
    <t>helmer_1874-01-06</t>
  </si>
  <si>
    <t>hemon_1844-02-21</t>
  </si>
  <si>
    <t>hennard_1847-03-27</t>
  </si>
  <si>
    <t>hennessy_1867-07-26</t>
  </si>
  <si>
    <t>hennessy_1874-04-26</t>
  </si>
  <si>
    <t>henriet_1866-03-23</t>
  </si>
  <si>
    <t>henrion_1835-09-18</t>
  </si>
  <si>
    <t>henriot_1889-01-07</t>
  </si>
  <si>
    <t>henrique-duluc_1846-07-31</t>
  </si>
  <si>
    <t>henry-haye_1890-02-06</t>
  </si>
  <si>
    <t>henry_1839-08-30</t>
  </si>
  <si>
    <t>henry_1861-11-03</t>
  </si>
  <si>
    <t>herbecq_1835-07-23</t>
  </si>
  <si>
    <t>herbet_1846-08-27</t>
  </si>
  <si>
    <t>hercé_1861-05-01</t>
  </si>
  <si>
    <t>herisson_1835-08-02</t>
  </si>
  <si>
    <t>hermabessière_1876-07-31</t>
  </si>
  <si>
    <t>hermary_1834-12-14</t>
  </si>
  <si>
    <t>herold_1828-10-16</t>
  </si>
  <si>
    <t>herriot_1872-07-05</t>
  </si>
  <si>
    <t>hervey_1855-11-12</t>
  </si>
  <si>
    <t>hervieu_1852-01-22</t>
  </si>
  <si>
    <t>hervoches_1829-06-15</t>
  </si>
  <si>
    <t>hery_1870-09-08</t>
  </si>
  <si>
    <t>hesse_1874-04-22</t>
  </si>
  <si>
    <t>heurtaux_1893-05-20</t>
  </si>
  <si>
    <t>heuzey_1863-12-25</t>
  </si>
  <si>
    <t>heuzey_1875-03-05</t>
  </si>
  <si>
    <t>heuzey_1876-07-31</t>
  </si>
  <si>
    <t>heuzé_1873-06-01</t>
  </si>
  <si>
    <t>heuzé_1881-10-03</t>
  </si>
  <si>
    <t>hillion_1821-09-03</t>
  </si>
  <si>
    <t>hiroux_1827-04-02</t>
  </si>
  <si>
    <t>hirschauer_1857-06-16</t>
  </si>
  <si>
    <t>holtz_1867-02-21</t>
  </si>
  <si>
    <t>honnorat_1868-12-10</t>
  </si>
  <si>
    <t>honnorat_1870-12-02</t>
  </si>
  <si>
    <t>honnore_1836-09-29</t>
  </si>
  <si>
    <t>horteur_1842-09-17</t>
  </si>
  <si>
    <t>houbé_1878-10-12</t>
  </si>
  <si>
    <t>houdaille_1816-04-24</t>
  </si>
  <si>
    <t>hovelacque_1843-11-14</t>
  </si>
  <si>
    <t>hovius_1816-08-01</t>
  </si>
  <si>
    <t>hubbard_1858-05-22</t>
  </si>
  <si>
    <t>hubert_1868-08-27</t>
  </si>
  <si>
    <t>hucher_1847-12-26</t>
  </si>
  <si>
    <t>hude_1851-07-06</t>
  </si>
  <si>
    <t>hueber_1883-08-21</t>
  </si>
  <si>
    <t>hugo_1802-02-26</t>
  </si>
  <si>
    <t>hugon_1851-08-28</t>
  </si>
  <si>
    <t>hugot-derville_1851-06-27</t>
  </si>
  <si>
    <t>hugot_1836-04-03</t>
  </si>
  <si>
    <t>hugues_1848-03-16</t>
  </si>
  <si>
    <t>hugues_1851-11-03</t>
  </si>
  <si>
    <t>hugues_1858-04-19</t>
  </si>
  <si>
    <t>huguet_1822-12-20</t>
  </si>
  <si>
    <t>huguet_1860-08-04</t>
  </si>
  <si>
    <t>huguet_1867-12-11</t>
  </si>
  <si>
    <t>hulin_1882-07-24</t>
  </si>
  <si>
    <t>humbert_1822-06-28</t>
  </si>
  <si>
    <t>humbert_1844-02-21</t>
  </si>
  <si>
    <t>humbert_1857-07-19</t>
  </si>
  <si>
    <t>humbert_1866-05-28</t>
  </si>
  <si>
    <t>humblot_1862-06-06</t>
  </si>
  <si>
    <t>huon de penanster_1832-10-11</t>
  </si>
  <si>
    <t>hurard_1848-10-14</t>
  </si>
  <si>
    <t>hussel_1889-12-27</t>
  </si>
  <si>
    <t>hymans_1900-03-02</t>
  </si>
  <si>
    <t>hébert_1873-04-24</t>
  </si>
  <si>
    <t>héliès_1872-11-01</t>
  </si>
  <si>
    <t>hémard_1847-11-08</t>
  </si>
  <si>
    <t>hémon_1844-02-25</t>
  </si>
  <si>
    <t>héral_1822-11-28</t>
  </si>
  <si>
    <t>hérard_1888-07-06</t>
  </si>
  <si>
    <t>héraud_1883-05-08</t>
  </si>
  <si>
    <t>hérault_1837-08-27</t>
  </si>
  <si>
    <t>hérisson_1831-10-12</t>
  </si>
  <si>
    <t>hérisson_1835-08-02</t>
  </si>
  <si>
    <t>hérissé_1857-12-14</t>
  </si>
  <si>
    <t>héritier_1872-11-25</t>
  </si>
  <si>
    <t>hérédia_1836-11-08</t>
  </si>
  <si>
    <t>ignace_1862-01-04</t>
  </si>
  <si>
    <t>imbart de la tour_1874-01-11</t>
  </si>
  <si>
    <t>imbert_1835-07-28</t>
  </si>
  <si>
    <t>inghels_1872-05-09</t>
  </si>
  <si>
    <t>inizan_1869-04-18</t>
  </si>
  <si>
    <t>isaac_1845-01-09</t>
  </si>
  <si>
    <t>isaac_1849-09-06</t>
  </si>
  <si>
    <t>isaac_1853-03-11</t>
  </si>
  <si>
    <t>isambard_1845-03-08</t>
  </si>
  <si>
    <t>isambert_1841-10-20</t>
  </si>
  <si>
    <t>isnard_1856-12-22</t>
  </si>
  <si>
    <t>isoard_1839-12-15</t>
  </si>
  <si>
    <t>isoard_1869-11-25</t>
  </si>
  <si>
    <t>israel_1868-11-25</t>
  </si>
  <si>
    <t>israël_1868-11-25</t>
  </si>
  <si>
    <t>issartier_1816-08-20</t>
  </si>
  <si>
    <t>iung_1833-03-12</t>
  </si>
  <si>
    <t>izard_1903-06-17</t>
  </si>
  <si>
    <t>jacob_1849-03-15</t>
  </si>
  <si>
    <t>jacot_1884-12-03</t>
  </si>
  <si>
    <t>jacoulot_1869-11-30</t>
  </si>
  <si>
    <t>jacquemart_1836-10-03</t>
  </si>
  <si>
    <t>jacquemin_1847-03-15</t>
  </si>
  <si>
    <t>jacques-palotte_1830-08-28</t>
  </si>
  <si>
    <t>jacques_1817-01-01</t>
  </si>
  <si>
    <t>jacques_1817-01-17</t>
  </si>
  <si>
    <t>jacques_1828-09-26</t>
  </si>
  <si>
    <t>jacquey_1834-11-15</t>
  </si>
  <si>
    <t>jacquier_1835-10-26</t>
  </si>
  <si>
    <t>jacquier_1879-03-26</t>
  </si>
  <si>
    <t>jacquinot_1898-09-16</t>
  </si>
  <si>
    <t>jacquy_1875-06-27</t>
  </si>
  <si>
    <t>jadé_1890-03-29</t>
  </si>
  <si>
    <t>jaeger_1864-02-25</t>
  </si>
  <si>
    <t>jaluzot_1834-05-05</t>
  </si>
  <si>
    <t>jamais_1856-12-10</t>
  </si>
  <si>
    <t>jametel_1821-05-28</t>
  </si>
  <si>
    <t>jamin_1845-06-27</t>
  </si>
  <si>
    <t>jamin_1863-04-13</t>
  </si>
  <si>
    <t>janet_1861-12-06</t>
  </si>
  <si>
    <t>janin_1864-05-23</t>
  </si>
  <si>
    <t>jannin_1850-12-25</t>
  </si>
  <si>
    <t>janzé_1822-08-15</t>
  </si>
  <si>
    <t>jaouen_1832-12-05</t>
  </si>
  <si>
    <t>japy_1826-02-26</t>
  </si>
  <si>
    <t>japy_1854-12-04</t>
  </si>
  <si>
    <t>jardel_1880-09-06</t>
  </si>
  <si>
    <t>jardillier_1890-03-31</t>
  </si>
  <si>
    <t>jaubert_1879-12-01</t>
  </si>
  <si>
    <t>jaureguiberry_1815-08-26</t>
  </si>
  <si>
    <t>jaures_1823-02-03</t>
  </si>
  <si>
    <t>jaurgain_1871-05-08</t>
  </si>
  <si>
    <t>jaurès_1823-02-03</t>
  </si>
  <si>
    <t>jaurès_1859-09-03</t>
  </si>
  <si>
    <t>jaurès_1860-08-18</t>
  </si>
  <si>
    <t>jauréguiberry_1815-08-26</t>
  </si>
  <si>
    <t>javal_1839-05-05</t>
  </si>
  <si>
    <t>javal_1871-10-11</t>
  </si>
  <si>
    <t>jean-françois_1874-03-07</t>
  </si>
  <si>
    <t>jean_1872-05-10</t>
  </si>
  <si>
    <t>jean_1874-11-16</t>
  </si>
  <si>
    <t>jean_1887-08-16</t>
  </si>
  <si>
    <t>jeanneney_1864-07-06</t>
  </si>
  <si>
    <t>jeantet_1873-06-10</t>
  </si>
  <si>
    <t>jehanin_1851-06-27</t>
  </si>
  <si>
    <t>jenouvrier_1846-10-12</t>
  </si>
  <si>
    <t>jobard_1821-12-11</t>
  </si>
  <si>
    <t>jobert_1869-03-23</t>
  </si>
  <si>
    <t>jobez_1865-06-26</t>
  </si>
  <si>
    <t>joffrin_1846-03-16</t>
  </si>
  <si>
    <t>joigneaux_1815-12-23</t>
  </si>
  <si>
    <t>join-lambert_1875-01-13</t>
  </si>
  <si>
    <t>jolibois_1819-06-04</t>
  </si>
  <si>
    <t>joliot-curie_1897-09-12</t>
  </si>
  <si>
    <t>joly_1868-03-08</t>
  </si>
  <si>
    <t>jonglez_1831-09-28</t>
  </si>
  <si>
    <t>jonnart_1857-12-27</t>
  </si>
  <si>
    <t>josse_1874-10-15</t>
  </si>
  <si>
    <t>jossot_1859-04-04</t>
  </si>
  <si>
    <t>jouancoux_1856-05-21</t>
  </si>
  <si>
    <t>jouart_1850-04-04</t>
  </si>
  <si>
    <t>joubert-bonnaire_1814-06-16</t>
  </si>
  <si>
    <t>joubert-peyrot_1869-04-17</t>
  </si>
  <si>
    <t>joubert_1814-05-09</t>
  </si>
  <si>
    <t>joubert_1845-09-26</t>
  </si>
  <si>
    <t>jouffrault_1845-03-22</t>
  </si>
  <si>
    <t>jouffrault_1887-09-01</t>
  </si>
  <si>
    <t>jouffray_1841-02-22</t>
  </si>
  <si>
    <t>jouhannet_1871-05-25</t>
  </si>
  <si>
    <t>jouin_1818-02-17</t>
  </si>
  <si>
    <t>jouis_1865-10-30</t>
  </si>
  <si>
    <t>jourdain_1865-02-03</t>
  </si>
  <si>
    <t>jourdain_1878-10-28</t>
  </si>
  <si>
    <t>jourdan_1843-07-07</t>
  </si>
  <si>
    <t>jourdan_1846-07-29</t>
  </si>
  <si>
    <t>jourde_1848-09-23</t>
  </si>
  <si>
    <t>journault_1827-02-24</t>
  </si>
  <si>
    <t>jousselin_1869-05-15</t>
  </si>
  <si>
    <t>jouve_1821-07-21</t>
  </si>
  <si>
    <t>jouvencel_1817-01-16</t>
  </si>
  <si>
    <t>jouvenel des ursins_1876-04-05</t>
  </si>
  <si>
    <t>jovelet_1869-04-11</t>
  </si>
  <si>
    <t>joxé_1824-04-30</t>
  </si>
  <si>
    <t>joyeux-laffuie_1852-12-12</t>
  </si>
  <si>
    <t>judet_1846-07-20</t>
  </si>
  <si>
    <t>judet_1871-04-30</t>
  </si>
  <si>
    <t>jugy_1876-09-02</t>
  </si>
  <si>
    <t>juigné_1825-06-15</t>
  </si>
  <si>
    <t>juigné_1874-02-16</t>
  </si>
  <si>
    <t>jules-julien_1882-09-20</t>
  </si>
  <si>
    <t>jullien_1845-07-10</t>
  </si>
  <si>
    <t>jumeau_1821-03-20</t>
  </si>
  <si>
    <t>jumel_1847-09-05</t>
  </si>
  <si>
    <t>jurie-joly_1887-04-20</t>
  </si>
  <si>
    <t>keller_1828-10-08</t>
  </si>
  <si>
    <t>kelsch_1844-12-03</t>
  </si>
  <si>
    <t>kempf_1888-01-26</t>
  </si>
  <si>
    <t>kergariou_1846-10-08</t>
  </si>
  <si>
    <t>kergorlay_1847-09-14</t>
  </si>
  <si>
    <t>kerguézec_1868-05-18</t>
  </si>
  <si>
    <t>kerjégu_1846-02-27</t>
  </si>
  <si>
    <t>kermenguy_1810-12-01</t>
  </si>
  <si>
    <t>kernier_1862-08-16</t>
  </si>
  <si>
    <t>kersauson-vieux-chatel_1850-08-07</t>
  </si>
  <si>
    <t>kervenoaël_1862-10-04</t>
  </si>
  <si>
    <t>kiener_1807-11-16</t>
  </si>
  <si>
    <t>klotz_1868-01-01</t>
  </si>
  <si>
    <t>klotz_1868-01-11</t>
  </si>
  <si>
    <t>knight_1852-07-17</t>
  </si>
  <si>
    <t>koechlin-schwartz_1829-09-15</t>
  </si>
  <si>
    <t>kolb-bernard_1798-01-16</t>
  </si>
  <si>
    <t>krantz_1817-01-17</t>
  </si>
  <si>
    <t>krantz_1848-08-24</t>
  </si>
  <si>
    <t>krauss_1861-01-14</t>
  </si>
  <si>
    <t>kéranflec'h-kernezné_1861-10-22</t>
  </si>
  <si>
    <t>kérillis_1889-10-27</t>
  </si>
  <si>
    <t>kérouartz_1858-05-06</t>
  </si>
  <si>
    <t>kéroüartz_1898-09-11</t>
  </si>
  <si>
    <t>l'aigle_1843-11-23</t>
  </si>
  <si>
    <t>l'aigle_1875-11-07</t>
  </si>
  <si>
    <t>l'estourbeillon_1858-02-10</t>
  </si>
  <si>
    <t>l'hopiteau_1860-04-26</t>
  </si>
  <si>
    <t>l'hévéder_1899-01-24</t>
  </si>
  <si>
    <t>la caze_1826-01-20</t>
  </si>
  <si>
    <t>la chambre_1898-06-05</t>
  </si>
  <si>
    <t>labach_1872-10-24</t>
  </si>
  <si>
    <t>labarthe_1846-12-23</t>
  </si>
  <si>
    <t>labat_1819-01-28</t>
  </si>
  <si>
    <t>labat_1834-03-20</t>
  </si>
  <si>
    <t>labatut_1879-06-28</t>
  </si>
  <si>
    <t>labbe_1832-09-29</t>
  </si>
  <si>
    <t>labbe_1882-10-25</t>
  </si>
  <si>
    <t>labes_1881-11-03</t>
  </si>
  <si>
    <t>labiche_1826-08-09</t>
  </si>
  <si>
    <t>labiche_1827-11-25</t>
  </si>
  <si>
    <t>labitte_1823-02-19</t>
  </si>
  <si>
    <t>laborde-noguez_1823-08-21</t>
  </si>
  <si>
    <t>labordere_1835-10-12</t>
  </si>
  <si>
    <t>labordère_1835-10-12</t>
  </si>
  <si>
    <t>labori_1860-04-18</t>
  </si>
  <si>
    <t>laboulbene_1874-08-12</t>
  </si>
  <si>
    <t>labroue_1880-08-29</t>
  </si>
  <si>
    <t>labrousse_1847-05-03</t>
  </si>
  <si>
    <t>labrousse_1847-05-30</t>
  </si>
  <si>
    <t>labrousse_1878-12-29</t>
  </si>
  <si>
    <t>labussière_1845-02-01</t>
  </si>
  <si>
    <t>labussière_1853-05-02</t>
  </si>
  <si>
    <t>labuze_1847-01-26</t>
  </si>
  <si>
    <t>lacave-laplagne_1835-10-03</t>
  </si>
  <si>
    <t>lacave-laplagne_1881-10-25</t>
  </si>
  <si>
    <t>lacaze_1826-01-20</t>
  </si>
  <si>
    <t>lacaze_1860-06-22</t>
  </si>
  <si>
    <t>lachal_1898-05-04</t>
  </si>
  <si>
    <t>lachaud_1857-06-07</t>
  </si>
  <si>
    <t>lachize_1859-11-20</t>
  </si>
  <si>
    <t>lachièze_1840-11-04</t>
  </si>
  <si>
    <t>lacombe_1833-04-26</t>
  </si>
  <si>
    <t>lacombe_1840-11-05</t>
  </si>
  <si>
    <t>lacombe_1853-12-11</t>
  </si>
  <si>
    <t>lacombe_1870-06-19</t>
  </si>
  <si>
    <t>lacomme_1815-12-09</t>
  </si>
  <si>
    <t>lacore_1875-05-30</t>
  </si>
  <si>
    <t>lacotte_1870-11-16</t>
  </si>
  <si>
    <t>lacour_1854-05-29</t>
  </si>
  <si>
    <t>lacour_1864-07-14</t>
  </si>
  <si>
    <t>lacourt_1876-10-24</t>
  </si>
  <si>
    <t>lacretelle_1815-08-21</t>
  </si>
  <si>
    <t>lacretelle_1822-10-30</t>
  </si>
  <si>
    <t>lacroix_1834-12-11</t>
  </si>
  <si>
    <t>lacroix_1845-05-26</t>
  </si>
  <si>
    <t>lacroix_1862-02-13</t>
  </si>
  <si>
    <t>lacôte_1838-04-15</t>
  </si>
  <si>
    <t>lades-gout_1821-02-17</t>
  </si>
  <si>
    <t>ladoucette_1844-04-23</t>
  </si>
  <si>
    <t>lafagette_1883-08-08</t>
  </si>
  <si>
    <t>lafarge_1879-06-06</t>
  </si>
  <si>
    <t>lafargue_1843-01-15</t>
  </si>
  <si>
    <t>lafaye_1888-10-14</t>
  </si>
  <si>
    <t>lafferre_1861-05-10</t>
  </si>
  <si>
    <t>laffon_1847-08-16</t>
  </si>
  <si>
    <t>laffont_1885-04-25</t>
  </si>
  <si>
    <t>lafond de saint-mur_1817-12-08</t>
  </si>
  <si>
    <t>lafont_1835-04-02</t>
  </si>
  <si>
    <t>lafont_1845-01-24</t>
  </si>
  <si>
    <t>lafont_1879-07-26</t>
  </si>
  <si>
    <t>lagache_1809-08-29</t>
  </si>
  <si>
    <t>lagasse_1860-07-12</t>
  </si>
  <si>
    <t>laget_1821-09-20</t>
  </si>
  <si>
    <t>lagnel_1831-10-08</t>
  </si>
  <si>
    <t>lagorsse_1842-01-24</t>
  </si>
  <si>
    <t>lagrange_1845-01-03</t>
  </si>
  <si>
    <t>lagrange_1900-11-28</t>
  </si>
  <si>
    <t>lagrosillière_1872-11-02</t>
  </si>
  <si>
    <t>laguerre_1858-06-24</t>
  </si>
  <si>
    <t>laguerre_1863-04-07</t>
  </si>
  <si>
    <t>laine_1862-09-11</t>
  </si>
  <si>
    <t>lairolle_1851-04-25</t>
  </si>
  <si>
    <t>laisant_1841-11-01</t>
  </si>
  <si>
    <t>lajarrige_1875-06-09</t>
  </si>
  <si>
    <t>lajoannenque_1824-02-26</t>
  </si>
  <si>
    <t>lalande_1820-12-10</t>
  </si>
  <si>
    <t>lalanne_1811-07-03</t>
  </si>
  <si>
    <t>lalanne_1827-10-02</t>
  </si>
  <si>
    <t>lalanne_1872-12-16</t>
  </si>
  <si>
    <t>lallemant_1878-08-08</t>
  </si>
  <si>
    <t>laloge_1869-12-21</t>
  </si>
  <si>
    <t>lalou_1841-06-26</t>
  </si>
  <si>
    <t>lamarzelle_1852-08-04</t>
  </si>
  <si>
    <t>lamazière_1879-05-10</t>
  </si>
  <si>
    <t>lamazou-betbeder_1895-01-29</t>
  </si>
  <si>
    <t>lambert de sainte-croix_1827-11-12</t>
  </si>
  <si>
    <t>lambert_1834-06-23</t>
  </si>
  <si>
    <t>lambert_1883-12-16</t>
  </si>
  <si>
    <t>lamberterie_1839-05-29</t>
  </si>
  <si>
    <t>lamendin_1852-03-02</t>
  </si>
  <si>
    <t>lamorte_1823-06-07</t>
  </si>
  <si>
    <t>lamothe-pradelle_1850-04-01</t>
  </si>
  <si>
    <t>lamoureux_1854-09-17</t>
  </si>
  <si>
    <t>lamoureux_1888-09-16</t>
  </si>
  <si>
    <t>lamy_1867-11-08</t>
  </si>
  <si>
    <t>lancien_1874-08-18</t>
  </si>
  <si>
    <t>landos_1833-09-07</t>
  </si>
  <si>
    <t>landrodie_1858-10-29</t>
  </si>
  <si>
    <t>landry_1874-09-29</t>
  </si>
  <si>
    <t>lanel_1813-04-23</t>
  </si>
  <si>
    <t>lanessan_1843-07-13</t>
  </si>
  <si>
    <t>langlais_1847-12-19</t>
  </si>
  <si>
    <t>langlet_1841-09-07</t>
  </si>
  <si>
    <t>langlois-meurinne_1873-06-27</t>
  </si>
  <si>
    <t>langlois_1819-01-07</t>
  </si>
  <si>
    <t>langlois_1839-04-03</t>
  </si>
  <si>
    <t>laniel_1857-01-09</t>
  </si>
  <si>
    <t>laniel_1889-10-12</t>
  </si>
  <si>
    <t>lanjuinais_1834-07-24</t>
  </si>
  <si>
    <t>lannelongue_1840-12-04</t>
  </si>
  <si>
    <t>laporte-bisquit_1842-11-05</t>
  </si>
  <si>
    <t>laporte_1833-07-23</t>
  </si>
  <si>
    <t>laporte_1842-04-16</t>
  </si>
  <si>
    <t>laporte_1874-12-03</t>
  </si>
  <si>
    <t>laquière_1881-08-10</t>
  </si>
  <si>
    <t>lardier_1885-05-08</t>
  </si>
  <si>
    <t>lareinty_1852-09-10</t>
  </si>
  <si>
    <t>larere_1861-08-06</t>
  </si>
  <si>
    <t>largentaye_1820-10-26</t>
  </si>
  <si>
    <t>largentaye_1853-03-06</t>
  </si>
  <si>
    <t>largier_1873-06-01</t>
  </si>
  <si>
    <t>lariboisière_1856-01-01</t>
  </si>
  <si>
    <t>laroche-joubert_1820-01-12</t>
  </si>
  <si>
    <t>laroche-joubert_1843-09-12</t>
  </si>
  <si>
    <t>laroche-joubert_1879-01-09</t>
  </si>
  <si>
    <t>laroche_1832-08-16</t>
  </si>
  <si>
    <t>laroche_1848-01-26</t>
  </si>
  <si>
    <t>laroche_1887-10-04</t>
  </si>
  <si>
    <t>laroze_1834-04-05</t>
  </si>
  <si>
    <t>laroze_1835-01-21</t>
  </si>
  <si>
    <t>laroze_1861-05-25</t>
  </si>
  <si>
    <t>larquier_1863-08-06</t>
  </si>
  <si>
    <t>larsan_1844-02-29</t>
  </si>
  <si>
    <t>larère_1829-04-27</t>
  </si>
  <si>
    <t>lasbaysses_1831-02-12</t>
  </si>
  <si>
    <t>lascombes_1840-07-13</t>
  </si>
  <si>
    <t>lasies_1862-02-21</t>
  </si>
  <si>
    <t>lassalle_1856-11-22</t>
  </si>
  <si>
    <t>lassalle_1882-06-02</t>
  </si>
  <si>
    <t>lasserre_1836-05-23</t>
  </si>
  <si>
    <t>lasserre_1862-11-06</t>
  </si>
  <si>
    <t>lasserre_1878-11-10</t>
  </si>
  <si>
    <t>lasteyrie du saillant_1810-10-29</t>
  </si>
  <si>
    <t>lastours_1874-08-12</t>
  </si>
  <si>
    <t>latappy_1830-03-16</t>
  </si>
  <si>
    <t>laterrade_1823-12-02</t>
  </si>
  <si>
    <t>latour_1822-03-07</t>
  </si>
  <si>
    <t>latrade_1811-11-25</t>
  </si>
  <si>
    <t>laubry_1842-04-19</t>
  </si>
  <si>
    <t>lauche_1872-09-27</t>
  </si>
  <si>
    <t>laudier_1878-02-20</t>
  </si>
  <si>
    <t>laumond_1865-08-22</t>
  </si>
  <si>
    <t>launay_1850-06-08</t>
  </si>
  <si>
    <t>launay_1854-05-27</t>
  </si>
  <si>
    <t>launay_1874-12-13</t>
  </si>
  <si>
    <t>laur_1844-09-05</t>
  </si>
  <si>
    <t>lauraine_1864-10-03</t>
  </si>
  <si>
    <t>laurens-castelet_1844-04-09</t>
  </si>
  <si>
    <t>laurens_1847-09-27</t>
  </si>
  <si>
    <t>laurens_1884-01-29</t>
  </si>
  <si>
    <t>laurent-pichat_1823-07-11</t>
  </si>
  <si>
    <t>laurent_1857-02-04</t>
  </si>
  <si>
    <t>laurent_1858-07-12</t>
  </si>
  <si>
    <t>laurent_1863-03-30</t>
  </si>
  <si>
    <t>laurent_1880-05-10</t>
  </si>
  <si>
    <t>laurençon_1841-10-16</t>
  </si>
  <si>
    <t>lautier_1867-08-20</t>
  </si>
  <si>
    <t>lautier_1890-03-18</t>
  </si>
  <si>
    <t>lauvray_1877-09-24</t>
  </si>
  <si>
    <t>laval_1883-06-28</t>
  </si>
  <si>
    <t>lavalley_1821-10-09</t>
  </si>
  <si>
    <t>lavau_1876-08-30</t>
  </si>
  <si>
    <t>lavaud_1857-05-28</t>
  </si>
  <si>
    <t>lavergne_1815-06-10</t>
  </si>
  <si>
    <t>lavergne_1815-06-11</t>
  </si>
  <si>
    <t>lavergne_1858-01-21</t>
  </si>
  <si>
    <t>lavertujon_1827-07-26</t>
  </si>
  <si>
    <t>lavertujon_1855-04-19</t>
  </si>
  <si>
    <t>laville_1831-06-06</t>
  </si>
  <si>
    <t>laville_1880-03-09</t>
  </si>
  <si>
    <t>lavoinne_1867-07-01</t>
  </si>
  <si>
    <t>lavrignais_1850-07-15</t>
  </si>
  <si>
    <t>lavy_1850-09-26</t>
  </si>
  <si>
    <t>le bail_1857-06-15</t>
  </si>
  <si>
    <t>le barillier_1855-10-06</t>
  </si>
  <si>
    <t>le bastard_1836-01-21</t>
  </si>
  <si>
    <t>le blond_1812-05-09</t>
  </si>
  <si>
    <t>le breton_1833-09-12</t>
  </si>
  <si>
    <t>le cherbonnier_1822-09-09</t>
  </si>
  <si>
    <t>le cherpy_1874-10-10</t>
  </si>
  <si>
    <t>le chevalier_1839-11-11</t>
  </si>
  <si>
    <t>le cour-grandmaison_1848-02-12</t>
  </si>
  <si>
    <t>le cour-grandmaison_1849-02-27</t>
  </si>
  <si>
    <t>le cour-grandmaison_1883-03-15</t>
  </si>
  <si>
    <t>le gorgeu_1881-05-05</t>
  </si>
  <si>
    <t>le guay_1827-07-03</t>
  </si>
  <si>
    <t>le guay_1839-05-12</t>
  </si>
  <si>
    <t>le guen_1826-08-31</t>
  </si>
  <si>
    <t>le hars_1861-08-12</t>
  </si>
  <si>
    <t>le herisse_1857-12-14</t>
  </si>
  <si>
    <t>le jeune_1887-01-17</t>
  </si>
  <si>
    <t>le louedec_1856-06-01</t>
  </si>
  <si>
    <t>le moignic_1875-05-02</t>
  </si>
  <si>
    <t>le monnier_1815-09-05</t>
  </si>
  <si>
    <t>le pelletier_1864-05-16</t>
  </si>
  <si>
    <t>le play_1842-07-27</t>
  </si>
  <si>
    <t>le provost de launay_1823-01-25</t>
  </si>
  <si>
    <t>le provost de launay_1850-06-08</t>
  </si>
  <si>
    <t>le roux_1850-09-26</t>
  </si>
  <si>
    <t>le roux_1860-11-23</t>
  </si>
  <si>
    <t>le royer_1816-06-27</t>
  </si>
  <si>
    <t>le troadec_1860-04-28</t>
  </si>
  <si>
    <t>le trocquer_1877-10-04</t>
  </si>
  <si>
    <t>lebas_1878-10-24</t>
  </si>
  <si>
    <t>lebaudy_1827-02-26</t>
  </si>
  <si>
    <t>lebaudy_1858-07-04</t>
  </si>
  <si>
    <t>lebel_1888-08-15</t>
  </si>
  <si>
    <t>lebert_1864-12-15</t>
  </si>
  <si>
    <t>lebey_1877-08-10</t>
  </si>
  <si>
    <t>leblanc_1844-03-09</t>
  </si>
  <si>
    <t>leblanc_1867-02-07</t>
  </si>
  <si>
    <t>leblond_1856-02-29</t>
  </si>
  <si>
    <t>leboeuf_1872-12-05</t>
  </si>
  <si>
    <t>lebon_1849-11-13</t>
  </si>
  <si>
    <t>lebon_1858-08-26</t>
  </si>
  <si>
    <t>lebret_1853-11-07</t>
  </si>
  <si>
    <t>lebret_1886-10-16</t>
  </si>
  <si>
    <t>lebrun_1840-07-28</t>
  </si>
  <si>
    <t>lebrun_1871-08-20</t>
  </si>
  <si>
    <t>lebrun_1871-08-29</t>
  </si>
  <si>
    <t>lecacheux_1880-03-15</t>
  </si>
  <si>
    <t>lecelles_1826-10-29</t>
  </si>
  <si>
    <t>lechevallier_1840-01-20</t>
  </si>
  <si>
    <t>lecler_1814-07-30</t>
  </si>
  <si>
    <t>leclerc de juigne_1825-06-15</t>
  </si>
  <si>
    <t>leclerc_1859-03-24</t>
  </si>
  <si>
    <t>lecointe_1817-07-12</t>
  </si>
  <si>
    <t>lecointe_1867-04-14</t>
  </si>
  <si>
    <t>lecointre_1840-09-08</t>
  </si>
  <si>
    <t>lecomte_1805-07-31</t>
  </si>
  <si>
    <t>lecomte_1846-03-01</t>
  </si>
  <si>
    <t>leconte_1824-12-21</t>
  </si>
  <si>
    <t>lecourtier_1866-12-23</t>
  </si>
  <si>
    <t>leculier_1874-07-23</t>
  </si>
  <si>
    <t>lederlin_1868-05-08</t>
  </si>
  <si>
    <t>ledieu_1834-07-21</t>
  </si>
  <si>
    <t>ledin_1867-01-27</t>
  </si>
  <si>
    <t>ledoux_1881-02-05</t>
  </si>
  <si>
    <t>lefas_1871-09-20</t>
  </si>
  <si>
    <t>lefebvre de laboulaye_1811-01-18</t>
  </si>
  <si>
    <t>lefebvre du prey_1866-10-16</t>
  </si>
  <si>
    <t>lefebvre_1821-09-09</t>
  </si>
  <si>
    <t>lefebvre_1868-11-09</t>
  </si>
  <si>
    <t>lefebvre_1871-03-05</t>
  </si>
  <si>
    <t>lefebvre_1877-10-24</t>
  </si>
  <si>
    <t>lefevre_1834-11-28</t>
  </si>
  <si>
    <t>lefevre_1870-11-27</t>
  </si>
  <si>
    <t>leffet_1838-05-21</t>
  </si>
  <si>
    <t>lefol_1852-07-09</t>
  </si>
  <si>
    <t>lefort_1834-02-11</t>
  </si>
  <si>
    <t>lefoullon_1844-07-03</t>
  </si>
  <si>
    <t>lefranc_1809-03-02</t>
  </si>
  <si>
    <t>lefèvre-pontalis_1830-08-19</t>
  </si>
  <si>
    <t>lefèvre_1828-12-20</t>
  </si>
  <si>
    <t>lefèvre_1833-08-15</t>
  </si>
  <si>
    <t>lefèvre_1869-06-17</t>
  </si>
  <si>
    <t>lefèvre_1870-11-27</t>
  </si>
  <si>
    <t>lefébure_1860-09-20</t>
  </si>
  <si>
    <t>legendre_1861-01-15</t>
  </si>
  <si>
    <t>leger_1888-02-20</t>
  </si>
  <si>
    <t>legge_1836-06-29</t>
  </si>
  <si>
    <t>legitimus_1868-04-08</t>
  </si>
  <si>
    <t>leglos_1864-02-06</t>
  </si>
  <si>
    <t>legludic_1843-04-16</t>
  </si>
  <si>
    <t>legoux-longpré_1850-08-09</t>
  </si>
  <si>
    <t>legrand gery dit_1837-05-23</t>
  </si>
  <si>
    <t>legrand_1833-10-28</t>
  </si>
  <si>
    <t>legrand_1834-05-13</t>
  </si>
  <si>
    <t>legrand_1838-04-29</t>
  </si>
  <si>
    <t>legrand_1842-03-30</t>
  </si>
  <si>
    <t>legrand_1857-08-31</t>
  </si>
  <si>
    <t>legras_1840-08-22</t>
  </si>
  <si>
    <t>legros_1861-05-28</t>
  </si>
  <si>
    <t>leguet_1880-02-23</t>
  </si>
  <si>
    <t>legué_1865-07-27</t>
  </si>
  <si>
    <t>lejeune_1842-01-10</t>
  </si>
  <si>
    <t>lelievre_1799-11-07</t>
  </si>
  <si>
    <t>lelievre_1836-07-25</t>
  </si>
  <si>
    <t>lelièvre_1819-03-14</t>
  </si>
  <si>
    <t>lelièvre_1836-07-25</t>
  </si>
  <si>
    <t>lemaire_1856-07-07</t>
  </si>
  <si>
    <t>lemaistre_1862-03-11</t>
  </si>
  <si>
    <t>lemarie_1852-12-24</t>
  </si>
  <si>
    <t>lemasson_1848-10-04</t>
  </si>
  <si>
    <t>lemelle_1872-03-30</t>
  </si>
  <si>
    <t>lemercier_1820-06-25</t>
  </si>
  <si>
    <t>lemery_1874-12-09</t>
  </si>
  <si>
    <t>lemire_1853-04-23</t>
  </si>
  <si>
    <t>lemoine_1849-08-04</t>
  </si>
  <si>
    <t>lemoinne_1815-10-17</t>
  </si>
  <si>
    <t>lenain_1869-06-25</t>
  </si>
  <si>
    <t>leneveu_1865-05-07</t>
  </si>
  <si>
    <t>lengrand_1892-02-03</t>
  </si>
  <si>
    <t>lenient_1826-11-04</t>
  </si>
  <si>
    <t>lenoir_1859-05-04</t>
  </si>
  <si>
    <t>lenoël_1827-03-23</t>
  </si>
  <si>
    <t>lepelletier_1846-06-26</t>
  </si>
  <si>
    <t>lepez_1850-07-08</t>
  </si>
  <si>
    <t>leporche_1840-02-21</t>
  </si>
  <si>
    <t>leporché_1840-02-21</t>
  </si>
  <si>
    <t>lepouze_1821-01-20</t>
  </si>
  <si>
    <t>lepouzé_1821-01-20</t>
  </si>
  <si>
    <t>lepère_1823-02-01</t>
  </si>
  <si>
    <t>leredu_1860-06-02</t>
  </si>
  <si>
    <t>lerolle_1846-04-03</t>
  </si>
  <si>
    <t>lerolle_1873-05-12</t>
  </si>
  <si>
    <t>leroux_1825-10-14</t>
  </si>
  <si>
    <t>leroy-beaulieu_1871-09-25</t>
  </si>
  <si>
    <t>leroy_1828-07-08</t>
  </si>
  <si>
    <t>leroy_1837-08-18</t>
  </si>
  <si>
    <t>leroy_1844-04-25</t>
  </si>
  <si>
    <t>leroy_1855-03-22</t>
  </si>
  <si>
    <t>lesache_1860-12-18</t>
  </si>
  <si>
    <t>lesaché_1860-12-18</t>
  </si>
  <si>
    <t>lesage_1835-12-19</t>
  </si>
  <si>
    <t>lesage_1852-05-02</t>
  </si>
  <si>
    <t>lesesne_1878-07-29</t>
  </si>
  <si>
    <t>lesguillier_1825-07-15</t>
  </si>
  <si>
    <t>lesouef_1831-08-18</t>
  </si>
  <si>
    <t>lespinay_1854-01-10</t>
  </si>
  <si>
    <t>lesseux_1868-08-15</t>
  </si>
  <si>
    <t>lestapis_1898-08-27</t>
  </si>
  <si>
    <t>lesueur_1834-04-15</t>
  </si>
  <si>
    <t>letellier_1841-03-16</t>
  </si>
  <si>
    <t>leteurtre_1837-07-16</t>
  </si>
  <si>
    <t>leusse_1877-02-06</t>
  </si>
  <si>
    <t>levasseur_1875-02-04</t>
  </si>
  <si>
    <t>levavasseur_1826-10-24</t>
  </si>
  <si>
    <t>levecque_1852-09-02</t>
  </si>
  <si>
    <t>leveillé_1834-10-22</t>
  </si>
  <si>
    <t>levert_1825-06-11</t>
  </si>
  <si>
    <t>levet_1834-04-13</t>
  </si>
  <si>
    <t>levraud_1843-04-27</t>
  </si>
  <si>
    <t>levrey_1839-01-20</t>
  </si>
  <si>
    <t>levrey_1839-01-21</t>
  </si>
  <si>
    <t>levy_1853-02-24</t>
  </si>
  <si>
    <t>levy_1863-04-12</t>
  </si>
  <si>
    <t>lewal_1823-12-13</t>
  </si>
  <si>
    <t>leydet_1845-07-03</t>
  </si>
  <si>
    <t>leygue_1850-04-06</t>
  </si>
  <si>
    <t>leygue_1850-04-08</t>
  </si>
  <si>
    <t>leygue_1856-07-09</t>
  </si>
  <si>
    <t>leygues_1856-07-09</t>
  </si>
  <si>
    <t>leygues_1856-10-29</t>
  </si>
  <si>
    <t>leygues_1857-10-26</t>
  </si>
  <si>
    <t>lhomel_1813-11-11</t>
  </si>
  <si>
    <t>lhopiteau_1860-04-26</t>
  </si>
  <si>
    <t>lhoste_1876-03-05</t>
  </si>
  <si>
    <t>liais_1839-08-18</t>
  </si>
  <si>
    <t>liautey_1896-03-09</t>
  </si>
  <si>
    <t>libert_1828-10-08</t>
  </si>
  <si>
    <t>lierman_1889-07-13</t>
  </si>
  <si>
    <t>lillaz_1881-01-06</t>
  </si>
  <si>
    <t>limon_1841-04-07</t>
  </si>
  <si>
    <t>limouzain-laplanche_1845-08-19</t>
  </si>
  <si>
    <t>linard_1839-10-29</t>
  </si>
  <si>
    <t>lintilhac_1854-01-05</t>
  </si>
  <si>
    <t>linyer_1878-12-01</t>
  </si>
  <si>
    <t>liouville_1837-08-17</t>
  </si>
  <si>
    <t>liouville_1859-11-09</t>
  </si>
  <si>
    <t>lisbonne_1818-08-02</t>
  </si>
  <si>
    <t>lisbonne_1876-06-20</t>
  </si>
  <si>
    <t>lissac_1869-04-17</t>
  </si>
  <si>
    <t>lissar_1871-02-06</t>
  </si>
  <si>
    <t>lizot_1831-04-13</t>
  </si>
  <si>
    <t>lobet_1871-07-31</t>
  </si>
  <si>
    <t>lockroy_1838-07-17</t>
  </si>
  <si>
    <t>lockroy_1838-07-18</t>
  </si>
  <si>
    <t>locquin_1879-06-06</t>
  </si>
  <si>
    <t>logerot_1936-07-18</t>
  </si>
  <si>
    <t>logerotte_1823-02-19</t>
  </si>
  <si>
    <t>loizillon_1829-01-11</t>
  </si>
  <si>
    <t>lombard_1825-08-09</t>
  </si>
  <si>
    <t>lombard_1851-03-21</t>
  </si>
  <si>
    <t>long_1866-03-15</t>
  </si>
  <si>
    <t>longuet_1866-01-01</t>
  </si>
  <si>
    <t>longuet_1876-05-10</t>
  </si>
  <si>
    <t>loque_1852-11-22</t>
  </si>
  <si>
    <t>loranchet_1845-08-21</t>
  </si>
  <si>
    <t>lordereau_1835-04-26</t>
  </si>
  <si>
    <t>loreau_1843-12-20</t>
  </si>
  <si>
    <t>lorgeril_1849-06-13</t>
  </si>
  <si>
    <t>lorgeré_1891-01-26</t>
  </si>
  <si>
    <t>lorimy_1850-01-15</t>
  </si>
  <si>
    <t>lorin_1866-07-02</t>
  </si>
  <si>
    <t>loriot_1850-03-27</t>
  </si>
  <si>
    <t>lorois_1819-06-09</t>
  </si>
  <si>
    <t>lorois_1831-09-29</t>
  </si>
  <si>
    <t>lorois_1837-10-13</t>
  </si>
  <si>
    <t>lorthiois_1873-09-04</t>
  </si>
  <si>
    <t>loth_1858-12-02</t>
  </si>
  <si>
    <t>lotz_1877-08-24</t>
  </si>
  <si>
    <t>louart_1874-12-14</t>
  </si>
  <si>
    <t>loubat_1870-03-14</t>
  </si>
  <si>
    <t>loubet_1838-12-31</t>
  </si>
  <si>
    <t>loubet_1868-09-02</t>
  </si>
  <si>
    <t>loucheur_1872-08-12</t>
  </si>
  <si>
    <t>louis-dreyfus_1867-09-06</t>
  </si>
  <si>
    <t>louis_1862-12-26</t>
  </si>
  <si>
    <t>loulay_1848-08-08</t>
  </si>
  <si>
    <t>loup_1846-06-24</t>
  </si>
  <si>
    <t>louppe_1856-06-16</t>
  </si>
  <si>
    <t>lourties_1844-07-21</t>
  </si>
  <si>
    <t>lourties_1886-04-07</t>
  </si>
  <si>
    <t>loustalot_1826-01-04</t>
  </si>
  <si>
    <t>loustalot_1861-01-04</t>
  </si>
  <si>
    <t>louédec_1856-06-01</t>
  </si>
  <si>
    <t>loyer_1844-07-21</t>
  </si>
  <si>
    <t>lozé_1850-01-20</t>
  </si>
  <si>
    <t>luart_1881-09-01</t>
  </si>
  <si>
    <t>lucas_1892-05-25</t>
  </si>
  <si>
    <t>lucet_1816-10-21</t>
  </si>
  <si>
    <t>ludre-frolois_1864-05-10</t>
  </si>
  <si>
    <t>ludre_1870-08-11</t>
  </si>
  <si>
    <t>lugol_1864-02-06</t>
  </si>
  <si>
    <t>lupel_1880-01-14</t>
  </si>
  <si>
    <t>luppé_1837-09-07</t>
  </si>
  <si>
    <t>luquet_1874-02-08</t>
  </si>
  <si>
    <t>luquot_1881-01-02</t>
  </si>
  <si>
    <t>lur-saluces_1839-07-05</t>
  </si>
  <si>
    <t>luro_1823-10-17</t>
  </si>
  <si>
    <t>lyautey_1854-11-17</t>
  </si>
  <si>
    <t>lyonnais_1842-04-30</t>
  </si>
  <si>
    <t>lyrot_1885-05-26</t>
  </si>
  <si>
    <t>léculier_1874-07-23</t>
  </si>
  <si>
    <t>léglise_1843-11-19</t>
  </si>
  <si>
    <t>léglise_1872-10-23</t>
  </si>
  <si>
    <t>lémery_1874-12-09</t>
  </si>
  <si>
    <t>léon_1844-12-01</t>
  </si>
  <si>
    <t>léouzon-le-duc_1860-10-11</t>
  </si>
  <si>
    <t>lépine_1846-08-06</t>
  </si>
  <si>
    <t>létang_1859-02-19</t>
  </si>
  <si>
    <t>lévis-mirepoix_1846-05-01</t>
  </si>
  <si>
    <t>lévy-alphandéry_1862-01-14</t>
  </si>
  <si>
    <t>lévy_1874-02-08</t>
  </si>
  <si>
    <t>lévêque_1829-08-08</t>
  </si>
  <si>
    <t>mac-adaras_1838-06-21</t>
  </si>
  <si>
    <t>macarez_1872-02-29</t>
  </si>
  <si>
    <t>mace_1815-08-22</t>
  </si>
  <si>
    <t>macherez_1841-12-11</t>
  </si>
  <si>
    <t>machet_1867-04-21</t>
  </si>
  <si>
    <t>mackau_1832-11-29</t>
  </si>
  <si>
    <t>macouin_1888-07-25</t>
  </si>
  <si>
    <t>madelin_1871-05-08</t>
  </si>
  <si>
    <t>madignier_1831-07-02</t>
  </si>
  <si>
    <t>maginot_1877-02-17</t>
  </si>
  <si>
    <t>magnaud_1848-05-20</t>
  </si>
  <si>
    <t>magne_1865-06-07</t>
  </si>
  <si>
    <t>magne_1873-11-13</t>
  </si>
  <si>
    <t>magniaudé_1851-02-21</t>
  </si>
  <si>
    <t>magnien_1836-01-05</t>
  </si>
  <si>
    <t>magnien_1864-04-22</t>
  </si>
  <si>
    <t>magnier_1841-04-20</t>
  </si>
  <si>
    <t>magniez_1835-09-09</t>
  </si>
  <si>
    <t>magniez_1876-04-14</t>
  </si>
  <si>
    <t>magnin_1824-01-01</t>
  </si>
  <si>
    <t>magny_1854-09-12</t>
  </si>
  <si>
    <t>mahagne_1879-10-20</t>
  </si>
  <si>
    <t>mahieu_1860-01-17</t>
  </si>
  <si>
    <t>mahieu_1864-02-02</t>
  </si>
  <si>
    <t>mahy_1830-07-22</t>
  </si>
  <si>
    <t>mahérie_1887-10-30</t>
  </si>
  <si>
    <t>maigne_1816-08-25</t>
  </si>
  <si>
    <t>maillard_1823-08-22</t>
  </si>
  <si>
    <t>maillard_1828-04-06</t>
  </si>
  <si>
    <t>maillard_1879-04-15</t>
  </si>
  <si>
    <t>maillé_1815-08-13</t>
  </si>
  <si>
    <t>maillé_1816-07-01</t>
  </si>
  <si>
    <t>maillé_1841-01-03</t>
  </si>
  <si>
    <t>mairat_1865-06-13</t>
  </si>
  <si>
    <t>maire_1863-09-27</t>
  </si>
  <si>
    <t>maison_1847-10-31</t>
  </si>
  <si>
    <t>malartre_1834-11-29</t>
  </si>
  <si>
    <t>malaspina_1853-11-09</t>
  </si>
  <si>
    <t>malausséna_1846-10-26</t>
  </si>
  <si>
    <t>malavialle_1860-07-29</t>
  </si>
  <si>
    <t>malens_1829-01-17</t>
  </si>
  <si>
    <t>malet_1888-07-15</t>
  </si>
  <si>
    <t>malezieux_1821-01-03</t>
  </si>
  <si>
    <t>malingre_1882-06-01</t>
  </si>
  <si>
    <t>malizard_1848-09-11</t>
  </si>
  <si>
    <t>mallarme_1877-08-06</t>
  </si>
  <si>
    <t>mallarmé_1877-08-06</t>
  </si>
  <si>
    <t>mallevialle_1836-04-04</t>
  </si>
  <si>
    <t>malric_1852-08-19</t>
  </si>
  <si>
    <t>malric_1883-12-23</t>
  </si>
  <si>
    <t>malsang_1875-06-12</t>
  </si>
  <si>
    <t>malvy_1875-12-01</t>
  </si>
  <si>
    <t>malzac_1850-08-13</t>
  </si>
  <si>
    <t>malézieux_1821-01-03</t>
  </si>
  <si>
    <t>manaut_1868-05-08</t>
  </si>
  <si>
    <t>manaut_1891-09-23</t>
  </si>
  <si>
    <t>manceau_1875-06-11</t>
  </si>
  <si>
    <t>mandel_1885-06-05</t>
  </si>
  <si>
    <t>mandeville_1838-07-01</t>
  </si>
  <si>
    <t>mando_1855-05-23</t>
  </si>
  <si>
    <t>mando_1855-08-23</t>
  </si>
  <si>
    <t>mandrillon_1881-07-10</t>
  </si>
  <si>
    <t>manent_1884-04-24</t>
  </si>
  <si>
    <t>mangini_1833-10-18</t>
  </si>
  <si>
    <t>mangon_1821-07-31</t>
  </si>
  <si>
    <t>manus_1867-08-11</t>
  </si>
  <si>
    <t>maquennehen_1844-02-21</t>
  </si>
  <si>
    <t>maranget_1867-09-22</t>
  </si>
  <si>
    <t>marcellot_1861-04-25</t>
  </si>
  <si>
    <t>marchais de la berge_1845-06-21</t>
  </si>
  <si>
    <t>marchais_1878-05-03</t>
  </si>
  <si>
    <t>marchal_1849-11-13</t>
  </si>
  <si>
    <t>marchand_1842-08-21</t>
  </si>
  <si>
    <t>marchandeau_1882-08-10</t>
  </si>
  <si>
    <t>marchegay_1869-10-05</t>
  </si>
  <si>
    <t>marcillat_1849-11-21</t>
  </si>
  <si>
    <t>marcillé_1873-07-25</t>
  </si>
  <si>
    <t>marcombes_1877-12-05</t>
  </si>
  <si>
    <t>marcou_1813-05-18</t>
  </si>
  <si>
    <t>marcère_1828-03-16</t>
  </si>
  <si>
    <t>mare_1848-09-01</t>
  </si>
  <si>
    <t>maret_1832-11-19</t>
  </si>
  <si>
    <t>maret_1837-03-04</t>
  </si>
  <si>
    <t>marfan_1827-06-24</t>
  </si>
  <si>
    <t>margaine_1829-09-04</t>
  </si>
  <si>
    <t>margaine_1870-01-18</t>
  </si>
  <si>
    <t>margue_1828-07-14</t>
  </si>
  <si>
    <t>marie_1897-12-03</t>
  </si>
  <si>
    <t>marietton_1860-08-27</t>
  </si>
  <si>
    <t>marin-quilliard_1881-05-19</t>
  </si>
  <si>
    <t>marin_1871-02-07</t>
  </si>
  <si>
    <t>marion de faverges_1829-12-17</t>
  </si>
  <si>
    <t>marlaud_1866-05-16</t>
  </si>
  <si>
    <t>marmonier_1855-09-16</t>
  </si>
  <si>
    <t>marmottan_1832-08-30</t>
  </si>
  <si>
    <t>maroger_1881-10-10</t>
  </si>
  <si>
    <t>maroselli_1893-02-22</t>
  </si>
  <si>
    <t>marot_1857-09-19</t>
  </si>
  <si>
    <t>marot_1865-08-05</t>
  </si>
  <si>
    <t>marquet_1851-11-15</t>
  </si>
  <si>
    <t>marquet_1884-10-06</t>
  </si>
  <si>
    <t>marquigny_1876-07-24</t>
  </si>
  <si>
    <t>marquis_1834-09-22</t>
  </si>
  <si>
    <t>marquiset_1826-11-05</t>
  </si>
  <si>
    <t>marraud_1861-01-08</t>
  </si>
  <si>
    <t>marrot_1821-09-27</t>
  </si>
  <si>
    <t>marrou_1862-05-07</t>
  </si>
  <si>
    <t>marsais_1883-08-19</t>
  </si>
  <si>
    <t>marsot_1877-01-19</t>
  </si>
  <si>
    <t>marteau_1875-01-31</t>
  </si>
  <si>
    <t>martel_1813-09-13</t>
  </si>
  <si>
    <t>martel_1899-01-20</t>
  </si>
  <si>
    <t>martell_1834-02-17</t>
  </si>
  <si>
    <t>martenot_1827-12-11</t>
  </si>
  <si>
    <t>martimprey_1849-09-02</t>
  </si>
  <si>
    <t>martin félix dit_1840-07-18</t>
  </si>
  <si>
    <t>martin-binachon_1865-09-25</t>
  </si>
  <si>
    <t>martin-feuillée_1830-11-25</t>
  </si>
  <si>
    <t>martin_1810-02-20</t>
  </si>
  <si>
    <t>martin_1835-03-02</t>
  </si>
  <si>
    <t>martin_1840-07-18</t>
  </si>
  <si>
    <t>martin_1845-05-19</t>
  </si>
  <si>
    <t>martin_1848-01-16</t>
  </si>
  <si>
    <t>martin_1859-01-15</t>
  </si>
  <si>
    <t>martin_1863-08-16</t>
  </si>
  <si>
    <t>martin_1869-03-23</t>
  </si>
  <si>
    <t>martin_1886-09-26</t>
  </si>
  <si>
    <t>martinaud-déplat_1899-08-09</t>
  </si>
  <si>
    <t>martineau_1859-12-18</t>
  </si>
  <si>
    <t>martinet_1836-09-07</t>
  </si>
  <si>
    <t>martinière_1849-02-17</t>
  </si>
  <si>
    <t>martinon_1854-08-15</t>
  </si>
  <si>
    <t>marty_1838-01-31</t>
  </si>
  <si>
    <t>marty_1886-11-06</t>
  </si>
  <si>
    <t>maruéjouls_1835-08-04</t>
  </si>
  <si>
    <t>maruéjouls_1837-08-04</t>
  </si>
  <si>
    <t>marçais_1882-03-07</t>
  </si>
  <si>
    <t>maréchal_1837-08-13</t>
  </si>
  <si>
    <t>mas_1830-11-25</t>
  </si>
  <si>
    <t>mas_1850-01-31</t>
  </si>
  <si>
    <t>mas_1854-05-28</t>
  </si>
  <si>
    <t>masclanis_1858-03-25</t>
  </si>
  <si>
    <t>mascle_1853-01-01</t>
  </si>
  <si>
    <t>mascuraud_1848-10-18</t>
  </si>
  <si>
    <t>massabuau_1862-07-27</t>
  </si>
  <si>
    <t>masse_1817-03-09</t>
  </si>
  <si>
    <t>masse_1868-06-03</t>
  </si>
  <si>
    <t>masse_1870-06-02</t>
  </si>
  <si>
    <t>masse_1879-12-13</t>
  </si>
  <si>
    <t>massiet du biest_1823-11-02</t>
  </si>
  <si>
    <t>massimi_1885-09-01</t>
  </si>
  <si>
    <t>massip_1842-07-02</t>
  </si>
  <si>
    <t>masson de mortefontaine_1796-10-13</t>
  </si>
  <si>
    <t>masson_1845-07-28</t>
  </si>
  <si>
    <t>masson_1875-10-25</t>
  </si>
  <si>
    <t>massé_1860-07-11</t>
  </si>
  <si>
    <t>massé_1870-06-02</t>
  </si>
  <si>
    <t>massé_1877-05-24</t>
  </si>
  <si>
    <t>masteau_1903-07-18</t>
  </si>
  <si>
    <t>masure_1836-06-17</t>
  </si>
  <si>
    <t>masurel_1855-06-30</t>
  </si>
  <si>
    <t>mathey_1819-09-23</t>
  </si>
  <si>
    <t>mathey_1827-09-27</t>
  </si>
  <si>
    <t>mathieu_1830-10-15</t>
  </si>
  <si>
    <t>mathieu_1878-04-04</t>
  </si>
  <si>
    <t>mathis_1852-02-21</t>
  </si>
  <si>
    <t>mathis_1860-12-08</t>
  </si>
  <si>
    <t>mathis_1866-04-22</t>
  </si>
  <si>
    <t>mathé_1824-06-06</t>
  </si>
  <si>
    <t>mathé_1834-12-20</t>
  </si>
  <si>
    <t>mathé_1837-05-27</t>
  </si>
  <si>
    <t>maud'huy_1857-02-17</t>
  </si>
  <si>
    <t>mauger-violleau_1867-11-03</t>
  </si>
  <si>
    <t>mauger_1842-02-02</t>
  </si>
  <si>
    <t>mauger_1857-09-17</t>
  </si>
  <si>
    <t>mauger_1891-04-27</t>
  </si>
  <si>
    <t>mauguin_1838-01-30</t>
  </si>
  <si>
    <t>maujan_1853-06-03</t>
  </si>
  <si>
    <t>maulion_1875-07-01</t>
  </si>
  <si>
    <t>maunoury_1824-06-30</t>
  </si>
  <si>
    <t>maunoury_1850-10-05</t>
  </si>
  <si>
    <t>maunoury_1863-10-16</t>
  </si>
  <si>
    <t>maupoil_1891-07-11</t>
  </si>
  <si>
    <t>maure_1852-08-03</t>
  </si>
  <si>
    <t>maureau_1860-09-23</t>
  </si>
  <si>
    <t>maurel_1841-07-16</t>
  </si>
  <si>
    <t>maurel_1867-05-02</t>
  </si>
  <si>
    <t>maurice-faure_1850-01-07</t>
  </si>
  <si>
    <t>maurice_1834-02-02</t>
  </si>
  <si>
    <t>maurice_1881-08-06</t>
  </si>
  <si>
    <t>maurin_1854-12-23</t>
  </si>
  <si>
    <t>maurin_1869-01-05</t>
  </si>
  <si>
    <t>maurisson_1883-03-22</t>
  </si>
  <si>
    <t>mauriès_1882-09-18</t>
  </si>
  <si>
    <t>maussabré-beufvier_1864-12-29</t>
  </si>
  <si>
    <t>mayaud_1850-09-22</t>
  </si>
  <si>
    <t>mayet_1815-07-18</t>
  </si>
  <si>
    <t>maymac_1842-11-18</t>
  </si>
  <si>
    <t>mayran_1818-03-04</t>
  </si>
  <si>
    <t>mayéras_1879-08-03</t>
  </si>
  <si>
    <t>mazaud_1888-07-19</t>
  </si>
  <si>
    <t>maze_1839-11-05</t>
  </si>
  <si>
    <t>mazeau_1825-09-01</t>
  </si>
  <si>
    <t>mazerand_1876-04-14</t>
  </si>
  <si>
    <t>mazeron_1847-10-09</t>
  </si>
  <si>
    <t>maziere_1847-11-13</t>
  </si>
  <si>
    <t>mazière_1847-11-13</t>
  </si>
  <si>
    <t>mazurier_1860-10-13</t>
  </si>
  <si>
    <t>mazé_1893-01-09</t>
  </si>
  <si>
    <t>maës_1875-07-15</t>
  </si>
  <si>
    <t>maître_1883-07-12</t>
  </si>
  <si>
    <t>maître_1883-11-23</t>
  </si>
  <si>
    <t>meck_1897-07-31</t>
  </si>
  <si>
    <t>medecin_1890-12-02</t>
  </si>
  <si>
    <t>meilhodon_1827-01-15</t>
  </si>
  <si>
    <t>meinadier_1811-07-16</t>
  </si>
  <si>
    <t>mejan_1874-06-05</t>
  </si>
  <si>
    <t>meline_1838-05-20</t>
  </si>
  <si>
    <t>mellenne_1893-04-29</t>
  </si>
  <si>
    <t>melliet_1843-12-22</t>
  </si>
  <si>
    <t>mellot_1840-09-26</t>
  </si>
  <si>
    <t>menant_1891-03-27</t>
  </si>
  <si>
    <t>mendès france_1907-01-11</t>
  </si>
  <si>
    <t>menier_1855-05-22</t>
  </si>
  <si>
    <t>menier_1873-12-12</t>
  </si>
  <si>
    <t>mennesson_1846-07-22</t>
  </si>
  <si>
    <t>menthon_1865-10-22</t>
  </si>
  <si>
    <t>mercier_1825-01-10</t>
  </si>
  <si>
    <t>mercier_1833-12-08</t>
  </si>
  <si>
    <t>mercier_1835-03-23</t>
  </si>
  <si>
    <t>mercier_1836-03-18</t>
  </si>
  <si>
    <t>mercier_1864-07-15</t>
  </si>
  <si>
    <t>meric_1848-03-13</t>
  </si>
  <si>
    <t>merlant_1863-05-17</t>
  </si>
  <si>
    <t>merle_1873-09-03</t>
  </si>
  <si>
    <t>merle_1879-07-18</t>
  </si>
  <si>
    <t>merle_1887-12-25</t>
  </si>
  <si>
    <t>merlet_1830-11-26</t>
  </si>
  <si>
    <t>merlin_1825-12-22</t>
  </si>
  <si>
    <t>merlin_1861-03-18</t>
  </si>
  <si>
    <t>merlin_1868-02-12</t>
  </si>
  <si>
    <t>merlou_1849-02-18</t>
  </si>
  <si>
    <t>mermod_1878-10-12</t>
  </si>
  <si>
    <t>meslier_1868-05-13</t>
  </si>
  <si>
    <t>mesnard_1873-08-28</t>
  </si>
  <si>
    <t>mesnildot_1833-12-21</t>
  </si>
  <si>
    <t>messier_1878-08-24</t>
  </si>
  <si>
    <t>messimy_1869-01-31</t>
  </si>
  <si>
    <t>messner_1851-04-01</t>
  </si>
  <si>
    <t>mestreau_1825-02-15</t>
  </si>
  <si>
    <t>mesureur_1847-04-02</t>
  </si>
  <si>
    <t>meunier-surcouf_1869-09-12</t>
  </si>
  <si>
    <t>meunier_1861-09-08</t>
  </si>
  <si>
    <t>meunier_1871-02-18</t>
  </si>
  <si>
    <t>meyer_1841-09-01</t>
  </si>
  <si>
    <t>meyer_1868-07-01</t>
  </si>
  <si>
    <t>meyer_1868-09-11</t>
  </si>
  <si>
    <t>mezieres_1826-11-19</t>
  </si>
  <si>
    <t>michal-ladichere_1807-11-03</t>
  </si>
  <si>
    <t>michard-pellissier_1909-10-03</t>
  </si>
  <si>
    <t>michau_1843-03-08</t>
  </si>
  <si>
    <t>michaut_1857-01-26</t>
  </si>
  <si>
    <t>michaux_1822-01-12</t>
  </si>
  <si>
    <t>michel henri dit_1857-01-27</t>
  </si>
  <si>
    <t>michel_1821-07-23</t>
  </si>
  <si>
    <t>michel_1839-08-14</t>
  </si>
  <si>
    <t>michel_1844-01-02</t>
  </si>
  <si>
    <t>michel_1848-03-07</t>
  </si>
  <si>
    <t>michel_1857-01-27</t>
  </si>
  <si>
    <t>michel_1871-05-29</t>
  </si>
  <si>
    <t>michel_1872-09-02</t>
  </si>
  <si>
    <t>michel_1873-05-13</t>
  </si>
  <si>
    <t>michel_1882-04-26</t>
  </si>
  <si>
    <t>michelin_1847-05-03</t>
  </si>
  <si>
    <t>michou_1823-12-29</t>
  </si>
  <si>
    <t>midol_1883-09-24</t>
  </si>
  <si>
    <t>miellet_1880-11-01</t>
  </si>
  <si>
    <t>mignot-bozérian_1878-07-04</t>
  </si>
  <si>
    <t>milan_1873-04-05</t>
  </si>
  <si>
    <t>milhaud_1871-06-10</t>
  </si>
  <si>
    <t>milhet-fontarabie_1828-11-22</t>
  </si>
  <si>
    <t>milhet_1881-04-09</t>
  </si>
  <si>
    <t>mill_1864-04-06</t>
  </si>
  <si>
    <t>millaud_1834-09-07</t>
  </si>
  <si>
    <t>mille_1854-07-30</t>
  </si>
  <si>
    <t>millerand_1859-02-10</t>
  </si>
  <si>
    <t>millevoye_1850-08-01</t>
  </si>
  <si>
    <t>milliard_1844-12-19</t>
  </si>
  <si>
    <t>milliaux_1861-07-10</t>
  </si>
  <si>
    <t>millies-lacroix_1850-12-04</t>
  </si>
  <si>
    <t>millies-lacroix_1876-01-16</t>
  </si>
  <si>
    <t>million_1829-09-18</t>
  </si>
  <si>
    <t>milliès-lacroix_1850-12-04</t>
  </si>
  <si>
    <t>millochau_1846-03-15</t>
  </si>
  <si>
    <t>millot_1881-10-07</t>
  </si>
  <si>
    <t>mingasson_1830-10-14</t>
  </si>
  <si>
    <t>minier_1857-06-20</t>
  </si>
  <si>
    <t>minvielle_1880-01-25</t>
  </si>
  <si>
    <t>miossec_1839-03-15</t>
  </si>
  <si>
    <t>miossec_1869-07-20</t>
  </si>
  <si>
    <t>mir_1843-04-14</t>
  </si>
  <si>
    <t>mire_1873-01-22</t>
  </si>
  <si>
    <t>mireaux_1885-08-21</t>
  </si>
  <si>
    <t>mirman_1865-01-28</t>
  </si>
  <si>
    <t>mirouel_1872-04-29</t>
  </si>
  <si>
    <t>missoffe_1887-06-09</t>
  </si>
  <si>
    <t>mistler_1897-09-01</t>
  </si>
  <si>
    <t>mistral_1872-09-19</t>
  </si>
  <si>
    <t>mitton_1870-11-25</t>
  </si>
  <si>
    <t>moch_1893-03-15</t>
  </si>
  <si>
    <t>moign_1824-03-17</t>
  </si>
  <si>
    <t>moigne_1849-07-19</t>
  </si>
  <si>
    <t>moinet_1836-12-08</t>
  </si>
  <si>
    <t>molinié_1868-06-10</t>
  </si>
  <si>
    <t>molinié_1872-06-03</t>
  </si>
  <si>
    <t>mollard_1849-10-12</t>
  </si>
  <si>
    <t>mollard_1863-01-15</t>
  </si>
  <si>
    <t>molle_1868-02-16</t>
  </si>
  <si>
    <t>molle_1876-04-24</t>
  </si>
  <si>
    <t>molènes_1896-09-05</t>
  </si>
  <si>
    <t>moncelle_1879-09-12</t>
  </si>
  <si>
    <t>mondenard_1839-01-26</t>
  </si>
  <si>
    <t>monestier_1855-11-23</t>
  </si>
  <si>
    <t>monfeuillart_1853-05-09</t>
  </si>
  <si>
    <t>monicault_1869-06-27</t>
  </si>
  <si>
    <t>monier_1842-04-24</t>
  </si>
  <si>
    <t>monis_1846-05-23</t>
  </si>
  <si>
    <t>monjaret de kerjegu_1809-03-01</t>
  </si>
  <si>
    <t>monjauvis_1904-12-02</t>
  </si>
  <si>
    <t>monmousseau_1883-01-17</t>
  </si>
  <si>
    <t>monnerville_1897-01-02</t>
  </si>
  <si>
    <t>monnet_1820-10-01</t>
  </si>
  <si>
    <t>monnet_1898-08-12</t>
  </si>
  <si>
    <t>monnier_1815-09-05</t>
  </si>
  <si>
    <t>monnier_1844-11-10</t>
  </si>
  <si>
    <t>monplanet_1874-11-23</t>
  </si>
  <si>
    <t>monprofit_1857-10-07</t>
  </si>
  <si>
    <t>mons_1858-03-27</t>
  </si>
  <si>
    <t>monsacre_1890-11-20</t>
  </si>
  <si>
    <t>monsservin_1838-01-05</t>
  </si>
  <si>
    <t>monsservin_1864-05-08</t>
  </si>
  <si>
    <t>montagnon_1889-08-19</t>
  </si>
  <si>
    <t>montaigu_1844-03-11</t>
  </si>
  <si>
    <t>montaigu_1877-11-27</t>
  </si>
  <si>
    <t>montalembert_1850-12-16</t>
  </si>
  <si>
    <t>montané_1829-06-02</t>
  </si>
  <si>
    <t>montaudon_1818-02-14</t>
  </si>
  <si>
    <t>montaut_1823-08-27</t>
  </si>
  <si>
    <t>montebello_1851-08-09</t>
  </si>
  <si>
    <t>monteilhet_1812-03-20</t>
  </si>
  <si>
    <t>monteils_1824-05-21</t>
  </si>
  <si>
    <t>montenot_1859-12-27</t>
  </si>
  <si>
    <t>montenot_1859-12-29</t>
  </si>
  <si>
    <t>montera_1823-05-27</t>
  </si>
  <si>
    <t>montesquiou-fezensac_1843-09-29</t>
  </si>
  <si>
    <t>montfort_1840-02-03</t>
  </si>
  <si>
    <t>montgolfier_1828-08-28</t>
  </si>
  <si>
    <t>montigny_1892-04-19</t>
  </si>
  <si>
    <t>montillot_1882-07-03</t>
  </si>
  <si>
    <t>montjau_1814-08-01</t>
  </si>
  <si>
    <t>montjou_1856-12-17</t>
  </si>
  <si>
    <t>montjou_1888-08-05</t>
  </si>
  <si>
    <t>montrozier_1871-09-29</t>
  </si>
  <si>
    <t>montsaulnin_1838-06-05</t>
  </si>
  <si>
    <t>montéty_1849-11-24</t>
  </si>
  <si>
    <t>mony_1849-03-19</t>
  </si>
  <si>
    <t>monzie_1876-11-22</t>
  </si>
  <si>
    <t>morand_1869-06-02</t>
  </si>
  <si>
    <t>morandière_1839-12-09</t>
  </si>
  <si>
    <t>morandière_1870-04-09</t>
  </si>
  <si>
    <t>morane_1901-06-17</t>
  </si>
  <si>
    <t>morcrette-ledieu_1853-11-18</t>
  </si>
  <si>
    <t>moreau_1837-04-08</t>
  </si>
  <si>
    <t>morel jean-baptiste dit_1854-10-10</t>
  </si>
  <si>
    <t>morel_1844-04-26</t>
  </si>
  <si>
    <t>morel_1846-10-09</t>
  </si>
  <si>
    <t>morel_1854-10-10</t>
  </si>
  <si>
    <t>morel_1869-09-20</t>
  </si>
  <si>
    <t>morel_1869-10-30</t>
  </si>
  <si>
    <t>morel_1871-03-22</t>
  </si>
  <si>
    <t>morellet_1843-03-25</t>
  </si>
  <si>
    <t>morelli_1833-02-28</t>
  </si>
  <si>
    <t>moret_1846-11-10</t>
  </si>
  <si>
    <t>morey_1834-07-24</t>
  </si>
  <si>
    <t>morillot_1838-07-19</t>
  </si>
  <si>
    <t>morin-latour_1834-02-23</t>
  </si>
  <si>
    <t>morin_1851-10-21</t>
  </si>
  <si>
    <t>morin_1876-02-10</t>
  </si>
  <si>
    <t>morinaud_1865-02-17</t>
  </si>
  <si>
    <t>morizet_1876-01-23</t>
  </si>
  <si>
    <t>morlot_1859-10-10</t>
  </si>
  <si>
    <t>moro-giafferri_1878-06-06</t>
  </si>
  <si>
    <t>moroux_1849-06-06</t>
  </si>
  <si>
    <t>mortier_1882-01-09</t>
  </si>
  <si>
    <t>mortillet_1821-08-29</t>
  </si>
  <si>
    <t>morucci_1868-06-23</t>
  </si>
  <si>
    <t>motte_1823-03-27</t>
  </si>
  <si>
    <t>motte_1860-10-15</t>
  </si>
  <si>
    <t>mottu_1886-03-01</t>
  </si>
  <si>
    <t>mouchel_1855-02-04</t>
  </si>
  <si>
    <t>mougeot_1857-11-10</t>
  </si>
  <si>
    <t>mougin_1837-06-14</t>
  </si>
  <si>
    <t>moulière_1866-11-22</t>
  </si>
  <si>
    <t>mounie_1873-01-04</t>
  </si>
  <si>
    <t>mounié_1876-10-04</t>
  </si>
  <si>
    <t>mourer_1897-08-19</t>
  </si>
  <si>
    <t>mouret_1863-08-18</t>
  </si>
  <si>
    <t>mourier_1873-10-08</t>
  </si>
  <si>
    <t>moustier_1850-02-16</t>
  </si>
  <si>
    <t>moustier_1882-04-05</t>
  </si>
  <si>
    <t>moutet_1876-04-19</t>
  </si>
  <si>
    <t>moutet_1887-10-31</t>
  </si>
  <si>
    <t>moyne_1881-10-15</t>
  </si>
  <si>
    <t>mulac_1847-03-10</t>
  </si>
  <si>
    <t>muller_1843-09-19</t>
  </si>
  <si>
    <t>muller_1861-08-31</t>
  </si>
  <si>
    <t>muller_1876-05-11</t>
  </si>
  <si>
    <t>multedo_1846-05-17</t>
  </si>
  <si>
    <t>mun_1841-02-28</t>
  </si>
  <si>
    <t>mun_1870-01-26</t>
  </si>
  <si>
    <t>munier_1821-11-21</t>
  </si>
  <si>
    <t>munier_1837-05-17</t>
  </si>
  <si>
    <t>munin-bourdin_1855-01-07</t>
  </si>
  <si>
    <t>muracciole_1835-03-12</t>
  </si>
  <si>
    <t>murat_1828-12-12</t>
  </si>
  <si>
    <t>murat_1851-12-16</t>
  </si>
  <si>
    <t>murat_1885-08-06</t>
  </si>
  <si>
    <t>muret_1865-05-03</t>
  </si>
  <si>
    <t>musso_1884-07-12</t>
  </si>
  <si>
    <t>muteau_1850-03-01</t>
  </si>
  <si>
    <t>muzet_1843-08-14</t>
  </si>
  <si>
    <t>myre-mory_1898-03-04</t>
  </si>
  <si>
    <t>myrens_1861-02-04</t>
  </si>
  <si>
    <t>mège_1847-12-18</t>
  </si>
  <si>
    <t>mège_1883-08-01</t>
  </si>
  <si>
    <t>médecin_1890-12-02</t>
  </si>
  <si>
    <t>mélin_1863-11-07</t>
  </si>
  <si>
    <t>méline_1838-05-20</t>
  </si>
  <si>
    <t>ménard-dorian_1846-04-26</t>
  </si>
  <si>
    <t>ménard_1859-09-12</t>
  </si>
  <si>
    <t>ménil_1873-02-28</t>
  </si>
  <si>
    <t>mény_1890-09-17</t>
  </si>
  <si>
    <t>méquillet_1861-06-03</t>
  </si>
  <si>
    <t>mérillon_1852-06-29</t>
  </si>
  <si>
    <t>méritan_1862-09-26</t>
  </si>
  <si>
    <t>métayer_1869-12-29</t>
  </si>
  <si>
    <t>métin_1871-01-28</t>
  </si>
  <si>
    <t>mézières_1826-11-19</t>
  </si>
  <si>
    <t>nadaillac_1880-08-05</t>
  </si>
  <si>
    <t>nadaud_1815-11-17</t>
  </si>
  <si>
    <t>nader_1899-09-17</t>
  </si>
  <si>
    <t>nadi_1872-05-19</t>
  </si>
  <si>
    <t>nail_1864-09-27</t>
  </si>
  <si>
    <t>nail_1875-04-28</t>
  </si>
  <si>
    <t>naples_1872-11-23</t>
  </si>
  <si>
    <t>naquet_1834-10-06</t>
  </si>
  <si>
    <t>narbonne_1847-03-01</t>
  </si>
  <si>
    <t>narçay_1859-03-27</t>
  </si>
  <si>
    <t>nast_1884-09-24</t>
  </si>
  <si>
    <t>naudin_1888-07-23</t>
  </si>
  <si>
    <t>navarre_1853-04-27</t>
  </si>
  <si>
    <t>nectoux_1860-08-29</t>
  </si>
  <si>
    <t>negre_1854-05-13</t>
  </si>
  <si>
    <t>neron_1867-02-15</t>
  </si>
  <si>
    <t>neuville_1865-07-03</t>
  </si>
  <si>
    <t>neveux_1824-03-13</t>
  </si>
  <si>
    <t>neyrand_1837-09-07</t>
  </si>
  <si>
    <t>neyret_1861-08-05</t>
  </si>
  <si>
    <t>neyret_1890-05-13</t>
  </si>
  <si>
    <t>nibelle_1860-02-13</t>
  </si>
  <si>
    <t>nicod_1881-07-18</t>
  </si>
  <si>
    <t>nicolas_1844-10-25</t>
  </si>
  <si>
    <t>nicolas_1879-12-08</t>
  </si>
  <si>
    <t>nicolle_1836-08-02</t>
  </si>
  <si>
    <t>nicolle_1871-06-16</t>
  </si>
  <si>
    <t>nicollet_1875-12-18</t>
  </si>
  <si>
    <t>niel_1837-07-29</t>
  </si>
  <si>
    <t>niel_1894-12-26</t>
  </si>
  <si>
    <t>ninard_1824-03-11</t>
  </si>
  <si>
    <t>nioche_1820-08-08</t>
  </si>
  <si>
    <t>niveaux_1863-08-19</t>
  </si>
  <si>
    <t>nivert_1844-10-21</t>
  </si>
  <si>
    <t>noblemaire_1867-12-27</t>
  </si>
  <si>
    <t>noblot_1816-08-30</t>
  </si>
  <si>
    <t>noblot_1824-01-10</t>
  </si>
  <si>
    <t>nogaro_1880-04-05</t>
  </si>
  <si>
    <t>nogues_1858-03-03</t>
  </si>
  <si>
    <t>noguès_1858-03-03</t>
  </si>
  <si>
    <t>noirot_1833-02-02</t>
  </si>
  <si>
    <t>nollet_1865-01-28</t>
  </si>
  <si>
    <t>nomblot_1868-01-25</t>
  </si>
  <si>
    <t>nominé_1892-04-08</t>
  </si>
  <si>
    <t>normand_1858-11-19</t>
  </si>
  <si>
    <t>nortier_1859-08-04</t>
  </si>
  <si>
    <t>noue_1843-03-06</t>
  </si>
  <si>
    <t>nouelle_1887-08-30</t>
  </si>
  <si>
    <t>nouhaud_1855-02-20</t>
  </si>
  <si>
    <t>noulens_1864-03-29</t>
  </si>
  <si>
    <t>noël-parfait_1813-12-30</t>
  </si>
  <si>
    <t>noël_1847-08-26</t>
  </si>
  <si>
    <t>noël_1863-04-08</t>
  </si>
  <si>
    <t>nérel_1855-12-28</t>
  </si>
  <si>
    <t>néron-bancel_1859-01-23</t>
  </si>
  <si>
    <t>néron_1867-02-15</t>
  </si>
  <si>
    <t>oberkirch_1876-01-01</t>
  </si>
  <si>
    <t>obissier_1833-11-26</t>
  </si>
  <si>
    <t>odilon-barrot_1841-01-03</t>
  </si>
  <si>
    <t>odin_1889-01-20</t>
  </si>
  <si>
    <t>odoux_1871-03-12</t>
  </si>
  <si>
    <t>offroy-durieu_1812-02-19</t>
  </si>
  <si>
    <t>ogier_1862-01-06</t>
  </si>
  <si>
    <t>olive_1835-10-10</t>
  </si>
  <si>
    <t>ollier_1876-05-13</t>
  </si>
  <si>
    <t>ollivier_1828-11-17</t>
  </si>
  <si>
    <t>ollivier_1853-04-03</t>
  </si>
  <si>
    <t>olry_1833-09-11</t>
  </si>
  <si>
    <t>ordinaire_1826-06-10</t>
  </si>
  <si>
    <t>ordinaire_1862-02-07</t>
  </si>
  <si>
    <t>oriol_1840-08-27</t>
  </si>
  <si>
    <t>oriot_1846-10-15</t>
  </si>
  <si>
    <t>orsat_1849-06-27</t>
  </si>
  <si>
    <t>ory_1852-09-12</t>
  </si>
  <si>
    <t>ossola_1848-09-21</t>
  </si>
  <si>
    <t>ossola_1881-04-24</t>
  </si>
  <si>
    <t>ostermann_1878-01-24</t>
  </si>
  <si>
    <t>oudet_1816-07-04</t>
  </si>
  <si>
    <t>oudin_1857-09-06</t>
  </si>
  <si>
    <t>oudin_1873-01-20</t>
  </si>
  <si>
    <t>ournac_1845-08-31</t>
  </si>
  <si>
    <t>outhenin-chalandre_1853-06-24</t>
  </si>
  <si>
    <t>outrey_1863-08-11</t>
  </si>
  <si>
    <t>outters_1849-06-13</t>
  </si>
  <si>
    <t>ouvre_1883-05-27</t>
  </si>
  <si>
    <t>ouvrier_1840-07-20</t>
  </si>
  <si>
    <t>ouvré_1852-05-23</t>
  </si>
  <si>
    <t>ouvré_1883-05-27</t>
  </si>
  <si>
    <t>ozun_1840-02-22</t>
  </si>
  <si>
    <t>pacaud_1862-10-31</t>
  </si>
  <si>
    <t>paganon_1880-03-19</t>
  </si>
  <si>
    <t>pagès_1810-03-18</t>
  </si>
  <si>
    <t>paillard-ducléré_1844-10-20</t>
  </si>
  <si>
    <t>paillerets_1867-09-11</t>
  </si>
  <si>
    <t>pain_1830-07-16</t>
  </si>
  <si>
    <t>pain_1866-09-22</t>
  </si>
  <si>
    <t>painlevé_1863-12-05</t>
  </si>
  <si>
    <t>paisant_1868-08-11</t>
  </si>
  <si>
    <t>pajot_1809-02-01</t>
  </si>
  <si>
    <t>pajot_1844-06-30</t>
  </si>
  <si>
    <t>palix_1864-11-14</t>
  </si>
  <si>
    <t>pally_1843-01-07</t>
  </si>
  <si>
    <t>palmade_1886-10-04</t>
  </si>
  <si>
    <t>pams_1852-08-14</t>
  </si>
  <si>
    <t>papelier_1845-12-05</t>
  </si>
  <si>
    <t>papinaud_1844-03-10</t>
  </si>
  <si>
    <t>papon_1821-09-05</t>
  </si>
  <si>
    <t>paqué_1866-07-22</t>
  </si>
  <si>
    <t>parayre_1893-11-09</t>
  </si>
  <si>
    <t>parent_1817-03-21</t>
  </si>
  <si>
    <t>parenteau_1859-07-25</t>
  </si>
  <si>
    <t>paris_1826-11-12</t>
  </si>
  <si>
    <t>parisot_1831-08-30</t>
  </si>
  <si>
    <t>parissot_1845-09-06</t>
  </si>
  <si>
    <t>parmentier_1896-03-11</t>
  </si>
  <si>
    <t>parry_1822-05-02</t>
  </si>
  <si>
    <t>parsy_1878-01-29</t>
  </si>
  <si>
    <t>parvy_1876-11-26</t>
  </si>
  <si>
    <t>parès_1887-08-02</t>
  </si>
  <si>
    <t>pascal_1835-08-07</t>
  </si>
  <si>
    <t>pascaud_1876-10-22</t>
  </si>
  <si>
    <t>pasqual_1869-02-04</t>
  </si>
  <si>
    <t>pasquet_1867-10-17</t>
  </si>
  <si>
    <t>pasquier_1839-04-01</t>
  </si>
  <si>
    <t>passy_1822-05-20</t>
  </si>
  <si>
    <t>passy_1830-12-04</t>
  </si>
  <si>
    <t>pastre_1864-01-10</t>
  </si>
  <si>
    <t>patenôtre-desnoyers_1883-02-03</t>
  </si>
  <si>
    <t>patenôtre_1900-07-31</t>
  </si>
  <si>
    <t>patizel_1871-01-29</t>
  </si>
  <si>
    <t>patureau-baronnet_1875-12-23</t>
  </si>
  <si>
    <t>patureau-mirand_1873-04-12</t>
  </si>
  <si>
    <t>patureau-mirand_1875-09-11</t>
  </si>
  <si>
    <t>paturet_1856-07-09</t>
  </si>
  <si>
    <t>paté_1878-12-24</t>
  </si>
  <si>
    <t>paul-boncour_1873-08-04</t>
  </si>
  <si>
    <t>paul-faure_1852-01-16</t>
  </si>
  <si>
    <t>pauliac_1843-10-09</t>
  </si>
  <si>
    <t>pauliat_1845-01-13</t>
  </si>
  <si>
    <t>paulin-méry_1860-06-14</t>
  </si>
  <si>
    <t>paulin_1881-11-21</t>
  </si>
  <si>
    <t>paulmier_1811-10-21</t>
  </si>
  <si>
    <t>paulmier_1848-04-02</t>
  </si>
  <si>
    <t>pavie_1843-02-02</t>
  </si>
  <si>
    <t>payen_1869-08-20</t>
  </si>
  <si>
    <t>payen_1881-05-13</t>
  </si>
  <si>
    <t>payer_1877-11-30</t>
  </si>
  <si>
    <t>payra_1882-02-16</t>
  </si>
  <si>
    <t>pays_1863-07-11</t>
  </si>
  <si>
    <t>pazat_1839-02-08</t>
  </si>
  <si>
    <t>peaudecerf_1835-08-31</t>
  </si>
  <si>
    <t>pedebidou_1854-12-16</t>
  </si>
  <si>
    <t>peignot_1871-01-21</t>
  </si>
  <si>
    <t>peigné_1862-09-21</t>
  </si>
  <si>
    <t>peirotes_1869-09-11</t>
  </si>
  <si>
    <t>peissel_1879-05-22</t>
  </si>
  <si>
    <t>pelisse_1853-02-12</t>
  </si>
  <si>
    <t>pelisse_1874-02-04</t>
  </si>
  <si>
    <t>pelissier_1812-12-04</t>
  </si>
  <si>
    <t>pelissier_1859-08-29</t>
  </si>
  <si>
    <t>pellet_1849-05-04</t>
  </si>
  <si>
    <t>pelletan_1813-10-29</t>
  </si>
  <si>
    <t>pelletan_1846-06-23</t>
  </si>
  <si>
    <t>pelletier_1870-08-13</t>
  </si>
  <si>
    <t>pellé_1881-02-20</t>
  </si>
  <si>
    <t>penancier_1873-02-04</t>
  </si>
  <si>
    <t>penancier_1873-02-24</t>
  </si>
  <si>
    <t>penicaud_1843-06-18</t>
  </si>
  <si>
    <t>peraldi_1841-03-18</t>
  </si>
  <si>
    <t>perchot_1867-09-09</t>
  </si>
  <si>
    <t>perdrix_1872-04-24</t>
  </si>
  <si>
    <t>peres_1858-02-18</t>
  </si>
  <si>
    <t>peret_1870-11-29</t>
  </si>
  <si>
    <t>perfetti_1875-10-21</t>
  </si>
  <si>
    <t>perier_1847-08-24</t>
  </si>
  <si>
    <t>perigois_1819-04-25</t>
  </si>
  <si>
    <t>pernollet_1845-03-14</t>
  </si>
  <si>
    <t>pernot_1879-11-06</t>
  </si>
  <si>
    <t>peronne_1832-01-20</t>
  </si>
  <si>
    <t>perras_1835-07-07</t>
  </si>
  <si>
    <t>perreal_1825-05-23</t>
  </si>
  <si>
    <t>perreau-pradier_1847-05-13</t>
  </si>
  <si>
    <t>perreau-pradier_1885-07-05</t>
  </si>
  <si>
    <t>perreau_1852-11-10</t>
  </si>
  <si>
    <t>perreau_1866-03-13</t>
  </si>
  <si>
    <t>perrein_1892-02-05</t>
  </si>
  <si>
    <t>perret_1815-04-03</t>
  </si>
  <si>
    <t>perrier_1836-04-05</t>
  </si>
  <si>
    <t>perrier_1836-04-15</t>
  </si>
  <si>
    <t>perrier_1873-02-01</t>
  </si>
  <si>
    <t>perrin_1842-10-11</t>
  </si>
  <si>
    <t>perrin_1870-09-30</t>
  </si>
  <si>
    <t>perrin_1888-10-08</t>
  </si>
  <si>
    <t>perrin_1891-11-09</t>
  </si>
  <si>
    <t>perrissoud_1879-12-23</t>
  </si>
  <si>
    <t>perroche_1845-08-03</t>
  </si>
  <si>
    <t>perrochel_1843-05-20</t>
  </si>
  <si>
    <t>perrollaz_1857-09-14</t>
  </si>
  <si>
    <t>perronne_1887-09-27</t>
  </si>
  <si>
    <t>perrot_1889-06-07</t>
  </si>
  <si>
    <t>persil_1870-08-04</t>
  </si>
  <si>
    <t>peschaud_1861-04-02</t>
  </si>
  <si>
    <t>pesson_1843-06-22</t>
  </si>
  <si>
    <t>peter_1887-09-21</t>
  </si>
  <si>
    <t>petit_1836-06-03</t>
  </si>
  <si>
    <t>petit_1856-11-24</t>
  </si>
  <si>
    <t>petit_1871-01-09</t>
  </si>
  <si>
    <t>petit_1872-02-24</t>
  </si>
  <si>
    <t>petitbien_1818-05-11</t>
  </si>
  <si>
    <t>petitfils_1878-05-19</t>
  </si>
  <si>
    <t>petitier_1873-11-01</t>
  </si>
  <si>
    <t>petitjean_1857-04-30</t>
  </si>
  <si>
    <t>petitjean_1858-08-22</t>
  </si>
  <si>
    <t>petitjean_1875-11-24</t>
  </si>
  <si>
    <t>petitjean_1881-11-07</t>
  </si>
  <si>
    <t>petsche_1895-12-01</t>
  </si>
  <si>
    <t>peulevey_1815-02-22</t>
  </si>
  <si>
    <t>peureux_1857-04-05</t>
  </si>
  <si>
    <t>peyrat_1812-06-21</t>
  </si>
  <si>
    <t>peyret_1868-10-07</t>
  </si>
  <si>
    <t>peyron_1823-06-21</t>
  </si>
  <si>
    <t>peyronnet_1862-01-05</t>
  </si>
  <si>
    <t>peyrot_1843-11-11</t>
  </si>
  <si>
    <t>peyroux_1872-08-29</t>
  </si>
  <si>
    <t>peyrusse_1831-03-21</t>
  </si>
  <si>
    <t>peytral_1842-01-20</t>
  </si>
  <si>
    <t>peytral_1874-10-18</t>
  </si>
  <si>
    <t>peytral_1874-10-19</t>
  </si>
  <si>
    <t>pezet_1848-07-19</t>
  </si>
  <si>
    <t>pezet_1887-12-06</t>
  </si>
  <si>
    <t>pezieres_1885-05-02</t>
  </si>
  <si>
    <t>pfleger_1873-09-30</t>
  </si>
  <si>
    <t>philbois_1864-06-17</t>
  </si>
  <si>
    <t>philip_1868-10-06</t>
  </si>
  <si>
    <t>philipon_1851-01-08</t>
  </si>
  <si>
    <t>philipot_1884-06-21</t>
  </si>
  <si>
    <t>philippe_1827-10-30</t>
  </si>
  <si>
    <t>philippe_1871-04-22</t>
  </si>
  <si>
    <t>philippoteaux_1821-04-17</t>
  </si>
  <si>
    <t>philippoteaux_1866-01-19</t>
  </si>
  <si>
    <t>pic-paris_1836-03-29</t>
  </si>
  <si>
    <t>pic_1879-06-09</t>
  </si>
  <si>
    <t>picard_1825-07-08</t>
  </si>
  <si>
    <t>picard_1844-12-21</t>
  </si>
  <si>
    <t>picard_1872-08-21</t>
  </si>
  <si>
    <t>pichat_1843-07-23</t>
  </si>
  <si>
    <t>pichery_1863-06-14</t>
  </si>
  <si>
    <t>pichon_1849-06-11</t>
  </si>
  <si>
    <t>pichon_1857-08-10</t>
  </si>
  <si>
    <t>picot_1848-04-09</t>
  </si>
  <si>
    <t>picot_1862-03-17</t>
  </si>
  <si>
    <t>picquart_1854-09-06</t>
  </si>
  <si>
    <t>pierangeli_1875-01-23</t>
  </si>
  <si>
    <t>pierre-alype_1846-02-24</t>
  </si>
  <si>
    <t>pierre-bloch_1905-04-14</t>
  </si>
  <si>
    <t>pierre-robert_1875-05-17</t>
  </si>
  <si>
    <t>pierre_1864-11-26</t>
  </si>
  <si>
    <t>pierrin_1860-06-27</t>
  </si>
  <si>
    <t>pietri_1820-02-25</t>
  </si>
  <si>
    <t>pietri_1882-08-08</t>
  </si>
  <si>
    <t>piettre_1841-10-02</t>
  </si>
  <si>
    <t>pieyre_1867-03-09</t>
  </si>
  <si>
    <t>piger_1864-07-14</t>
  </si>
  <si>
    <t>pilate_1850-01-12</t>
  </si>
  <si>
    <t>pin_1813-08-09</t>
  </si>
  <si>
    <t>pinard_1844-02-04</t>
  </si>
  <si>
    <t>pinault_1834-05-10</t>
  </si>
  <si>
    <t>pinault_1870-09-24</t>
  </si>
  <si>
    <t>pinay_1891-12-30</t>
  </si>
  <si>
    <t>pinelli_1881-05-31</t>
  </si>
  <si>
    <t>pins_1866-10-19</t>
  </si>
  <si>
    <t>piot_1828-07-06</t>
  </si>
  <si>
    <t>piot_1889-06-27</t>
  </si>
  <si>
    <t>piou_1838-08-06</t>
  </si>
  <si>
    <t>piquemal_1891-09-12</t>
  </si>
  <si>
    <t>piton_1883-07-25</t>
  </si>
  <si>
    <t>pitti-ferrandi_1838-02-22</t>
  </si>
  <si>
    <t>pitti-ferrandi_1876-11-16</t>
  </si>
  <si>
    <t>piérard_1854-03-07</t>
  </si>
  <si>
    <t>piétri_1882-08-08</t>
  </si>
  <si>
    <t>plaisance_1860-06-27</t>
  </si>
  <si>
    <t>plaisant_1887-03-08</t>
  </si>
  <si>
    <t>planche_1866-06-04</t>
  </si>
  <si>
    <t>planche_1892-05-05</t>
  </si>
  <si>
    <t>planchenault_1862-05-26</t>
  </si>
  <si>
    <t>planteau_1836-01-08</t>
  </si>
  <si>
    <t>plantie_1827-10-20</t>
  </si>
  <si>
    <t>plantié_1817-10-20</t>
  </si>
  <si>
    <t>plard_1888-12-23</t>
  </si>
  <si>
    <t>plazanet_1821-04-15</t>
  </si>
  <si>
    <t>plessier_1813-03-13</t>
  </si>
  <si>
    <t>plet_1864-04-08</t>
  </si>
  <si>
    <t>plichon_1814-06-28</t>
  </si>
  <si>
    <t>plichon_1863-06-14</t>
  </si>
  <si>
    <t>plissonnier_1847-04-12</t>
  </si>
  <si>
    <t>plouzané_1859-12-27</t>
  </si>
  <si>
    <t>pochon_1840-01-07</t>
  </si>
  <si>
    <t>pochon_1840-06-07</t>
  </si>
  <si>
    <t>poillot_1864-09-09</t>
  </si>
  <si>
    <t>poincare_1860-08-20</t>
  </si>
  <si>
    <t>poincaré_1860-08-20</t>
  </si>
  <si>
    <t>pointaire_1877-06-01</t>
  </si>
  <si>
    <t>poirrier_1826-11-30</t>
  </si>
  <si>
    <t>poirrier_1832-11-20</t>
  </si>
  <si>
    <t>poirson_1853-05-01</t>
  </si>
  <si>
    <t>poisson_1870-08-02</t>
  </si>
  <si>
    <t>poitou-duplessy_1883-04-08</t>
  </si>
  <si>
    <t>poitou-duplessy_1885-01-05</t>
  </si>
  <si>
    <t>poittevin_1880-07-15</t>
  </si>
  <si>
    <t>poix_1841-04-19</t>
  </si>
  <si>
    <t>polignac_1887-10-04</t>
  </si>
  <si>
    <t>polimann_1890-11-19</t>
  </si>
  <si>
    <t>pomaret_1897-08-16</t>
  </si>
  <si>
    <t>pomel_1821-09-20</t>
  </si>
  <si>
    <t>pomereu_1860-02-06</t>
  </si>
  <si>
    <t>pommeray_1858-10-21</t>
  </si>
  <si>
    <t>ponard_1861-08-08</t>
  </si>
  <si>
    <t>poncet_1863-11-01</t>
  </si>
  <si>
    <t>poncet_1878-01-13</t>
  </si>
  <si>
    <t>poncheville_1842-10-13</t>
  </si>
  <si>
    <t>pons-tande_1814-11-07</t>
  </si>
  <si>
    <t>pons_1822-02-02</t>
  </si>
  <si>
    <t>ponsot_1876-10-26</t>
  </si>
  <si>
    <t>pontallié_1855-10-14</t>
  </si>
  <si>
    <t>pontbriant_1848-11-09</t>
  </si>
  <si>
    <t>ponteille_1867-04-23</t>
  </si>
  <si>
    <t>ponthier de chamaillard_1848-10-23</t>
  </si>
  <si>
    <t>pontlevoy_1827-07-03</t>
  </si>
  <si>
    <t>pontois_1837-07-26</t>
  </si>
  <si>
    <t>poriquet_1816-07-30</t>
  </si>
  <si>
    <t>porquier_1849-04-09</t>
  </si>
  <si>
    <t>porte_1848-06-20</t>
  </si>
  <si>
    <t>porte_1880-06-17</t>
  </si>
  <si>
    <t>porterat_1870-10-02</t>
  </si>
  <si>
    <t>porteu_1870-04-09</t>
  </si>
  <si>
    <t>portmann_1890-07-01</t>
  </si>
  <si>
    <t>possesse_1846-03-24</t>
  </si>
  <si>
    <t>pothuau_1815-12-30</t>
  </si>
  <si>
    <t>potie_1858-11-28</t>
  </si>
  <si>
    <t>potié_1863-09-03</t>
  </si>
  <si>
    <t>pottevin_1865-05-07</t>
  </si>
  <si>
    <t>potut_1900-06-25</t>
  </si>
  <si>
    <t>pouchus_1885-02-14</t>
  </si>
  <si>
    <t>poujade_1823-07-01</t>
  </si>
  <si>
    <t>poulet_1846-09-15</t>
  </si>
  <si>
    <t>pouliot_1843-12-20</t>
  </si>
  <si>
    <t>poulié_1845-02-04</t>
  </si>
  <si>
    <t>poullan_1857-04-27</t>
  </si>
  <si>
    <t>poulle_1861-03-01</t>
  </si>
  <si>
    <t>poullen_1877-12-04</t>
  </si>
  <si>
    <t>poulpiquet_1847-12-11</t>
  </si>
  <si>
    <t>poupin_1838-01-03</t>
  </si>
  <si>
    <t>pourteyron_1846-03-30</t>
  </si>
  <si>
    <t>poussineau_1857-11-03</t>
  </si>
  <si>
    <t>poutre_1825-05-28</t>
  </si>
  <si>
    <t>pouyer-quertier_1820-09-02</t>
  </si>
  <si>
    <t>pouzet_1875-07-05</t>
  </si>
  <si>
    <t>pouzin_1880-12-09</t>
  </si>
  <si>
    <t>pouët_1875-03-23</t>
  </si>
  <si>
    <t>pozzi_1846-10-03</t>
  </si>
  <si>
    <t>pozzi_1860-10-08</t>
  </si>
  <si>
    <t>prache_1856-02-26</t>
  </si>
  <si>
    <t>pradal_1844-03-23</t>
  </si>
  <si>
    <t>pradel_1873-06-02</t>
  </si>
  <si>
    <t>pradet-balade_1827-10-30</t>
  </si>
  <si>
    <t>pradet-balade_1863-02-06</t>
  </si>
  <si>
    <t>pradines_1838-12-31</t>
  </si>
  <si>
    <t>pradon-vallancy_1891-09-07</t>
  </si>
  <si>
    <t>pradon_1847-05-31</t>
  </si>
  <si>
    <t>prat_1870-08-02</t>
  </si>
  <si>
    <t>prax-paris_1829-10-02</t>
  </si>
  <si>
    <t>prentout_1889-04-06</t>
  </si>
  <si>
    <t>pressat_1821-04-23</t>
  </si>
  <si>
    <t>pressemane_1879-01-31</t>
  </si>
  <si>
    <t>pressensé_1853-09-30</t>
  </si>
  <si>
    <t>presseq_1870-10-24</t>
  </si>
  <si>
    <t>pressy_1819-07-03</t>
  </si>
  <si>
    <t>prevet_1852-03-18</t>
  </si>
  <si>
    <t>prevet_1854-09-06</t>
  </si>
  <si>
    <t>prey_1834-08-16</t>
  </si>
  <si>
    <t>preÿ_1866-10-16</t>
  </si>
  <si>
    <t>prillieux_1829-01-11</t>
  </si>
  <si>
    <t>pringolliet_1879-01-23</t>
  </si>
  <si>
    <t>proal_1851-04-24</t>
  </si>
  <si>
    <t>prost_1847-01-07</t>
  </si>
  <si>
    <t>proust_1832-03-05</t>
  </si>
  <si>
    <t>proust_1832-03-10</t>
  </si>
  <si>
    <t>proust_1852-04-26</t>
  </si>
  <si>
    <t>proust_1878-06-04</t>
  </si>
  <si>
    <t>proust_1882-04-10</t>
  </si>
  <si>
    <t>prouvost_1885-04-24</t>
  </si>
  <si>
    <t>provost-dumarchais_1864-02-25</t>
  </si>
  <si>
    <t>prud'homme-havette_1834-09-08</t>
  </si>
  <si>
    <t>prudent-dervillers_1849-12-01</t>
  </si>
  <si>
    <t>prudhon_1832-04-30</t>
  </si>
  <si>
    <t>prénat_1839-07-23</t>
  </si>
  <si>
    <t>préveraud_1823-11-07</t>
  </si>
  <si>
    <t>puech_1851-05-01</t>
  </si>
  <si>
    <t>puech_1852-05-01</t>
  </si>
  <si>
    <t>puechmaille_1874-05-02</t>
  </si>
  <si>
    <t>pugliesi-conti_1861-07-06</t>
  </si>
  <si>
    <t>pugliesi-conti_1863-06-21</t>
  </si>
  <si>
    <t>puineuf_1856-04-20</t>
  </si>
  <si>
    <t>puis_1873-04-05</t>
  </si>
  <si>
    <t>pujade_1854-03-17</t>
  </si>
  <si>
    <t>pujes_1863-11-04</t>
  </si>
  <si>
    <t>pujo_1878-08-21</t>
  </si>
  <si>
    <t>puybaudet_1885-01-16</t>
  </si>
  <si>
    <t>pyat_1810-10-04</t>
  </si>
  <si>
    <t>python_1883-12-15</t>
  </si>
  <si>
    <t>pâris_1860-01-19</t>
  </si>
  <si>
    <t>péchadre_1862-08-23</t>
  </si>
  <si>
    <t>pécherot_1887-10-25</t>
  </si>
  <si>
    <t>péchin_1871-06-22</t>
  </si>
  <si>
    <t>pédebidou_1854-12-16</t>
  </si>
  <si>
    <t>pédoya_1838-11-29</t>
  </si>
  <si>
    <t>pélisse_1874-02-04</t>
  </si>
  <si>
    <t>pélissier_1890-03-15</t>
  </si>
  <si>
    <t>pénicaud_1843-06-18</t>
  </si>
  <si>
    <t>pénières_1840-05-29</t>
  </si>
  <si>
    <t>péraudin_1865-07-08</t>
  </si>
  <si>
    <t>péret_1870-11-29</t>
  </si>
  <si>
    <t>péri_1902-02-09</t>
  </si>
  <si>
    <t>périer_1851-01-15</t>
  </si>
  <si>
    <t>périllier_1841-11-29</t>
  </si>
  <si>
    <t>périn_1838-07-01</t>
  </si>
  <si>
    <t>périn_1892-01-24</t>
  </si>
  <si>
    <t>périnard_1884-03-15</t>
  </si>
  <si>
    <t>périvier_1893-04-29</t>
  </si>
  <si>
    <t>péronneau_1856-04-18</t>
  </si>
  <si>
    <t>péronnet_1866-06-05</t>
  </si>
  <si>
    <t>pérès_1858-02-18</t>
  </si>
  <si>
    <t>pétain_1856-04-24</t>
  </si>
  <si>
    <t>pétin_1870-04-16</t>
  </si>
  <si>
    <t>pétrot_1837-06-03</t>
  </si>
  <si>
    <t>pévedic_1879-12-03</t>
  </si>
  <si>
    <t>queinnec_1885-10-07</t>
  </si>
  <si>
    <t>quenette_1903-05-02</t>
  </si>
  <si>
    <t>quesnel_1868-03-25</t>
  </si>
  <si>
    <t>queuille_1884-03-31</t>
  </si>
  <si>
    <t>quilbeuf_1854-04-15</t>
  </si>
  <si>
    <t>quilliard_1852-02-05</t>
  </si>
  <si>
    <t>quintaa_1843-12-06</t>
  </si>
  <si>
    <t>rabier_1855-07-23</t>
  </si>
  <si>
    <t>rabouin_1861-10-18</t>
  </si>
  <si>
    <t>raffin-dugens_1861-12-03</t>
  </si>
  <si>
    <t>ragally_1859-05-12</t>
  </si>
  <si>
    <t>ragheboom_1859-08-02</t>
  </si>
  <si>
    <t>ragot-blondeau_1838-12-02</t>
  </si>
  <si>
    <t>raiberti_1862-04-13</t>
  </si>
  <si>
    <t>railhac_1875-04-20</t>
  </si>
  <si>
    <t>rainvillers_1838-11-08</t>
  </si>
  <si>
    <t>rajon_1866-06-02</t>
  </si>
  <si>
    <t>ramadier_1888-03-17</t>
  </si>
  <si>
    <t>rambaud_1842-07-02</t>
  </si>
  <si>
    <t>rambaud_1879-12-05</t>
  </si>
  <si>
    <t>rambaud_1883-09-19</t>
  </si>
  <si>
    <t>rambourgt_1844-10-04</t>
  </si>
  <si>
    <t>rameau_1809-01-26</t>
  </si>
  <si>
    <t>rameil_1878-04-18</t>
  </si>
  <si>
    <t>ramel_1847-03-27</t>
  </si>
  <si>
    <t>ramel_1883-01-26</t>
  </si>
  <si>
    <t>ramette_1897-10-12</t>
  </si>
  <si>
    <t>rampon_1805-07-09</t>
  </si>
  <si>
    <t>rampont_1809-11-25</t>
  </si>
  <si>
    <t>ranc_1831-12-20</t>
  </si>
  <si>
    <t>ranson_1828-11-19</t>
  </si>
  <si>
    <t>ranson_1854-03-05</t>
  </si>
  <si>
    <t>raoul-duval_1832-04-09</t>
  </si>
  <si>
    <t>raquet_1834-03-15</t>
  </si>
  <si>
    <t>raspail_1823-08-16</t>
  </si>
  <si>
    <t>raspail_1827-08-17</t>
  </si>
  <si>
    <t>rathier_1828-09-07</t>
  </si>
  <si>
    <t>rathier_1859-11-11</t>
  </si>
  <si>
    <t>ratier_1851-06-29</t>
  </si>
  <si>
    <t>rau_1884-04-09</t>
  </si>
  <si>
    <t>raude_1878-06-01</t>
  </si>
  <si>
    <t>rauline_1822-06-01</t>
  </si>
  <si>
    <t>rauline_1861-07-18</t>
  </si>
  <si>
    <t>rauzy_1903-01-14</t>
  </si>
  <si>
    <t>ravanat_1882-12-01</t>
  </si>
  <si>
    <t>ravel_1893-10-18</t>
  </si>
  <si>
    <t>ravier_1850-11-09</t>
  </si>
  <si>
    <t>ravisa_1850-03-19</t>
  </si>
  <si>
    <t>raymond_1844-02-18</t>
  </si>
  <si>
    <t>raynal_1840-02-26</t>
  </si>
  <si>
    <t>raynal_1840-07-26</t>
  </si>
  <si>
    <t>raynaldy_1869-12-23</t>
  </si>
  <si>
    <t>raynaud_1844-07-25</t>
  </si>
  <si>
    <t>raynaud_1860-11-05</t>
  </si>
  <si>
    <t>raynaud_1883-08-11</t>
  </si>
  <si>
    <t>razimbaud_1837-08-24</t>
  </si>
  <si>
    <t>razimbaud_1873-06-14</t>
  </si>
  <si>
    <t>real_1845-04-29</t>
  </si>
  <si>
    <t>reboul_1869-06-25</t>
  </si>
  <si>
    <t>reboulin_1852-04-05</t>
  </si>
  <si>
    <t>regaud_1871-09-05</t>
  </si>
  <si>
    <t>regismanset_1849-01-27</t>
  </si>
  <si>
    <t>regnault de savigny de moncorps_1836-03-17</t>
  </si>
  <si>
    <t>regnault_1843-06-19</t>
  </si>
  <si>
    <t>regnier_1855-01-22</t>
  </si>
  <si>
    <t>regnier_1867-02-16</t>
  </si>
  <si>
    <t>regnier_1873-06-13</t>
  </si>
  <si>
    <t>reibel_1882-12-29</t>
  </si>
  <si>
    <t>reille-soult-dalmatie_1835-02-04</t>
  </si>
  <si>
    <t>reille-soult-dalmatie_1861-10-07</t>
  </si>
  <si>
    <t>reille-soult-dalmatie_1871-12-26</t>
  </si>
  <si>
    <t>reille-soult-dalmatie_1873-03-25</t>
  </si>
  <si>
    <t>reille-soult-dalmatie_1888-02-10</t>
  </si>
  <si>
    <t>reille-soult-dalmatie_1891-09-11</t>
  </si>
  <si>
    <t>reinach_1856-09-30</t>
  </si>
  <si>
    <t>reinach_1860-07-03</t>
  </si>
  <si>
    <t>remoiville_1824-01-10</t>
  </si>
  <si>
    <t>renaitour_1896-03-31</t>
  </si>
  <si>
    <t>renard_1836-01-12</t>
  </si>
  <si>
    <t>renard_1836-03-16</t>
  </si>
  <si>
    <t>renard_1861-06-14</t>
  </si>
  <si>
    <t>renaud_1812-04-12</t>
  </si>
  <si>
    <t>renaudat_1850-02-13</t>
  </si>
  <si>
    <t>renaudel_1871-12-19</t>
  </si>
  <si>
    <t>renaudot_1868-04-27</t>
  </si>
  <si>
    <t>renault-morlière_1839-10-11</t>
  </si>
  <si>
    <t>renault_1839-09-24</t>
  </si>
  <si>
    <t>rendu_1844-02-24</t>
  </si>
  <si>
    <t>rendu_1874-12-29</t>
  </si>
  <si>
    <t>renou_1845-12-30</t>
  </si>
  <si>
    <t>renoult_1867-08-29</t>
  </si>
  <si>
    <t>rené-boisneuf_1873-11-09</t>
  </si>
  <si>
    <t>rené-renoult_1867-08-29</t>
  </si>
  <si>
    <t>repiquet_1851-01-21</t>
  </si>
  <si>
    <t>reuillet_1842-02-17</t>
  </si>
  <si>
    <t>revault_1866-09-16</t>
  </si>
  <si>
    <t>reveillaud_1851-01-30</t>
  </si>
  <si>
    <t>revest_1828-02-26</t>
  </si>
  <si>
    <t>revillon michel dit_1891-04-24</t>
  </si>
  <si>
    <t>rey_1834-07-12</t>
  </si>
  <si>
    <t>rey_1836-07-13</t>
  </si>
  <si>
    <t>rey_1838-10-04</t>
  </si>
  <si>
    <t>rey_1845-04-05</t>
  </si>
  <si>
    <t>reybert_1844-11-11</t>
  </si>
  <si>
    <t>reymond_1829-05-15</t>
  </si>
  <si>
    <t>reymond_1865-04-09</t>
  </si>
  <si>
    <t>reymonenq_1858-10-06</t>
  </si>
  <si>
    <t>reynald_1866-06-16</t>
  </si>
  <si>
    <t>reynaud_1845-12-11</t>
  </si>
  <si>
    <t>reynaud_1875-03-18</t>
  </si>
  <si>
    <t>reynaud_1878-10-15</t>
  </si>
  <si>
    <t>reynaud_1891-05-23</t>
  </si>
  <si>
    <t>reyneau_1831-10-30</t>
  </si>
  <si>
    <t>reynouard_1869-01-06</t>
  </si>
  <si>
    <t>rezé_1874-10-19</t>
  </si>
  <si>
    <t>rhul_1881-01-27</t>
  </si>
  <si>
    <t>riban_1814-07-12</t>
  </si>
  <si>
    <t>riberpray_1832-04-26</t>
  </si>
  <si>
    <t>ribes_1882-07-30</t>
  </si>
  <si>
    <t>ribet_1879-10-24</t>
  </si>
  <si>
    <t>ribeyre_1885-10-04</t>
  </si>
  <si>
    <t>ribiere_1822-03-01</t>
  </si>
  <si>
    <t>ribiere_1860-09-19</t>
  </si>
  <si>
    <t>ribière_1860-09-19</t>
  </si>
  <si>
    <t>ribot_1842-02-07</t>
  </si>
  <si>
    <t>riboulerie_1828-04-04</t>
  </si>
  <si>
    <t>ricard_1839-03-17</t>
  </si>
  <si>
    <t>ricard_1849-08-26</t>
  </si>
  <si>
    <t>ricard_1880-09-03</t>
  </si>
  <si>
    <t>ricci_1869-02-11</t>
  </si>
  <si>
    <t>richard_1829-05-29</t>
  </si>
  <si>
    <t>richard_1846-02-22</t>
  </si>
  <si>
    <t>richard_1856-07-14</t>
  </si>
  <si>
    <t>richard_1864-04-18</t>
  </si>
  <si>
    <t>richard_1866-07-25</t>
  </si>
  <si>
    <t>richard_1874-02-15</t>
  </si>
  <si>
    <t>richard_1889-12-28</t>
  </si>
  <si>
    <t>richard_1894-03-03</t>
  </si>
  <si>
    <t>richaud_1837-11-13</t>
  </si>
  <si>
    <t>richerand_1862-10-13</t>
  </si>
  <si>
    <t>riché_1883-07-15</t>
  </si>
  <si>
    <t>ricklin_1862-05-12</t>
  </si>
  <si>
    <t>ricolfi_1886-09-01</t>
  </si>
  <si>
    <t>ridouard_1865-02-09</t>
  </si>
  <si>
    <t>rieder_1868-10-15</t>
  </si>
  <si>
    <t>rieunier_1833-03-06</t>
  </si>
  <si>
    <t>rieux_1878-04-04</t>
  </si>
  <si>
    <t>riffaterre_1879-04-20</t>
  </si>
  <si>
    <t>rigal_1827-04-09</t>
  </si>
  <si>
    <t>rigal_1861-05-14</t>
  </si>
  <si>
    <t>rigaud_1829-11-23</t>
  </si>
  <si>
    <t>rigaut_1835-12-13</t>
  </si>
  <si>
    <t>rillard de verneuil_1870-12-17</t>
  </si>
  <si>
    <t>rimbert_1869-09-30</t>
  </si>
  <si>
    <t>rimbert_1870-09-15</t>
  </si>
  <si>
    <t>ringot_1838-03-07</t>
  </si>
  <si>
    <t>ringuier_1825-03-18</t>
  </si>
  <si>
    <t>ringuier_1870-01-30</t>
  </si>
  <si>
    <t>rio_1873-10-28</t>
  </si>
  <si>
    <t>riotteau_1837-12-18</t>
  </si>
  <si>
    <t>riou_1840-01-10</t>
  </si>
  <si>
    <t>riou_1849-05-18</t>
  </si>
  <si>
    <t>ripert_1870-05-20</t>
  </si>
  <si>
    <t>rispal_1836-05-25</t>
  </si>
  <si>
    <t>riu_1832-07-15</t>
  </si>
  <si>
    <t>rivals_1851-09-16</t>
  </si>
  <si>
    <t>rivaud_1876-05-14</t>
  </si>
  <si>
    <t>rives_1895-08-19</t>
  </si>
  <si>
    <t>rivet_1848-02-25</t>
  </si>
  <si>
    <t>riviere_1817-07-08</t>
  </si>
  <si>
    <t>rivière_1822-03-01</t>
  </si>
  <si>
    <t>rivière_1891-04-24</t>
  </si>
  <si>
    <t>rivollet_1888-11-03</t>
  </si>
  <si>
    <t>robaglia_1867-07-08</t>
  </si>
  <si>
    <t>robert de massy_1810-09-29</t>
  </si>
  <si>
    <t>robert-dehault_1821-01-22</t>
  </si>
  <si>
    <t>robert-mitchell_1839-05-21</t>
  </si>
  <si>
    <t>robert_1814-01-28</t>
  </si>
  <si>
    <t>robert_1849-01-13</t>
  </si>
  <si>
    <t>robert_1853-05-27</t>
  </si>
  <si>
    <t>robert_1875-05-17</t>
  </si>
  <si>
    <t>robert_1878-09-07</t>
  </si>
  <si>
    <t>robert_1884-07-11</t>
  </si>
  <si>
    <t>robic_1875-04-12</t>
  </si>
  <si>
    <t>robin_1821-06-04</t>
  </si>
  <si>
    <t>robinet de la serve_1821-03-30</t>
  </si>
  <si>
    <t>roblin_1877-07-22</t>
  </si>
  <si>
    <t>rocca-serra_1880-08-16</t>
  </si>
  <si>
    <t>roch_1844-03-10</t>
  </si>
  <si>
    <t>roche_1836-07-02</t>
  </si>
  <si>
    <t>roche_1841-05-22</t>
  </si>
  <si>
    <t>roche_1850-10-29</t>
  </si>
  <si>
    <t>roche_1865-12-09</t>
  </si>
  <si>
    <t>roche_1871-06-03</t>
  </si>
  <si>
    <t>roche_1876-08-14</t>
  </si>
  <si>
    <t>roche_1895-06-29</t>
  </si>
  <si>
    <t>rochefort-luçay_1831-01-31</t>
  </si>
  <si>
    <t>rochefort_1814-04-08</t>
  </si>
  <si>
    <t>rochejaquelein_1833-03-27</t>
  </si>
  <si>
    <t>rocher_1877-10-08</t>
  </si>
  <si>
    <t>rochereau_1881-09-14</t>
  </si>
  <si>
    <t>rochet_1837-07-01</t>
  </si>
  <si>
    <t>rochethulon_1868-01-08</t>
  </si>
  <si>
    <t>rochette_1847-05-20</t>
  </si>
  <si>
    <t>rodat_1842-07-31</t>
  </si>
  <si>
    <t>roden_1852-07-11</t>
  </si>
  <si>
    <t>rodez-bénavent_1877-02-17</t>
  </si>
  <si>
    <t>rodhain_1868-08-14</t>
  </si>
  <si>
    <t>roge_1886-11-28</t>
  </si>
  <si>
    <t>roger-ballu_1852-03-27</t>
  </si>
  <si>
    <t>roger-marvaise_1831-07-07</t>
  </si>
  <si>
    <t>roger_1831-02-03</t>
  </si>
  <si>
    <t>rogez_1869-12-30</t>
  </si>
  <si>
    <t>rognon_1869-09-17</t>
  </si>
  <si>
    <t>rohan-chabot_1879-04-04</t>
  </si>
  <si>
    <t>roland_1858-06-07</t>
  </si>
  <si>
    <t>roldes_1867-09-13</t>
  </si>
  <si>
    <t>rolland_1831-01-07</t>
  </si>
  <si>
    <t>rolland_1833-05-07</t>
  </si>
  <si>
    <t>rolland_1852-02-07</t>
  </si>
  <si>
    <t>rolland_1875-11-10</t>
  </si>
  <si>
    <t>rolland_1877-08-24</t>
  </si>
  <si>
    <t>rolland_1902-10-27</t>
  </si>
  <si>
    <t>rollin_1879-03-27</t>
  </si>
  <si>
    <t>rollin_1880-02-25</t>
  </si>
  <si>
    <t>romastin_1883-03-25</t>
  </si>
  <si>
    <t>rondeleux_1832-11-20</t>
  </si>
  <si>
    <t>ronjat_1827-01-29</t>
  </si>
  <si>
    <t>rontin_1880-10-16</t>
  </si>
  <si>
    <t>roques_1806-05-11</t>
  </si>
  <si>
    <t>roques_1828-04-11</t>
  </si>
  <si>
    <t>roques_1856-12-28</t>
  </si>
  <si>
    <t>roques_1862-03-08</t>
  </si>
  <si>
    <t>roquet_1849-03-02</t>
  </si>
  <si>
    <t>roquette_1859-09-25</t>
  </si>
  <si>
    <t>roret_1833-02-04</t>
  </si>
  <si>
    <t>rosamel_1833-06-24</t>
  </si>
  <si>
    <t>rosanbo_1864-10-21</t>
  </si>
  <si>
    <t>roscoat_1853-04-02</t>
  </si>
  <si>
    <t>rose_1852-02-10</t>
  </si>
  <si>
    <t>roselli-mollet_1842-01-30</t>
  </si>
  <si>
    <t>rossé_1892-08-26</t>
  </si>
  <si>
    <t>rothschild_1881-05-19</t>
  </si>
  <si>
    <t>rotours_1833-10-23</t>
  </si>
  <si>
    <t>rotours_1860-04-08</t>
  </si>
  <si>
    <t>rotours_1888-07-01</t>
  </si>
  <si>
    <t>rouanet_1855-08-14</t>
  </si>
  <si>
    <t>rouart_1872-08-22</t>
  </si>
  <si>
    <t>rouby_1860-05-29</t>
  </si>
  <si>
    <t>roudier_1823-04-25</t>
  </si>
  <si>
    <t>rouger_1875-10-06</t>
  </si>
  <si>
    <t>rougier_1855-06-27</t>
  </si>
  <si>
    <t>rougé_1845-12-15</t>
  </si>
  <si>
    <t>rougé_1871-11-09</t>
  </si>
  <si>
    <t>rouilly_1823-07-14</t>
  </si>
  <si>
    <t>rouland_1831-10-06</t>
  </si>
  <si>
    <t>rouland_1860-06-27</t>
  </si>
  <si>
    <t>roulleaux-dugage_1849-01-30</t>
  </si>
  <si>
    <t>roulleaux-dugage_1879-02-25</t>
  </si>
  <si>
    <t>roulleaux-dugage_1881-08-07</t>
  </si>
  <si>
    <t>roumagoux_1877-12-13</t>
  </si>
  <si>
    <t>rouquier_1863-10-12</t>
  </si>
  <si>
    <t>roure_1845-08-29</t>
  </si>
  <si>
    <t>rous_1881-05-28</t>
  </si>
  <si>
    <t>rouse_1854-04-05</t>
  </si>
  <si>
    <t>rousse_1860-01-26</t>
  </si>
  <si>
    <t>rousseau_1822-07-05</t>
  </si>
  <si>
    <t>rousseau_1835-08-24</t>
  </si>
  <si>
    <t>roussel_1816-07-27</t>
  </si>
  <si>
    <t>roussel_1880-05-04</t>
  </si>
  <si>
    <t>roussel_1890-02-28</t>
  </si>
  <si>
    <t>rousset_1850-12-09</t>
  </si>
  <si>
    <t>roussin_1840-07-05</t>
  </si>
  <si>
    <t>roustan_1870-02-20</t>
  </si>
  <si>
    <t>rousé_1854-04-05</t>
  </si>
  <si>
    <t>rouvier_1829-05-25</t>
  </si>
  <si>
    <t>rouvier_1842-04-17</t>
  </si>
  <si>
    <t>rouvre_1850-11-16</t>
  </si>
  <si>
    <t>roux-costadau_1875-04-23</t>
  </si>
  <si>
    <t>roux-freissineng_1863-05-27</t>
  </si>
  <si>
    <t>roux_1848-01-28</t>
  </si>
  <si>
    <t>roux_1850-09-26</t>
  </si>
  <si>
    <t>roux_1860-07-22</t>
  </si>
  <si>
    <t>roux_1865-06-29</t>
  </si>
  <si>
    <t>roux_1870-10-11</t>
  </si>
  <si>
    <t>roux_1871-10-26</t>
  </si>
  <si>
    <t>rouzaud_1855-11-14</t>
  </si>
  <si>
    <t>rouzic_1863-08-16</t>
  </si>
  <si>
    <t>roy de loulay_1818-08-26</t>
  </si>
  <si>
    <t>roy_1826-03-07</t>
  </si>
  <si>
    <t>roy_1847-02-21</t>
  </si>
  <si>
    <t>roy_1865-09-22</t>
  </si>
  <si>
    <t>roy_1873-02-17</t>
  </si>
  <si>
    <t>roy_1875-07-29</t>
  </si>
  <si>
    <t>roy_1882-03-12</t>
  </si>
  <si>
    <t>roy_1887-06-16</t>
  </si>
  <si>
    <t>royer_1825-10-01</t>
  </si>
  <si>
    <t>royer_1833-11-29</t>
  </si>
  <si>
    <t>royneau_1866-10-16</t>
  </si>
  <si>
    <t>rozet_1852-12-05</t>
  </si>
  <si>
    <t>rozier_1870-05-17</t>
  </si>
  <si>
    <t>rozier_1872-02-08</t>
  </si>
  <si>
    <t>rozières_1843-06-11</t>
  </si>
  <si>
    <t>ruau_1865-06-05</t>
  </si>
  <si>
    <t>rubillard_1826-09-25</t>
  </si>
  <si>
    <t>rucart_1893-07-24</t>
  </si>
  <si>
    <t>rucklin_1889-12-31</t>
  </si>
  <si>
    <t>rudelle_1843-07-09</t>
  </si>
  <si>
    <t>ruellan_1876-02-22</t>
  </si>
  <si>
    <t>ruffier_1869-08-16</t>
  </si>
  <si>
    <t>rumillet-charretier_1833-07-03</t>
  </si>
  <si>
    <t>réal_1845-04-29</t>
  </si>
  <si>
    <t>réaux_1851-06-10</t>
  </si>
  <si>
    <t>récipon_1839-10-18</t>
  </si>
  <si>
    <t>régis_1878-05-13</t>
  </si>
  <si>
    <t>régnier_1867-02-16</t>
  </si>
  <si>
    <t>rémusat_1864-01-19</t>
  </si>
  <si>
    <t>réveillaud_1851-01-30</t>
  </si>
  <si>
    <t>réville_1863-06-19</t>
  </si>
  <si>
    <t>révillon_1831-12-30</t>
  </si>
  <si>
    <t>saba_1848-11-17</t>
  </si>
  <si>
    <t>sabaterie_1855-08-09</t>
  </si>
  <si>
    <t>sabatier_1851-03-10</t>
  </si>
  <si>
    <t>sabatier_1885-05-03</t>
  </si>
  <si>
    <t>sabiani_1889-05-14</t>
  </si>
  <si>
    <t>sabin_1870-12-25</t>
  </si>
  <si>
    <t>sablonnière_1856-10-09</t>
  </si>
  <si>
    <t>sabouraud_1846-06-08</t>
  </si>
  <si>
    <t>saget_1887-09-06</t>
  </si>
  <si>
    <t>saillant_1849-11-15</t>
  </si>
  <si>
    <t>saillant_1877-08-27</t>
  </si>
  <si>
    <t>saillard_1842-02-11</t>
  </si>
  <si>
    <t>saillard_1864-10-03</t>
  </si>
  <si>
    <t>sainsère_1852-09-09</t>
  </si>
  <si>
    <t>saint-aignan_1846-02-19</t>
  </si>
  <si>
    <t>saint-férreol_1810-07-29</t>
  </si>
  <si>
    <t>saint-germain_1838-12-03</t>
  </si>
  <si>
    <t>saint-germain_1853-01-31</t>
  </si>
  <si>
    <t>saint-just_1862-01-05</t>
  </si>
  <si>
    <t>saint-just_1896-03-19</t>
  </si>
  <si>
    <t>saint-luc_1840-04-15</t>
  </si>
  <si>
    <t>saint-martin-valogne_1831-09-14</t>
  </si>
  <si>
    <t>saint-martin_1833-11-26</t>
  </si>
  <si>
    <t>saint-martin_1840-05-05</t>
  </si>
  <si>
    <t>saint-martin_1871-04-15</t>
  </si>
  <si>
    <t>saint-pol_1857-01-18</t>
  </si>
  <si>
    <t>saint-prix_1829-06-01</t>
  </si>
  <si>
    <t>saint-quentin_1850-10-14</t>
  </si>
  <si>
    <t>saint-romme_1844-11-03</t>
  </si>
  <si>
    <t>saint-urbain_1854-03-09</t>
  </si>
  <si>
    <t>saint-venant_1868-04-23</t>
  </si>
  <si>
    <t>saint_1826-09-13</t>
  </si>
  <si>
    <t>saint_1867-04-26</t>
  </si>
  <si>
    <t>sainte-croix_1827-11-12</t>
  </si>
  <si>
    <t>saisy_1829-02-25</t>
  </si>
  <si>
    <t>salembier_1857-07-18</t>
  </si>
  <si>
    <t>salengro_1890-05-30</t>
  </si>
  <si>
    <t>salers_1885-07-26</t>
  </si>
  <si>
    <t>salette_1879-08-10</t>
  </si>
  <si>
    <t>salignac-fénelon_1858-09-04</t>
  </si>
  <si>
    <t>salis_1848-03-21</t>
  </si>
  <si>
    <t>sallard_1827-12-16</t>
  </si>
  <si>
    <t>salles_1829-05-31</t>
  </si>
  <si>
    <t>salles_1891-02-22</t>
  </si>
  <si>
    <t>sallès_1860-05-19</t>
  </si>
  <si>
    <t>salmon_1876-05-20</t>
  </si>
  <si>
    <t>salneuve_1815-01-15</t>
  </si>
  <si>
    <t>salomon_1831-03-21</t>
  </si>
  <si>
    <t>samalens_1865-11-07</t>
  </si>
  <si>
    <t>samary_1848-02-07</t>
  </si>
  <si>
    <t>sancet_1855-03-27</t>
  </si>
  <si>
    <t>sandrique_1845-06-14</t>
  </si>
  <si>
    <t>sandrique_1854-05-30</t>
  </si>
  <si>
    <t>sangnier_1873-04-03</t>
  </si>
  <si>
    <t>sans-leroy_1848-11-04</t>
  </si>
  <si>
    <t>santelli_1857-10-30</t>
  </si>
  <si>
    <t>sari_1876-10-28</t>
  </si>
  <si>
    <t>sarlat_1854-06-14</t>
  </si>
  <si>
    <t>sarraut_1869-09-22</t>
  </si>
  <si>
    <t>sarraut_1872-07-28</t>
  </si>
  <si>
    <t>sarrazin_1854-04-05</t>
  </si>
  <si>
    <t>sarret_1893-08-01</t>
  </si>
  <si>
    <t>sarrette_1822-10-18</t>
  </si>
  <si>
    <t>sarrien_1840-10-15</t>
  </si>
  <si>
    <t>saudubray_1888-10-20</t>
  </si>
  <si>
    <t>saumande_1851-01-21</t>
  </si>
  <si>
    <t>saurin_1870-08-27</t>
  </si>
  <si>
    <t>saurin_1903-10-06</t>
  </si>
  <si>
    <t>saussay_1846-03-22</t>
  </si>
  <si>
    <t>sauton_1844-12-06</t>
  </si>
  <si>
    <t>sautumier_1869-03-21</t>
  </si>
  <si>
    <t>sauvan_1860-11-07</t>
  </si>
  <si>
    <t>sauvanet_1851-11-27</t>
  </si>
  <si>
    <t>sauzet_1852-02-18</t>
  </si>
  <si>
    <t>sauzède_1844-07-19</t>
  </si>
  <si>
    <t>savary_1821-05-29</t>
  </si>
  <si>
    <t>savary_1845-09-21</t>
  </si>
  <si>
    <t>savignol_1866-09-17</t>
  </si>
  <si>
    <t>say_1826-06-06</t>
  </si>
  <si>
    <t>scapini_1893-10-04</t>
  </si>
  <si>
    <t>scheer_1871-08-24</t>
  </si>
  <si>
    <t>scherer_1815-04-08</t>
  </si>
  <si>
    <t>scheurer-kestner_1833-02-11</t>
  </si>
  <si>
    <t>scheurer_1852-09-23</t>
  </si>
  <si>
    <t>schleiter_1872-07-18</t>
  </si>
  <si>
    <t>schmidt_1872-11-16</t>
  </si>
  <si>
    <t>schmidt_1874-07-06</t>
  </si>
  <si>
    <t>schneider_1840-12-10</t>
  </si>
  <si>
    <t>schneider_1851-05-19</t>
  </si>
  <si>
    <t>schneider_1868-10-29</t>
  </si>
  <si>
    <t>schoelcher_1804-07-22</t>
  </si>
  <si>
    <t>schrameck_1867-11-26</t>
  </si>
  <si>
    <t>schuman_1886-06-29</t>
  </si>
  <si>
    <t>sclafer_1878-03-03</t>
  </si>
  <si>
    <t>sclafer_1898-03-03</t>
  </si>
  <si>
    <t>screpel_1822-01-22</t>
  </si>
  <si>
    <t>sculfort_1844-05-01</t>
  </si>
  <si>
    <t>sebire_1807-11-02</t>
  </si>
  <si>
    <t>sebline_1846-06-04</t>
  </si>
  <si>
    <t>second_1865-06-15</t>
  </si>
  <si>
    <t>seignobos_1822-08-25</t>
  </si>
  <si>
    <t>seitz_1896-07-11</t>
  </si>
  <si>
    <t>selle_1854-05-10</t>
  </si>
  <si>
    <t>sellier_1883-12-22</t>
  </si>
  <si>
    <t>sellier_1885-11-06</t>
  </si>
  <si>
    <t>seltz_1872-12-21</t>
  </si>
  <si>
    <t>sembat_1862-10-19</t>
  </si>
  <si>
    <t>sempé_1863-11-18</t>
  </si>
  <si>
    <t>senes_1877-02-17</t>
  </si>
  <si>
    <t>senescail_1865-01-13</t>
  </si>
  <si>
    <t>senne_1848-04-21</t>
  </si>
  <si>
    <t>sens_1826-02-20</t>
  </si>
  <si>
    <t>sentenac_1835-01-24</t>
  </si>
  <si>
    <t>serda_1889-05-07</t>
  </si>
  <si>
    <t>sergent_1869-03-02</t>
  </si>
  <si>
    <t>serlin_1868-10-11</t>
  </si>
  <si>
    <t>serph_1820-07-12</t>
  </si>
  <si>
    <t>serre_1873-08-17</t>
  </si>
  <si>
    <t>serre_1901-03-04</t>
  </si>
  <si>
    <t>serres_1845-03-25</t>
  </si>
  <si>
    <t>serruys_1875-03-04</t>
  </si>
  <si>
    <t>servain_1857-01-21</t>
  </si>
  <si>
    <t>servain_1857-01-24</t>
  </si>
  <si>
    <t>servant_1850-01-11</t>
  </si>
  <si>
    <t>sevaistre_1840-02-10</t>
  </si>
  <si>
    <t>sever_1845-04-17</t>
  </si>
  <si>
    <t>sevestre_1885-08-20</t>
  </si>
  <si>
    <t>sevène_1853-07-06</t>
  </si>
  <si>
    <t>seydoux_1866-10-25</t>
  </si>
  <si>
    <t>seynes_1859-08-01</t>
  </si>
  <si>
    <t>sibille_1847-05-21</t>
  </si>
  <si>
    <t>sibuet_1856-09-14</t>
  </si>
  <si>
    <t>sicard_1848-04-05</t>
  </si>
  <si>
    <t>siegfried_1837-02-12</t>
  </si>
  <si>
    <t>sigallas_1850-04-19</t>
  </si>
  <si>
    <t>signard_1840-08-03</t>
  </si>
  <si>
    <t>sigrist_1885-04-26</t>
  </si>
  <si>
    <t>sigy_1876-07-14</t>
  </si>
  <si>
    <t>silbermann_1875-07-14</t>
  </si>
  <si>
    <t>silhol_1829-10-12</t>
  </si>
  <si>
    <t>silvestre_1896-07-21</t>
  </si>
  <si>
    <t>simon_1837-08-06</t>
  </si>
  <si>
    <t>simon_1842-05-27</t>
  </si>
  <si>
    <t>simon_1874-05-20</t>
  </si>
  <si>
    <t>simon_1886-06-14</t>
  </si>
  <si>
    <t>simonet_1858-05-17</t>
  </si>
  <si>
    <t>simonet_1860-07-22</t>
  </si>
  <si>
    <t>simonet_1867-09-25</t>
  </si>
  <si>
    <t>simonin_1865-10-05</t>
  </si>
  <si>
    <t>simonnet_1824-04-20</t>
  </si>
  <si>
    <t>simounet_1878-09-19</t>
  </si>
  <si>
    <t>simyan_1850-04-15</t>
  </si>
  <si>
    <t>sire_1862-01-26</t>
  </si>
  <si>
    <t>sireyjol_1861-01-27</t>
  </si>
  <si>
    <t>sirot-mallez_1835-05-14</t>
  </si>
  <si>
    <t>sirot_1843-02-17</t>
  </si>
  <si>
    <t>sirot_1844-10-27</t>
  </si>
  <si>
    <t>sixte-quenin_1870-07-03</t>
  </si>
  <si>
    <t>sizaire_1878-09-11</t>
  </si>
  <si>
    <t>solages_1862-07-20</t>
  </si>
  <si>
    <t>soland_1821-12-01</t>
  </si>
  <si>
    <t>sommeillier_1856-08-08</t>
  </si>
  <si>
    <t>songeon_1818-09-03</t>
  </si>
  <si>
    <t>sonnery-martin_1841-01-05</t>
  </si>
  <si>
    <t>sonnier_1828-04-19</t>
  </si>
  <si>
    <t>sorriaux_1859-07-12</t>
  </si>
  <si>
    <t>soubeyran_1828-11-03</t>
  </si>
  <si>
    <t>soubigou_1819-02-11</t>
  </si>
  <si>
    <t>soubigou_1863-04-14</t>
  </si>
  <si>
    <t>soucaze_1818-04-09</t>
  </si>
  <si>
    <t>souchu-servinière_1830-11-17</t>
  </si>
  <si>
    <t>souef_1831-08-19</t>
  </si>
  <si>
    <t>souhet_1845-03-05</t>
  </si>
  <si>
    <t>soulie_1871-03-06</t>
  </si>
  <si>
    <t>soulier_1870-01-01</t>
  </si>
  <si>
    <t>sourigues_1820-02-11</t>
  </si>
  <si>
    <t>soussial_1852-10-16</t>
  </si>
  <si>
    <t>soustre_1828-09-01</t>
  </si>
  <si>
    <t>soye_1824-03-03</t>
  </si>
  <si>
    <t>spinasse_1893-10-22</t>
  </si>
  <si>
    <t>spronck_1861-02-18</t>
  </si>
  <si>
    <t>spuller_1835-12-08</t>
  </si>
  <si>
    <t>steeg_1836-02-21</t>
  </si>
  <si>
    <t>steeg_1868-12-19</t>
  </si>
  <si>
    <t>steenakers_1830-03-10</t>
  </si>
  <si>
    <t>stern_1882-04-14</t>
  </si>
  <si>
    <t>stourm_1866-07-17</t>
  </si>
  <si>
    <t>strauss_1852-09-23</t>
  </si>
  <si>
    <t>stuhl_1862-04-26</t>
  </si>
  <si>
    <t>stürmel_1900-06-17</t>
  </si>
  <si>
    <t>suchetet_1849-03-06</t>
  </si>
  <si>
    <t>suisse jules dit jules_1814-12-27</t>
  </si>
  <si>
    <t>suquet_1841-02-09</t>
  </si>
  <si>
    <t>surchamp_1846-04-26</t>
  </si>
  <si>
    <t>surcouf_1868-10-30</t>
  </si>
  <si>
    <t>surmont_1893-02-19</t>
  </si>
  <si>
    <t>surreaux_1850-09-14</t>
  </si>
  <si>
    <t>susini_1843-09-20</t>
  </si>
  <si>
    <t>susset_1895-06-05</t>
  </si>
  <si>
    <t>suzannet_1884-10-11</t>
  </si>
  <si>
    <t>syveton_1864-02-21</t>
  </si>
  <si>
    <t>séguins_1852-09-14</t>
  </si>
  <si>
    <t>sénac_1839-05-25</t>
  </si>
  <si>
    <t>sénac_1872-06-09</t>
  </si>
  <si>
    <t>sérandour_1879-07-29</t>
  </si>
  <si>
    <t>sérol_1877-07-21</t>
  </si>
  <si>
    <t>sérot_1885-02-18</t>
  </si>
  <si>
    <t>sévère_1867-11-01</t>
  </si>
  <si>
    <t>tailhand_1810-07-01</t>
  </si>
  <si>
    <t>taillefer_1836-09-30</t>
  </si>
  <si>
    <t>taillefert_1808-01-05</t>
  </si>
  <si>
    <t>tailliandier_1847-06-23</t>
  </si>
  <si>
    <t>tailliandier_1873-06-06</t>
  </si>
  <si>
    <t>tailliandier_1875-04-28</t>
  </si>
  <si>
    <t>taittinger_1887-10-04</t>
  </si>
  <si>
    <t>talandier_1822-09-07</t>
  </si>
  <si>
    <t>talandier_1872-05-10</t>
  </si>
  <si>
    <t>talhouet-roy_1861-08-15</t>
  </si>
  <si>
    <t>tallon_1828-05-17</t>
  </si>
  <si>
    <t>talon_1860-07-14</t>
  </si>
  <si>
    <t>talou_1835-08-15</t>
  </si>
  <si>
    <t>tamisier_1809-01-22</t>
  </si>
  <si>
    <t>tanguy_1876-01-16</t>
  </si>
  <si>
    <t>tapponnier_1884-08-14</t>
  </si>
  <si>
    <t>tarbouriech_1811-12-24</t>
  </si>
  <si>
    <t>tarbouriech_1865-04-18</t>
  </si>
  <si>
    <t>tardieu_1876-09-22</t>
  </si>
  <si>
    <t>tardif_1837-04-30</t>
  </si>
  <si>
    <t>tarrade_1855-04-18</t>
  </si>
  <si>
    <t>tassin_1837-01-21</t>
  </si>
  <si>
    <t>tasso_1882-10-08</t>
  </si>
  <si>
    <t>tasso_1882-10-10</t>
  </si>
  <si>
    <t>tastes_1881-10-23</t>
  </si>
  <si>
    <t>taton-vassal_1881-01-10</t>
  </si>
  <si>
    <t>taudière_1834-11-30</t>
  </si>
  <si>
    <t>taudière_1860-08-09</t>
  </si>
  <si>
    <t>taudière_1890-07-14</t>
  </si>
  <si>
    <t>taufflieb_1857-05-22</t>
  </si>
  <si>
    <t>taulier_1849-02-27</t>
  </si>
  <si>
    <t>taurines_1884-01-21</t>
  </si>
  <si>
    <t>tavé_1856-08-01</t>
  </si>
  <si>
    <t>teilhard_1826-06-16</t>
  </si>
  <si>
    <t>teisserenc de bort_1814-09-04</t>
  </si>
  <si>
    <t>teisserenc de bort_1850-07-12</t>
  </si>
  <si>
    <t>tellier_1854-01-09</t>
  </si>
  <si>
    <t>tellier_1876-09-29</t>
  </si>
  <si>
    <t>temple_1848-11-04</t>
  </si>
  <si>
    <t>temple_1895-09-21</t>
  </si>
  <si>
    <t>tenaille-saligny_1830-02-22</t>
  </si>
  <si>
    <t>tenting_1851-09-10</t>
  </si>
  <si>
    <t>ternaux-compans_1846-01-20</t>
  </si>
  <si>
    <t>ternaux_1862-03-23</t>
  </si>
  <si>
    <t>ternisien_1847-06-06</t>
  </si>
  <si>
    <t>ternois_1862-08-21</t>
  </si>
  <si>
    <t>terrail-mermeix_1859-07-27</t>
  </si>
  <si>
    <t>terrier_1854-07-08</t>
  </si>
  <si>
    <t>terves_1840-08-01</t>
  </si>
  <si>
    <t>tessan_1883-02-16</t>
  </si>
  <si>
    <t>testelin_1814-01-06</t>
  </si>
  <si>
    <t>teyssier_1862-02-19</t>
  </si>
  <si>
    <t>tezenas_1815-01-10</t>
  </si>
  <si>
    <t>thalamas_1867-09-23</t>
  </si>
  <si>
    <t>thellier_1899-10-29</t>
  </si>
  <si>
    <t>theret_1866-07-07</t>
  </si>
  <si>
    <t>thery_1807-05-04</t>
  </si>
  <si>
    <t>theulier_1840-11-01</t>
  </si>
  <si>
    <t>thevenet_1845-04-06</t>
  </si>
  <si>
    <t>theveny_1845-04-24</t>
  </si>
  <si>
    <t>thezard_1840-06-22</t>
  </si>
  <si>
    <t>thibaudin_1822-11-13</t>
  </si>
  <si>
    <t>thibault_1870-07-17</t>
  </si>
  <si>
    <t>thibout_1878-09-14</t>
  </si>
  <si>
    <t>thierry_1857-03-20</t>
  </si>
  <si>
    <t>thiers_1843-05-15</t>
  </si>
  <si>
    <t>thiery_1852-06-29</t>
  </si>
  <si>
    <t>thiery_1868-07-11</t>
  </si>
  <si>
    <t>thiessé_1833-12-06</t>
  </si>
  <si>
    <t>thiolas_1901-04-17</t>
  </si>
  <si>
    <t>thirion-montauban_1843-09-22</t>
  </si>
  <si>
    <t>thivrier_1841-05-16</t>
  </si>
  <si>
    <t>thivrier_1871-04-17</t>
  </si>
  <si>
    <t>thivrier_1874-10-05</t>
  </si>
  <si>
    <t>thiébaut_1898-04-11</t>
  </si>
  <si>
    <t>thiérry-delanoue_1843-03-17</t>
  </si>
  <si>
    <t>thomas-derevoge_1839-07-10</t>
  </si>
  <si>
    <t>thomas_1814-01-05</t>
  </si>
  <si>
    <t>thomas_1826-10-29</t>
  </si>
  <si>
    <t>thomas_1841-10-16</t>
  </si>
  <si>
    <t>thomas_1854-01-06</t>
  </si>
  <si>
    <t>thomas_1878-06-16</t>
  </si>
  <si>
    <t>thomas_1895-01-22</t>
  </si>
  <si>
    <t>thome_1879-10-24</t>
  </si>
  <si>
    <t>thomson_1848-01-29</t>
  </si>
  <si>
    <t>thonion_1830-12-17</t>
  </si>
  <si>
    <t>thorel_1842-09-09</t>
  </si>
  <si>
    <t>thorez_1900-04-28</t>
  </si>
  <si>
    <t>thoulouse_1859-12-08</t>
  </si>
  <si>
    <t>thoumyre_1883-02-16</t>
  </si>
  <si>
    <t>thounens_1848-10-25</t>
  </si>
  <si>
    <t>thuau_1861-05-06</t>
  </si>
  <si>
    <t>thuillier-buridard_1871-07-10</t>
  </si>
  <si>
    <t>thuillier_1839-09-27</t>
  </si>
  <si>
    <t>thureau-dangin_1876-01-06</t>
  </si>
  <si>
    <t>thureau-dangin_1876-01-08</t>
  </si>
  <si>
    <t>thurel_1818-08-18</t>
  </si>
  <si>
    <t>thébault_1893-09-12</t>
  </si>
  <si>
    <t>théo-bretin_1879-01-11</t>
  </si>
  <si>
    <t>théron_1834-05-05</t>
  </si>
  <si>
    <t>thévenet_1845-04-06</t>
  </si>
  <si>
    <t>tiersot_1822-08-29</t>
  </si>
  <si>
    <t>tilhet_1875-02-28</t>
  </si>
  <si>
    <t>tillaye_1847-05-31</t>
  </si>
  <si>
    <t>tillie_1881-10-24</t>
  </si>
  <si>
    <t>tilloy_1878-10-09</t>
  </si>
  <si>
    <t>tiphaine_1836-06-30</t>
  </si>
  <si>
    <t>tirard_1827-09-27</t>
  </si>
  <si>
    <t>tirman_1837-07-29</t>
  </si>
  <si>
    <t>tisserand_1819-02-19</t>
  </si>
  <si>
    <t>tisseyre_1880-07-21</t>
  </si>
  <si>
    <t>tissier_1866-03-26</t>
  </si>
  <si>
    <t>tissier_1866-07-22</t>
  </si>
  <si>
    <t>tixier_1870-01-22</t>
  </si>
  <si>
    <t>tolain_1828-06-18</t>
  </si>
  <si>
    <t>tondu_1827-05-26</t>
  </si>
  <si>
    <t>tonnellier_1887-10-29</t>
  </si>
  <si>
    <t>tony-révillon_1891-04-24</t>
  </si>
  <si>
    <t>torchut_1863-09-17</t>
  </si>
  <si>
    <t>torrès_1891-10-17</t>
  </si>
  <si>
    <t>touchimbert_1820-11-07</t>
  </si>
  <si>
    <t>toulet_1839-04-14</t>
  </si>
  <si>
    <t>toupet des vignes_1816-09-05</t>
  </si>
  <si>
    <t>tourgnol_1833-06-17</t>
  </si>
  <si>
    <t>tournade_1850-11-05</t>
  </si>
  <si>
    <t>tournan_1874-08-14</t>
  </si>
  <si>
    <t>tournan_1874-08-31</t>
  </si>
  <si>
    <t>tournier_1855-05-24</t>
  </si>
  <si>
    <t>touron_1857-03-11</t>
  </si>
  <si>
    <t>toussaint_1849-07-16</t>
  </si>
  <si>
    <t>toy-riont_1876-06-07</t>
  </si>
  <si>
    <t>traissan_1839-02-24</t>
  </si>
  <si>
    <t>tramu_1838-05-17</t>
  </si>
  <si>
    <t>tranchand_1880-08-24</t>
  </si>
  <si>
    <t>trannin_1842-09-04</t>
  </si>
  <si>
    <t>trannoy_1837-02-06</t>
  </si>
  <si>
    <t>trarieux_1840-11-30</t>
  </si>
  <si>
    <t>treignier_1853-11-08</t>
  </si>
  <si>
    <t>treignier_1878-02-13</t>
  </si>
  <si>
    <t>treille_1844-12-08</t>
  </si>
  <si>
    <t>treveneuc_1860-11-03</t>
  </si>
  <si>
    <t>triballet_1884-09-25</t>
  </si>
  <si>
    <t>tribert_1819-06-23</t>
  </si>
  <si>
    <t>tricard-graveron_1901-07-18</t>
  </si>
  <si>
    <t>tricoche_1829-01-09</t>
  </si>
  <si>
    <t>tricoteaux_1876-09-27</t>
  </si>
  <si>
    <t>trincard-moyat_1874-12-10</t>
  </si>
  <si>
    <t>tristan_1886-03-25</t>
  </si>
  <si>
    <t>troadec_1860-04-28</t>
  </si>
  <si>
    <t>trocquer_1877-10-04</t>
  </si>
  <si>
    <t>trouard-riolle_1824-05-10</t>
  </si>
  <si>
    <t>trouillot_1851-05-07</t>
  </si>
  <si>
    <t>trouin_1866-11-15</t>
  </si>
  <si>
    <t>trouve_1867-06-19</t>
  </si>
  <si>
    <t>trouvé_1867-06-19</t>
  </si>
  <si>
    <t>trubert_1845-11-10</t>
  </si>
  <si>
    <t>truelle_1816-02-20</t>
  </si>
  <si>
    <t>truy_1876-08-11</t>
  </si>
  <si>
    <t>trystram_1821-01-09</t>
  </si>
  <si>
    <t>trystram_1845-09-02</t>
  </si>
  <si>
    <t>trélat_1821-03-06</t>
  </si>
  <si>
    <t>trémintin_1876-06-05</t>
  </si>
  <si>
    <t>trémoulière_1856-12-17</t>
  </si>
  <si>
    <t>trémoïlle_1863-03-28</t>
  </si>
  <si>
    <t>turbat_1865-11-18</t>
  </si>
  <si>
    <t>turenne_1844-09-03</t>
  </si>
  <si>
    <t>turgis_1828-12-09</t>
  </si>
  <si>
    <t>turigny_1822-01-17</t>
  </si>
  <si>
    <t>turlier_1879-03-21</t>
  </si>
  <si>
    <t>turmel_1866-02-19</t>
  </si>
  <si>
    <t>turmelière_1823-10-26</t>
  </si>
  <si>
    <t>turquet_1836-05-31</t>
  </si>
  <si>
    <t>turrel_1856-05-28</t>
  </si>
  <si>
    <t>ténot_1839-05-02</t>
  </si>
  <si>
    <t>tézenas_1815-02-16</t>
  </si>
  <si>
    <t>uhry_1877-11-12</t>
  </si>
  <si>
    <t>ulmo_1867-10-27</t>
  </si>
  <si>
    <t>ulrich_1880-07-02</t>
  </si>
  <si>
    <t>urban_1875-10-26</t>
  </si>
  <si>
    <t>ursleur_1857-05-02</t>
  </si>
  <si>
    <t>vachal_1838-09-25</t>
  </si>
  <si>
    <t>vacher_1832-03-28</t>
  </si>
  <si>
    <t>vacher_1858-12-24</t>
  </si>
  <si>
    <t>vacherie_1847-06-25</t>
  </si>
  <si>
    <t>vagnat_1851-11-04</t>
  </si>
  <si>
    <t>vaillant-couturier_1892-01-08</t>
  </si>
  <si>
    <t>vaillant_1840-01-29</t>
  </si>
  <si>
    <t>valadier_1878-09-07</t>
  </si>
  <si>
    <t>valensi_1886-06-21</t>
  </si>
  <si>
    <t>valentin_1821-06-11</t>
  </si>
  <si>
    <t>valette_1874-06-08</t>
  </si>
  <si>
    <t>valette_1881-08-14</t>
  </si>
  <si>
    <t>valière_1880-02-21</t>
  </si>
  <si>
    <t>vallat_1891-12-23</t>
  </si>
  <si>
    <t>valle_1845-09-19</t>
  </si>
  <si>
    <t>vallette-viallard_1883-11-06</t>
  </si>
  <si>
    <t>vallier_1821-01-17</t>
  </si>
  <si>
    <t>vallier_1869-05-27</t>
  </si>
  <si>
    <t>vallon_1827-07-26</t>
  </si>
  <si>
    <t>vallé_1845-09-19</t>
  </si>
  <si>
    <t>vallée_1853-08-21</t>
  </si>
  <si>
    <t>valon_1835-10-15</t>
  </si>
  <si>
    <t>valude_1891-09-21</t>
  </si>
  <si>
    <t>vandame_1856-08-01</t>
  </si>
  <si>
    <t>varambon_1830-07-07</t>
  </si>
  <si>
    <t>vardelle_1883-04-16</t>
  </si>
  <si>
    <t>varenne_1870-10-03</t>
  </si>
  <si>
    <t>varlet_1837-09-19</t>
  </si>
  <si>
    <t>varroy_1826-03-25</t>
  </si>
  <si>
    <t>vaschalde_1840-10-12</t>
  </si>
  <si>
    <t>vassal_1876-11-01</t>
  </si>
  <si>
    <t>vasseux_1860-09-12</t>
  </si>
  <si>
    <t>vast-vimeux_1826-07-08</t>
  </si>
  <si>
    <t>vaujuas-langan_1830-08-11</t>
  </si>
  <si>
    <t>vaulcomte_1836-04-05</t>
  </si>
  <si>
    <t>vaux_1848-02-22</t>
  </si>
  <si>
    <t>vavasseur_1867-07-23</t>
  </si>
  <si>
    <t>vaysse de rainneville_1833-08-07</t>
  </si>
  <si>
    <t>vayssiere_1856-11-05</t>
  </si>
  <si>
    <t>vazeille_1859-01-28</t>
  </si>
  <si>
    <t>veber_1861-03-08</t>
  </si>
  <si>
    <t>veillat_1862-06-01</t>
  </si>
  <si>
    <t>veillé_1861-03-31</t>
  </si>
  <si>
    <t>velten_1831-09-10</t>
  </si>
  <si>
    <t>vergoin_1850-05-10</t>
  </si>
  <si>
    <t>verlot_1876-02-21</t>
  </si>
  <si>
    <t>vermare_1866-06-02</t>
  </si>
  <si>
    <t>vermond_1849-08-05</t>
  </si>
  <si>
    <t>vermorel_1848-11-29</t>
  </si>
  <si>
    <t>vernay_1877-06-27</t>
  </si>
  <si>
    <t>vernet_1820-12-25</t>
  </si>
  <si>
    <t>verneuil_1870-12-17</t>
  </si>
  <si>
    <t>vernhes_1820-10-20</t>
  </si>
  <si>
    <t>verniers_1890-05-29</t>
  </si>
  <si>
    <t>vernière_1847-10-11</t>
  </si>
  <si>
    <t>veron_1819-01-04</t>
  </si>
  <si>
    <t>versigny_1818-08-18</t>
  </si>
  <si>
    <t>vetillart_1820-10-28</t>
  </si>
  <si>
    <t>veysseyre_1875-10-18</t>
  </si>
  <si>
    <t>veyssiere_1875-11-17</t>
  </si>
  <si>
    <t>vezouët_1877-10-15</t>
  </si>
  <si>
    <t>viala_1859-09-24</t>
  </si>
  <si>
    <t>vialis_1848-06-14</t>
  </si>
  <si>
    <t>vian_1842-02-08</t>
  </si>
  <si>
    <t>vian_1874-02-23</t>
  </si>
  <si>
    <t>viard_1849-03-05</t>
  </si>
  <si>
    <t>vichot_1825-07-30</t>
  </si>
  <si>
    <t>vidal de saint-urbain_1854-03-09</t>
  </si>
  <si>
    <t>vidal_1864-06-22</t>
  </si>
  <si>
    <t>vidal_1866-03-11</t>
  </si>
  <si>
    <t>vidal_1888-10-18</t>
  </si>
  <si>
    <t>vidal_1894-08-26</t>
  </si>
  <si>
    <t>vidal_1896-12-27</t>
  </si>
  <si>
    <t>vidalin_1876-08-06</t>
  </si>
  <si>
    <t>videau_1852-10-25</t>
  </si>
  <si>
    <t>vidon_1856-01-30</t>
  </si>
  <si>
    <t>vieille_1830-01-20</t>
  </si>
  <si>
    <t>vielfaure_1823-06-05</t>
  </si>
  <si>
    <t>viellard-migeon_1803-11-21</t>
  </si>
  <si>
    <t>viellard-migeon_1842-09-24</t>
  </si>
  <si>
    <t>viellard_1879-07-07</t>
  </si>
  <si>
    <t>viette_1843-05-06</t>
  </si>
  <si>
    <t>vieu_1854-05-25</t>
  </si>
  <si>
    <t>vigarosy_1822-06-23</t>
  </si>
  <si>
    <t>viger_1843-10-19</t>
  </si>
  <si>
    <t>vigier_1854-11-02</t>
  </si>
  <si>
    <t>vignancour_1841-08-22</t>
  </si>
  <si>
    <t>vigne_1867-04-14</t>
  </si>
  <si>
    <t>vigouroux_1866-08-25</t>
  </si>
  <si>
    <t>vilar_1847-07-26</t>
  </si>
  <si>
    <t>vilers_1833-02-17</t>
  </si>
  <si>
    <t>vilfeu_1850-12-25</t>
  </si>
  <si>
    <t>vilgrain_1880-10-29</t>
  </si>
  <si>
    <t>villain_1819-12-27</t>
  </si>
  <si>
    <t>villain_1830-08-22</t>
  </si>
  <si>
    <t>villaine_1852-12-12</t>
  </si>
  <si>
    <t>villard_1842-10-05</t>
  </si>
  <si>
    <t>villault-duchesnois_1870-08-28</t>
  </si>
  <si>
    <t>ville_1839-09-20</t>
  </si>
  <si>
    <t>villebois-mareuil_1852-08-10</t>
  </si>
  <si>
    <t>villedieu_1887-12-09</t>
  </si>
  <si>
    <t>villegontier_1841-01-10</t>
  </si>
  <si>
    <t>villejean_1850-01-22</t>
  </si>
  <si>
    <t>villemant_1863-08-07</t>
  </si>
  <si>
    <t>villemonte-laclergerie_1851-08-20</t>
  </si>
  <si>
    <t>villeneau_1873-03-24</t>
  </si>
  <si>
    <t>villeneuve_1840-02-25</t>
  </si>
  <si>
    <t>villeneuve_1852-08-08</t>
  </si>
  <si>
    <t>villeneuve_1862-08-09</t>
  </si>
  <si>
    <t>villeneuve_1864-02-09</t>
  </si>
  <si>
    <t>villesboisnet_1872-05-07</t>
  </si>
  <si>
    <t>villette-gate_1836-04-19</t>
  </si>
  <si>
    <t>villiers_1822-08-04</t>
  </si>
  <si>
    <t>villiers_1851-07-31</t>
  </si>
  <si>
    <t>vinatier_1832-01-23</t>
  </si>
  <si>
    <t>vincent_1864-02-17</t>
  </si>
  <si>
    <t>vincent_1871-06-27</t>
  </si>
  <si>
    <t>vincent_1874-03-31</t>
  </si>
  <si>
    <t>vincent_1874-07-20</t>
  </si>
  <si>
    <t>vincent_1886-03-26</t>
  </si>
  <si>
    <t>vinet_1840-01-09</t>
  </si>
  <si>
    <t>violle_1869-10-21</t>
  </si>
  <si>
    <t>viollette_1870-09-03</t>
  </si>
  <si>
    <t>vion_1853-05-04</t>
  </si>
  <si>
    <t>viox_1833-06-30</t>
  </si>
  <si>
    <t>viseur_1836-02-21</t>
  </si>
  <si>
    <t>vissaguet_1834-11-04</t>
  </si>
  <si>
    <t>vitry_1828-11-20</t>
  </si>
  <si>
    <t>vival_1847-08-24</t>
  </si>
  <si>
    <t>vivenot_1835-09-23</t>
  </si>
  <si>
    <t>viviani_1862-11-08</t>
  </si>
  <si>
    <t>viviani_1863-11-08</t>
  </si>
  <si>
    <t>viviani_1863-11-11</t>
  </si>
  <si>
    <t>viénot_1897-08-05</t>
  </si>
  <si>
    <t>vogeli_1832-09-14</t>
  </si>
  <si>
    <t>vogüé_1848-02-24</t>
  </si>
  <si>
    <t>voilin_1870-09-01</t>
  </si>
  <si>
    <t>voillot_1874-04-05</t>
  </si>
  <si>
    <t>voirin_1891-01-28</t>
  </si>
  <si>
    <t>volland_1838-08-01</t>
  </si>
  <si>
    <t>voyer_1852-12-09</t>
  </si>
  <si>
    <t>vuillod_1850-06-02</t>
  </si>
  <si>
    <t>waddington_1826-12-11</t>
  </si>
  <si>
    <t>waddington_1838-05-22</t>
  </si>
  <si>
    <t>waldeck-rousseau_1846-12-02</t>
  </si>
  <si>
    <t>wallach_1882-03-05</t>
  </si>
  <si>
    <t>wallon_1812-12-23</t>
  </si>
  <si>
    <t>walter_1852-06-20</t>
  </si>
  <si>
    <t>walter_1884-02-05</t>
  </si>
  <si>
    <t>waron_1868-08-01</t>
  </si>
  <si>
    <t>warren_1871-04-04</t>
  </si>
  <si>
    <t>warusfel_1880-06-09</t>
  </si>
  <si>
    <t>weill-mallez_1833-01-01</t>
  </si>
  <si>
    <t>weill_1882-09-17</t>
  </si>
  <si>
    <t>weiller_1858-07-20</t>
  </si>
  <si>
    <t>wendel_1874-05-05</t>
  </si>
  <si>
    <t>wendel_1878-04-22</t>
  </si>
  <si>
    <t>werquin_1834-06-03</t>
  </si>
  <si>
    <t>wetterlé_1861-04-02</t>
  </si>
  <si>
    <t>weydmann_1871-07-10</t>
  </si>
  <si>
    <t>weygand_1867-01-21</t>
  </si>
  <si>
    <t>wickerscheimer_1849-02-22</t>
  </si>
  <si>
    <t>wignacourt_1845-10-23</t>
  </si>
  <si>
    <t>willm_1868-11-24</t>
  </si>
  <si>
    <t>wilson_1840-03-06</t>
  </si>
  <si>
    <t>wiltzer_1903-07-04</t>
  </si>
  <si>
    <t>witt_1824-11-15</t>
  </si>
  <si>
    <t>wolff_1878-07-22</t>
  </si>
  <si>
    <t>wurtz_1817-11-26</t>
  </si>
  <si>
    <t>ybarnegaray_1883-10-16</t>
  </si>
  <si>
    <t>ybarnégaray_1883-10-16</t>
  </si>
  <si>
    <t>yvon_1891-04-24</t>
  </si>
  <si>
    <t>zay_1904-08-06</t>
  </si>
  <si>
    <t>zurlinden_1837-11-03</t>
  </si>
  <si>
    <t>zévaes_1873-05-24</t>
  </si>
  <si>
    <t>étienne_1844-12-15</t>
  </si>
  <si>
    <t>Abbatucci</t>
  </si>
  <si>
    <t>Abbo</t>
  </si>
  <si>
    <t>Abeille</t>
  </si>
  <si>
    <t>Abel-Bernard</t>
  </si>
  <si>
    <t>Abel</t>
  </si>
  <si>
    <t>About</t>
  </si>
  <si>
    <t>Abrami</t>
  </si>
  <si>
    <t>Abrial</t>
  </si>
  <si>
    <t>Accambray</t>
  </si>
  <si>
    <t>Achard</t>
  </si>
  <si>
    <t>Adam-Fontaine</t>
  </si>
  <si>
    <t>ADAM</t>
  </si>
  <si>
    <t>Adam</t>
  </si>
  <si>
    <t>Adenis</t>
  </si>
  <si>
    <t>Adigard</t>
  </si>
  <si>
    <t>ADNET</t>
  </si>
  <si>
    <t>Adriani</t>
  </si>
  <si>
    <t>AGUILLON</t>
  </si>
  <si>
    <t>Aiguier</t>
  </si>
  <si>
    <t>Aillaud</t>
  </si>
  <si>
    <t>Aimelafille</t>
  </si>
  <si>
    <t>Aimond</t>
  </si>
  <si>
    <t>Ajam</t>
  </si>
  <si>
    <t>Alasseur</t>
  </si>
  <si>
    <t>Albert Leret d'Aubigny</t>
  </si>
  <si>
    <t>Albert-Favre</t>
  </si>
  <si>
    <t>Albert-Le-Roy</t>
  </si>
  <si>
    <t>Albert-Poulain</t>
  </si>
  <si>
    <t>Albert-Thomas</t>
  </si>
  <si>
    <t>Albert</t>
  </si>
  <si>
    <t>Albertin</t>
  </si>
  <si>
    <t>Albertini</t>
  </si>
  <si>
    <t>Aldy</t>
  </si>
  <si>
    <t>Alexandre-Blanc</t>
  </si>
  <si>
    <t>ALHERITIERE</t>
  </si>
  <si>
    <t>Alibert</t>
  </si>
  <si>
    <t>Alicot</t>
  </si>
  <si>
    <t>Allain-Targé</t>
  </si>
  <si>
    <t>Allard</t>
  </si>
  <si>
    <t>ALLEGRE</t>
  </si>
  <si>
    <t>ALLEMAND</t>
  </si>
  <si>
    <t>Allemane</t>
  </si>
  <si>
    <t>Allombert</t>
  </si>
  <si>
    <t>ALLOU</t>
  </si>
  <si>
    <t>Alphonse-Rivière</t>
  </si>
  <si>
    <t>Altorffer</t>
  </si>
  <si>
    <t>Alès</t>
  </si>
  <si>
    <t>Amagat</t>
  </si>
  <si>
    <t>AMAT</t>
  </si>
  <si>
    <t>Amat</t>
  </si>
  <si>
    <t>Ambrosini</t>
  </si>
  <si>
    <t>Ameline</t>
  </si>
  <si>
    <t>Amet</t>
  </si>
  <si>
    <t>Amiard</t>
  </si>
  <si>
    <t>AMIC</t>
  </si>
  <si>
    <t>Amiot</t>
  </si>
  <si>
    <t>Amodru</t>
  </si>
  <si>
    <t>Amouroux</t>
  </si>
  <si>
    <t>Ancel-Seitz</t>
  </si>
  <si>
    <t>ANCEL</t>
  </si>
  <si>
    <t>Ancel</t>
  </si>
  <si>
    <t>Andraud</t>
  </si>
  <si>
    <t>ANDRE</t>
  </si>
  <si>
    <t>Andrieu</t>
  </si>
  <si>
    <t>Andrieux</t>
  </si>
  <si>
    <t>André-Fribourg</t>
  </si>
  <si>
    <t>André-Hesse</t>
  </si>
  <si>
    <t>André</t>
  </si>
  <si>
    <t>ANGLES</t>
  </si>
  <si>
    <t>Anglès</t>
  </si>
  <si>
    <t>Angoulvant</t>
  </si>
  <si>
    <t>ANNE</t>
  </si>
  <si>
    <t>Anquetil</t>
  </si>
  <si>
    <t>ANTIER</t>
  </si>
  <si>
    <t>Antonelli</t>
  </si>
  <si>
    <t>Antériou</t>
  </si>
  <si>
    <t>Appell</t>
  </si>
  <si>
    <t>ARAGO</t>
  </si>
  <si>
    <t>Arago</t>
  </si>
  <si>
    <t>ARBEL</t>
  </si>
  <si>
    <t>Arbel</t>
  </si>
  <si>
    <t>Arbouin</t>
  </si>
  <si>
    <t>Archambeaud</t>
  </si>
  <si>
    <t>Archdeacon</t>
  </si>
  <si>
    <t>Archer</t>
  </si>
  <si>
    <t>Archimbaud</t>
  </si>
  <si>
    <t>ARENE</t>
  </si>
  <si>
    <t>Argeliès</t>
  </si>
  <si>
    <t>Armand</t>
  </si>
  <si>
    <t>ARMBRUSTER</t>
  </si>
  <si>
    <t>Armez</t>
  </si>
  <si>
    <t>Arnal</t>
  </si>
  <si>
    <t>ARNAUDEAU</t>
  </si>
  <si>
    <t>Arnault</t>
  </si>
  <si>
    <t>Arnould</t>
  </si>
  <si>
    <t>Arnoult</t>
  </si>
  <si>
    <t>Arnous</t>
  </si>
  <si>
    <t>Arrazat</t>
  </si>
  <si>
    <t>Arribat</t>
  </si>
  <si>
    <t>ARTAUD</t>
  </si>
  <si>
    <t>Artaud</t>
  </si>
  <si>
    <t>Arène</t>
  </si>
  <si>
    <t>Astier</t>
  </si>
  <si>
    <t>Astima</t>
  </si>
  <si>
    <t>ASTOR</t>
  </si>
  <si>
    <t>Aubaud</t>
  </si>
  <si>
    <t>Aube</t>
  </si>
  <si>
    <t>Auber</t>
  </si>
  <si>
    <t>Aubert</t>
  </si>
  <si>
    <t>Aubriot</t>
  </si>
  <si>
    <t>Aubry</t>
  </si>
  <si>
    <t>AUCOIN</t>
  </si>
  <si>
    <t>Aucouturier</t>
  </si>
  <si>
    <t>Audiffred</t>
  </si>
  <si>
    <t>Audiguier</t>
  </si>
  <si>
    <t>AUDREN DE KERDREL</t>
  </si>
  <si>
    <t>Auffray</t>
  </si>
  <si>
    <t>Augagneur</t>
  </si>
  <si>
    <t>Augère</t>
  </si>
  <si>
    <t>Augé</t>
  </si>
  <si>
    <t>Aujame</t>
  </si>
  <si>
    <t>Aulois</t>
  </si>
  <si>
    <t>Auray</t>
  </si>
  <si>
    <t>Auricoste</t>
  </si>
  <si>
    <t>Aurin</t>
  </si>
  <si>
    <t>Auriol</t>
  </si>
  <si>
    <t>Aussoleil</t>
  </si>
  <si>
    <t>Authier</t>
  </si>
  <si>
    <t>Autrand</t>
  </si>
  <si>
    <t>Avez</t>
  </si>
  <si>
    <t>Avril</t>
  </si>
  <si>
    <t>AYME</t>
  </si>
  <si>
    <t>Aymé-Martin</t>
  </si>
  <si>
    <t>Aynard</t>
  </si>
  <si>
    <t>AZEMAR</t>
  </si>
  <si>
    <t>Babaud-Lacroze</t>
  </si>
  <si>
    <t>BABAUD-LACROZE</t>
  </si>
  <si>
    <t>BABIN-CHEVAYE</t>
  </si>
  <si>
    <t>BACHELET</t>
  </si>
  <si>
    <t>Bachimont</t>
  </si>
  <si>
    <t>Bacquet</t>
  </si>
  <si>
    <t>Bacquias</t>
  </si>
  <si>
    <t>BADUEL</t>
  </si>
  <si>
    <t>Baduel</t>
  </si>
  <si>
    <t>Bagneux</t>
  </si>
  <si>
    <t>Bagnol</t>
  </si>
  <si>
    <t>Bahier</t>
  </si>
  <si>
    <t>Bail-Maignan</t>
  </si>
  <si>
    <t>Bail</t>
  </si>
  <si>
    <t>Baile</t>
  </si>
  <si>
    <t>BAILLARDEL DE LAREINTY</t>
  </si>
  <si>
    <t>Balanant</t>
  </si>
  <si>
    <t>Balandreau</t>
  </si>
  <si>
    <t>Balesi</t>
  </si>
  <si>
    <t>Balitrand</t>
  </si>
  <si>
    <t>Ballande</t>
  </si>
  <si>
    <t>Ballu</t>
  </si>
  <si>
    <t>Ballue</t>
  </si>
  <si>
    <t>Balsan</t>
  </si>
  <si>
    <t>Baltet</t>
  </si>
  <si>
    <t>Bar</t>
  </si>
  <si>
    <t>Barabant</t>
  </si>
  <si>
    <t>Baradé</t>
  </si>
  <si>
    <t>BARAGNON</t>
  </si>
  <si>
    <t>Baranton</t>
  </si>
  <si>
    <t>Barascud</t>
  </si>
  <si>
    <t>Barbançois</t>
  </si>
  <si>
    <t>BARBAZA</t>
  </si>
  <si>
    <t>Barbe</t>
  </si>
  <si>
    <t>Barbecot</t>
  </si>
  <si>
    <t>Barbedette</t>
  </si>
  <si>
    <t>Barbero</t>
  </si>
  <si>
    <t>Barbey</t>
  </si>
  <si>
    <t>BARBIER</t>
  </si>
  <si>
    <t>Barbier</t>
  </si>
  <si>
    <t>Barbin</t>
  </si>
  <si>
    <t>Barbot</t>
  </si>
  <si>
    <t>Barbotin</t>
  </si>
  <si>
    <t>Barbé</t>
  </si>
  <si>
    <t>Bardon</t>
  </si>
  <si>
    <t>Bardoul</t>
  </si>
  <si>
    <t>BARDOUX</t>
  </si>
  <si>
    <t>Bargy</t>
  </si>
  <si>
    <t>Barillet</t>
  </si>
  <si>
    <t>BARNE</t>
  </si>
  <si>
    <t>Barodet</t>
  </si>
  <si>
    <t>Baron</t>
  </si>
  <si>
    <t>Barouille</t>
  </si>
  <si>
    <t>Baroux</t>
  </si>
  <si>
    <t>Barra</t>
  </si>
  <si>
    <t>Barrachin</t>
  </si>
  <si>
    <t>BARRIERE</t>
  </si>
  <si>
    <t>Barrière</t>
  </si>
  <si>
    <t>Barrois</t>
  </si>
  <si>
    <t>BARROT</t>
  </si>
  <si>
    <t>Barrès</t>
  </si>
  <si>
    <t>Barré</t>
  </si>
  <si>
    <t>Barthe</t>
  </si>
  <si>
    <t>BARTHELEMY SAINT-HILAIRE</t>
  </si>
  <si>
    <t>Bartholoni</t>
  </si>
  <si>
    <t>Barthou</t>
  </si>
  <si>
    <t>Barthélemy</t>
  </si>
  <si>
    <t>Bartissol</t>
  </si>
  <si>
    <t>Bartoli</t>
  </si>
  <si>
    <t>Bartolini</t>
  </si>
  <si>
    <t>Barès</t>
  </si>
  <si>
    <t>Baréty</t>
  </si>
  <si>
    <t>Bascou</t>
  </si>
  <si>
    <t>Basly</t>
  </si>
  <si>
    <t>Basquin</t>
  </si>
  <si>
    <t>Basset</t>
  </si>
  <si>
    <t>Bassetière</t>
  </si>
  <si>
    <t>BASSINET</t>
  </si>
  <si>
    <t>Bastid</t>
  </si>
  <si>
    <t>BASTIDE</t>
  </si>
  <si>
    <t>Bastide</t>
  </si>
  <si>
    <t>BASTON de LA RIBOISIERE</t>
  </si>
  <si>
    <t>BATAILLE</t>
  </si>
  <si>
    <t>Bataille</t>
  </si>
  <si>
    <t>BATBIE</t>
  </si>
  <si>
    <t>Batie</t>
  </si>
  <si>
    <t>Batiot</t>
  </si>
  <si>
    <t>Battle</t>
  </si>
  <si>
    <t>Batut</t>
  </si>
  <si>
    <t>Baucarne-Leroux</t>
  </si>
  <si>
    <t>BAUDENS</t>
  </si>
  <si>
    <t>Baudet</t>
  </si>
  <si>
    <t>Baudin</t>
  </si>
  <si>
    <t>Baudon</t>
  </si>
  <si>
    <t>Baudouin-Bugnet</t>
  </si>
  <si>
    <t>Baudouin</t>
  </si>
  <si>
    <t>Baudry</t>
  </si>
  <si>
    <t>BAUFLE</t>
  </si>
  <si>
    <t>Baulard</t>
  </si>
  <si>
    <t>Bavoux</t>
  </si>
  <si>
    <t>Baylet</t>
  </si>
  <si>
    <t>BAYOL</t>
  </si>
  <si>
    <t>Bazile</t>
  </si>
  <si>
    <t>BAZILLE</t>
  </si>
  <si>
    <t>Bazille</t>
  </si>
  <si>
    <t>Bazillon</t>
  </si>
  <si>
    <t>BAZIRE</t>
  </si>
  <si>
    <t>Bazire</t>
  </si>
  <si>
    <t>Baïhaut</t>
  </si>
  <si>
    <t>Beaugrand</t>
  </si>
  <si>
    <t>Beauguitte</t>
  </si>
  <si>
    <t>BEAUMONT</t>
  </si>
  <si>
    <t>BEAUPIN</t>
  </si>
  <si>
    <t>Beauquier</t>
  </si>
  <si>
    <t>Beauregard</t>
  </si>
  <si>
    <t>Beaussier</t>
  </si>
  <si>
    <t>Beauvillain</t>
  </si>
  <si>
    <t>BEAUVISAGE</t>
  </si>
  <si>
    <t>Becays</t>
  </si>
  <si>
    <t>Bedouce</t>
  </si>
  <si>
    <t>Bedu</t>
  </si>
  <si>
    <t>Begey</t>
  </si>
  <si>
    <t>Bel</t>
  </si>
  <si>
    <t>Belcastel</t>
  </si>
  <si>
    <t>BELHOMME</t>
  </si>
  <si>
    <t>Bellamy</t>
  </si>
  <si>
    <t>Bellanger</t>
  </si>
  <si>
    <t>Belle</t>
  </si>
  <si>
    <t>Bellet</t>
  </si>
  <si>
    <t>Belleval</t>
  </si>
  <si>
    <t>Bellier</t>
  </si>
  <si>
    <t>Bellocq</t>
  </si>
  <si>
    <t>Bellot</t>
  </si>
  <si>
    <t>BELMONT</t>
  </si>
  <si>
    <t>Belon</t>
  </si>
  <si>
    <t>BELS</t>
  </si>
  <si>
    <t>Beltrémieux</t>
  </si>
  <si>
    <t>Beluel</t>
  </si>
  <si>
    <t>BENARD</t>
  </si>
  <si>
    <t>BENAZET Paul,</t>
  </si>
  <si>
    <t>Bender</t>
  </si>
  <si>
    <t>BENOIST</t>
  </si>
  <si>
    <t>Benoist</t>
  </si>
  <si>
    <t>Benoit</t>
  </si>
  <si>
    <t>BEPMALE</t>
  </si>
  <si>
    <t>Bepmale</t>
  </si>
  <si>
    <t>BERAL</t>
  </si>
  <si>
    <t>BERALDI</t>
  </si>
  <si>
    <t>BERARD</t>
  </si>
  <si>
    <t>BERAUD</t>
  </si>
  <si>
    <t>Berdoly</t>
  </si>
  <si>
    <t>BERENGER</t>
  </si>
  <si>
    <t>Berge</t>
  </si>
  <si>
    <t>BERGEON</t>
  </si>
  <si>
    <t>Bergeon</t>
  </si>
  <si>
    <t>Berger</t>
  </si>
  <si>
    <t>BERGER</t>
  </si>
  <si>
    <t>Bergerot</t>
  </si>
  <si>
    <t>Bergery</t>
  </si>
  <si>
    <t>Bergey</t>
  </si>
  <si>
    <t>Berlet</t>
  </si>
  <si>
    <t>Berlia</t>
  </si>
  <si>
    <t>Berlié</t>
  </si>
  <si>
    <t>Bernachon</t>
  </si>
  <si>
    <t>BERNARD-DUTREIL</t>
  </si>
  <si>
    <t>BERNARD</t>
  </si>
  <si>
    <t>Bernard</t>
  </si>
  <si>
    <t>Berne-Lagarde</t>
  </si>
  <si>
    <t>BERNERE</t>
  </si>
  <si>
    <t>Bernex</t>
  </si>
  <si>
    <t>Bernier</t>
  </si>
  <si>
    <t>Berniolle</t>
  </si>
  <si>
    <t>Bernis</t>
  </si>
  <si>
    <t>Bernot</t>
  </si>
  <si>
    <t>Berquet</t>
  </si>
  <si>
    <t>Berry</t>
  </si>
  <si>
    <t>Bersez</t>
  </si>
  <si>
    <t>Bert</t>
  </si>
  <si>
    <t>BERTAULD</t>
  </si>
  <si>
    <t>Berteaux</t>
  </si>
  <si>
    <t>Berthelemot</t>
  </si>
  <si>
    <t>Berthelot</t>
  </si>
  <si>
    <t>Berthet</t>
  </si>
  <si>
    <t>Berthod</t>
  </si>
  <si>
    <t>Bertholon</t>
  </si>
  <si>
    <t>Berthon</t>
  </si>
  <si>
    <t>Berthoulat</t>
  </si>
  <si>
    <t>Berthézenne</t>
  </si>
  <si>
    <t>Berton</t>
  </si>
  <si>
    <t>BERTRAND</t>
  </si>
  <si>
    <t>Bertrand</t>
  </si>
  <si>
    <t>Besnard-Ferron</t>
  </si>
  <si>
    <t>Besnard</t>
  </si>
  <si>
    <t>BESNARD</t>
  </si>
  <si>
    <t>Besse</t>
  </si>
  <si>
    <t>Besset</t>
  </si>
  <si>
    <t>Besson</t>
  </si>
  <si>
    <t>Bessonneau</t>
  </si>
  <si>
    <t>BETFERT</t>
  </si>
  <si>
    <t>Bethmont</t>
  </si>
  <si>
    <t>Betoulle</t>
  </si>
  <si>
    <t>Bezanson</t>
  </si>
  <si>
    <t>BEZINE</t>
  </si>
  <si>
    <t>Bibié</t>
  </si>
  <si>
    <t>Bichon</t>
  </si>
  <si>
    <t>BIDAULT</t>
  </si>
  <si>
    <t>Bienaimé</t>
  </si>
  <si>
    <t>Bienvenu-Martin</t>
  </si>
  <si>
    <t>Bienvenu</t>
  </si>
  <si>
    <t>Bignon</t>
  </si>
  <si>
    <t>Bigot</t>
  </si>
  <si>
    <t>Bilger</t>
  </si>
  <si>
    <t>Biliais</t>
  </si>
  <si>
    <t>BILLIET</t>
  </si>
  <si>
    <t>Billot</t>
  </si>
  <si>
    <t>Bimorel</t>
  </si>
  <si>
    <t>Binachon</t>
  </si>
  <si>
    <t>Binder</t>
  </si>
  <si>
    <t>Binet</t>
  </si>
  <si>
    <t>BIRE</t>
  </si>
  <si>
    <t>Biré</t>
  </si>
  <si>
    <t>Bisaccia</t>
  </si>
  <si>
    <t>Bischoffsheim</t>
  </si>
  <si>
    <t>Bisseuil</t>
  </si>
  <si>
    <t>BIZARELLI</t>
  </si>
  <si>
    <t>Bizarelli</t>
  </si>
  <si>
    <t>Bizet</t>
  </si>
  <si>
    <t>BIZOT de FONTENY</t>
  </si>
  <si>
    <t>Bizot</t>
  </si>
  <si>
    <t>Bizouard-Bert</t>
  </si>
  <si>
    <t>Biétry</t>
  </si>
  <si>
    <t>Blachez</t>
  </si>
  <si>
    <t>Blachère</t>
  </si>
  <si>
    <t>Blacque-Belair</t>
  </si>
  <si>
    <t>BLAIGNAN</t>
  </si>
  <si>
    <t>Blaisot</t>
  </si>
  <si>
    <t>Blanc</t>
  </si>
  <si>
    <t>BLANC</t>
  </si>
  <si>
    <t>Blanchard</t>
  </si>
  <si>
    <t>Blanchet</t>
  </si>
  <si>
    <t>BLANCHIER</t>
  </si>
  <si>
    <t>Blancho</t>
  </si>
  <si>
    <t>Blanchoin</t>
  </si>
  <si>
    <t>Blancsubé</t>
  </si>
  <si>
    <t>Blandin</t>
  </si>
  <si>
    <t>Blatin</t>
  </si>
  <si>
    <t>BLAVIER</t>
  </si>
  <si>
    <t>Bloncourt</t>
  </si>
  <si>
    <t>Blondel</t>
  </si>
  <si>
    <t>Bloud</t>
  </si>
  <si>
    <t>Blum</t>
  </si>
  <si>
    <t>Bluysen</t>
  </si>
  <si>
    <t>Blériot</t>
  </si>
  <si>
    <t>Boccard</t>
  </si>
  <si>
    <t>BOCHER</t>
  </si>
  <si>
    <t>Bodan</t>
  </si>
  <si>
    <t>BODINIER</t>
  </si>
  <si>
    <t>BOFFINTON</t>
  </si>
  <si>
    <t>Bois</t>
  </si>
  <si>
    <t>Boisboissel</t>
  </si>
  <si>
    <t>Boissard</t>
  </si>
  <si>
    <t>BOISSE</t>
  </si>
  <si>
    <t>Boisseau</t>
  </si>
  <si>
    <t>Boissel-Dombreval</t>
  </si>
  <si>
    <t>Boissel</t>
  </si>
  <si>
    <t>Boisserin</t>
  </si>
  <si>
    <t>BOISSIER</t>
  </si>
  <si>
    <t>Boissieu</t>
  </si>
  <si>
    <t>Boissin</t>
  </si>
  <si>
    <t>BOISSY D'ANGLAS</t>
  </si>
  <si>
    <t>BOIVIN-CHAMPEAUX</t>
  </si>
  <si>
    <t>Bokanowski</t>
  </si>
  <si>
    <t>Bollet</t>
  </si>
  <si>
    <t>BOMPARD</t>
  </si>
  <si>
    <t>Bompard</t>
  </si>
  <si>
    <t>Bon</t>
  </si>
  <si>
    <t>BON</t>
  </si>
  <si>
    <t>Bonard</t>
  </si>
  <si>
    <t>Bonin</t>
  </si>
  <si>
    <t>Bonnail</t>
  </si>
  <si>
    <t>Bonnaure</t>
  </si>
  <si>
    <t>BONNEFILLE</t>
  </si>
  <si>
    <t>Bonnefous</t>
  </si>
  <si>
    <t>BONNEFOY-SIBOUR</t>
  </si>
  <si>
    <t>Bonnefoy-Sibourg</t>
  </si>
  <si>
    <t>BONNELAT</t>
  </si>
  <si>
    <t>Bonnerot</t>
  </si>
  <si>
    <t>BONNET de PAILLERETS</t>
  </si>
  <si>
    <t>BONNET Louis</t>
  </si>
  <si>
    <t>Bonnet-Duverdier</t>
  </si>
  <si>
    <t>Bonnet</t>
  </si>
  <si>
    <t>Bonneval</t>
  </si>
  <si>
    <t>Bonnevay</t>
  </si>
  <si>
    <t>Bonniard</t>
  </si>
  <si>
    <t>Bonte</t>
  </si>
  <si>
    <t>Bontemps</t>
  </si>
  <si>
    <t>Bontoux</t>
  </si>
  <si>
    <t>Bonvalot</t>
  </si>
  <si>
    <t>Bony-Cisternes</t>
  </si>
  <si>
    <t>Borda</t>
  </si>
  <si>
    <t>Borderie</t>
  </si>
  <si>
    <t>BORDES-PAGES</t>
  </si>
  <si>
    <t>Bordet</t>
  </si>
  <si>
    <t>Bordier</t>
  </si>
  <si>
    <t>Boreau-Lajanadie</t>
  </si>
  <si>
    <t>Borel</t>
  </si>
  <si>
    <t>Boret</t>
  </si>
  <si>
    <t>BORGEOT</t>
  </si>
  <si>
    <t>Borgne</t>
  </si>
  <si>
    <t>Borgnet</t>
  </si>
  <si>
    <t>Borgo</t>
  </si>
  <si>
    <t>Borie</t>
  </si>
  <si>
    <t>Bories</t>
  </si>
  <si>
    <t>Borne</t>
  </si>
  <si>
    <t>Borrel</t>
  </si>
  <si>
    <t>Borriglione</t>
  </si>
  <si>
    <t>Bory</t>
  </si>
  <si>
    <t>Bos</t>
  </si>
  <si>
    <t>Bosc</t>
  </si>
  <si>
    <t>Boscher-Delangle</t>
  </si>
  <si>
    <t>Bosquette</t>
  </si>
  <si>
    <t>Bostquénard</t>
  </si>
  <si>
    <t>Bottieau</t>
  </si>
  <si>
    <t>Bouat</t>
  </si>
  <si>
    <t>Boucau</t>
  </si>
  <si>
    <t>BOUCHER-CADART</t>
  </si>
  <si>
    <t>Boucher</t>
  </si>
  <si>
    <t>Boucheron</t>
  </si>
  <si>
    <t>Bouchet</t>
  </si>
  <si>
    <t>Boucq</t>
  </si>
  <si>
    <t>Bouctot</t>
  </si>
  <si>
    <t>Boudeau</t>
  </si>
  <si>
    <t>Boudenoot</t>
  </si>
  <si>
    <t>Boudet</t>
  </si>
  <si>
    <t>Boudeville</t>
  </si>
  <si>
    <t>BOUDIN</t>
  </si>
  <si>
    <t>Boudoint</t>
  </si>
  <si>
    <t>Bouffandeau</t>
  </si>
  <si>
    <t>BOUFFIER</t>
  </si>
  <si>
    <t>Bouge</t>
  </si>
  <si>
    <t>BOUGERE</t>
  </si>
  <si>
    <t>Bougon</t>
  </si>
  <si>
    <t>BOUGUEN</t>
  </si>
  <si>
    <t>Bougues</t>
  </si>
  <si>
    <t>Bougère</t>
  </si>
  <si>
    <t>Bouhenry</t>
  </si>
  <si>
    <t>Bouhey-Allex</t>
  </si>
  <si>
    <t>Bouilliez-Bridou</t>
  </si>
  <si>
    <t>BOUILLIEZ</t>
  </si>
  <si>
    <t>Bouilloux-Lafont</t>
  </si>
  <si>
    <t>Bouisson</t>
  </si>
  <si>
    <t>Bouissoud</t>
  </si>
  <si>
    <t>Boulanger-Bernet</t>
  </si>
  <si>
    <t>Boulanger</t>
  </si>
  <si>
    <t>BOULARAN</t>
  </si>
  <si>
    <t>Boulard</t>
  </si>
  <si>
    <t>Boulay</t>
  </si>
  <si>
    <t>Bouligand</t>
  </si>
  <si>
    <t>Boullay</t>
  </si>
  <si>
    <t>Boully</t>
  </si>
  <si>
    <t>BOUNIOLS</t>
  </si>
  <si>
    <t>Bourcy</t>
  </si>
  <si>
    <t>BOURDEAUX</t>
  </si>
  <si>
    <t>Bourdon</t>
  </si>
  <si>
    <t>Bourdonnaye</t>
  </si>
  <si>
    <t>Bourely</t>
  </si>
  <si>
    <t>Bourganel</t>
  </si>
  <si>
    <t>BOURGEAT</t>
  </si>
  <si>
    <t>Bourgeois-Du-Jura</t>
  </si>
  <si>
    <t>Bourgeois</t>
  </si>
  <si>
    <t>BOURGEOIS</t>
  </si>
  <si>
    <t>Bourgier</t>
  </si>
  <si>
    <t>Bourgoin</t>
  </si>
  <si>
    <t>Bourgoing</t>
  </si>
  <si>
    <t>Bourgot</t>
  </si>
  <si>
    <t>Bourguet</t>
  </si>
  <si>
    <t>Bourlier</t>
  </si>
  <si>
    <t>Bourlois</t>
  </si>
  <si>
    <t>Bourneville</t>
  </si>
  <si>
    <t>Bourrat</t>
  </si>
  <si>
    <t>Bourrillon</t>
  </si>
  <si>
    <t>Boury</t>
  </si>
  <si>
    <t>Bousgarbiès</t>
  </si>
  <si>
    <t>Bousquet</t>
  </si>
  <si>
    <t>Boussenot</t>
  </si>
  <si>
    <t>Boussuges</t>
  </si>
  <si>
    <t>Boutard</t>
  </si>
  <si>
    <t>Boutaud</t>
  </si>
  <si>
    <t>Bouteille</t>
  </si>
  <si>
    <t>Boutet</t>
  </si>
  <si>
    <t>Bouthillier</t>
  </si>
  <si>
    <t>Bouttié</t>
  </si>
  <si>
    <t>Boutton</t>
  </si>
  <si>
    <t>BOUVART</t>
  </si>
  <si>
    <t>Bouvattier</t>
  </si>
  <si>
    <t>Bouveri</t>
  </si>
  <si>
    <t>Bouvet</t>
  </si>
  <si>
    <t>Bouvier</t>
  </si>
  <si>
    <t>Bouyssou</t>
  </si>
  <si>
    <t>Boué de Lapeyrère</t>
  </si>
  <si>
    <t>Boué</t>
  </si>
  <si>
    <t>Bovier-Lapierre</t>
  </si>
  <si>
    <t>Boyer</t>
  </si>
  <si>
    <t>Boysset</t>
  </si>
  <si>
    <t>BOZERIAN</t>
  </si>
  <si>
    <t>Bozonet</t>
  </si>
  <si>
    <t>Bozérian</t>
  </si>
  <si>
    <t>Boüessé</t>
  </si>
  <si>
    <t>Brachard</t>
  </si>
  <si>
    <t>Bracke-Desrousseaux</t>
  </si>
  <si>
    <t>BRAGER de LA VILLE-MOYSAN</t>
  </si>
  <si>
    <t>Braibant</t>
  </si>
  <si>
    <t>Braise</t>
  </si>
  <si>
    <t>Brame</t>
  </si>
  <si>
    <t>Brandon</t>
  </si>
  <si>
    <t>BRANGIER</t>
  </si>
  <si>
    <t>BRARD Mathurin dit</t>
  </si>
  <si>
    <t>Brard</t>
  </si>
  <si>
    <t>Bras</t>
  </si>
  <si>
    <t>BRASSEAU</t>
  </si>
  <si>
    <t>Braud</t>
  </si>
  <si>
    <t>Bravet</t>
  </si>
  <si>
    <t>Brecq</t>
  </si>
  <si>
    <t>Brelay</t>
  </si>
  <si>
    <t>Brenier</t>
  </si>
  <si>
    <t>Bresson</t>
  </si>
  <si>
    <t>Bret</t>
  </si>
  <si>
    <t>Breteau</t>
  </si>
  <si>
    <t>Breteuil</t>
  </si>
  <si>
    <t>BRETON André dit</t>
  </si>
  <si>
    <t>Breton</t>
  </si>
  <si>
    <t>Brialou</t>
  </si>
  <si>
    <t>Briand</t>
  </si>
  <si>
    <t>Brice</t>
  </si>
  <si>
    <t>Briens</t>
  </si>
  <si>
    <t>Brierre</t>
  </si>
  <si>
    <t>Briffaut</t>
  </si>
  <si>
    <t>Brigault</t>
  </si>
  <si>
    <t>Brincard</t>
  </si>
  <si>
    <t>Brindeau</t>
  </si>
  <si>
    <t>Bringer</t>
  </si>
  <si>
    <t>Briquet</t>
  </si>
  <si>
    <t>Brisson</t>
  </si>
  <si>
    <t>BRISSON</t>
  </si>
  <si>
    <t>Brizon</t>
  </si>
  <si>
    <t>Brière</t>
  </si>
  <si>
    <t>BROCARD</t>
  </si>
  <si>
    <t>Brocard</t>
  </si>
  <si>
    <t>Brodel</t>
  </si>
  <si>
    <t>Broglie</t>
  </si>
  <si>
    <t>Brogly</t>
  </si>
  <si>
    <t>Brom</t>
  </si>
  <si>
    <t>Brossard</t>
  </si>
  <si>
    <t>BROTHIER</t>
  </si>
  <si>
    <t>Broussais</t>
  </si>
  <si>
    <t>Brousse</t>
  </si>
  <si>
    <t>Bruel</t>
  </si>
  <si>
    <t>Brugeilles</t>
  </si>
  <si>
    <t>BRUGEROLLE</t>
  </si>
  <si>
    <t>Brugnot</t>
  </si>
  <si>
    <t>BRUGUIER</t>
  </si>
  <si>
    <t>Brugère</t>
  </si>
  <si>
    <t>Brun</t>
  </si>
  <si>
    <t>BRUN</t>
  </si>
  <si>
    <t>Brunard</t>
  </si>
  <si>
    <t>Brune</t>
  </si>
  <si>
    <t>Bruneau</t>
  </si>
  <si>
    <t>Brunel</t>
  </si>
  <si>
    <t>BRUNEL</t>
  </si>
  <si>
    <t>BRUNET</t>
  </si>
  <si>
    <t>Brunet</t>
  </si>
  <si>
    <t>Brunier</t>
  </si>
  <si>
    <t>BRUNON</t>
  </si>
  <si>
    <t>Brunschvicg</t>
  </si>
  <si>
    <t>BRUSSET</t>
  </si>
  <si>
    <t>Bruyas</t>
  </si>
  <si>
    <t>Bréant</t>
  </si>
  <si>
    <t>Brémond</t>
  </si>
  <si>
    <t>BUFFET</t>
  </si>
  <si>
    <t>BUHAN</t>
  </si>
  <si>
    <t>Buisset</t>
  </si>
  <si>
    <t>Buisson</t>
  </si>
  <si>
    <t>BUISSON</t>
  </si>
  <si>
    <t>Bully</t>
  </si>
  <si>
    <t>BUQUIN</t>
  </si>
  <si>
    <t>Burdeau</t>
  </si>
  <si>
    <t>Bureau</t>
  </si>
  <si>
    <t>Burger</t>
  </si>
  <si>
    <t>Burnet</t>
  </si>
  <si>
    <t>Burrus</t>
  </si>
  <si>
    <t>Burtin</t>
  </si>
  <si>
    <t>Bury</t>
  </si>
  <si>
    <t>Bussat</t>
  </si>
  <si>
    <t>BUSSIERE</t>
  </si>
  <si>
    <t>Bussière</t>
  </si>
  <si>
    <t>BUSSON-BILLAULT</t>
  </si>
  <si>
    <t>BUSSY</t>
  </si>
  <si>
    <t>Butin</t>
  </si>
  <si>
    <t>BUTTERLIN</t>
  </si>
  <si>
    <t>Buvignier</t>
  </si>
  <si>
    <t>Buyat</t>
  </si>
  <si>
    <t>Béharelle</t>
  </si>
  <si>
    <t>Bélinguier</t>
  </si>
  <si>
    <t>Bélizal</t>
  </si>
  <si>
    <t>Bénassy</t>
  </si>
  <si>
    <t>Bénazet</t>
  </si>
  <si>
    <t>Bénézech</t>
  </si>
  <si>
    <t>Béranger</t>
  </si>
  <si>
    <t>Bérard</t>
  </si>
  <si>
    <t>Béraud</t>
  </si>
  <si>
    <t>Bérenger</t>
  </si>
  <si>
    <t>Béron</t>
  </si>
  <si>
    <t>Bézine</t>
  </si>
  <si>
    <t>Bézos</t>
  </si>
  <si>
    <t>CABANES</t>
  </si>
  <si>
    <t>Cabanis</t>
  </si>
  <si>
    <t>Cabannes</t>
  </si>
  <si>
    <t>Cabart-Danneville</t>
  </si>
  <si>
    <t>CABART-DANNEVILLE</t>
  </si>
  <si>
    <t>Cabrol</t>
  </si>
  <si>
    <t>Cachet</t>
  </si>
  <si>
    <t>Cachin</t>
  </si>
  <si>
    <t>Cadenat</t>
  </si>
  <si>
    <t>Cadet</t>
  </si>
  <si>
    <t>Cadic</t>
  </si>
  <si>
    <t>CADILHON</t>
  </si>
  <si>
    <t>Cadoret</t>
  </si>
  <si>
    <t>Cadot</t>
  </si>
  <si>
    <t>Caduc</t>
  </si>
  <si>
    <t>Caffarelli</t>
  </si>
  <si>
    <t>Caffort</t>
  </si>
  <si>
    <t>Caillat</t>
  </si>
  <si>
    <t>CAILLAUX</t>
  </si>
  <si>
    <t>Caillaux</t>
  </si>
  <si>
    <t>CAILLIER</t>
  </si>
  <si>
    <t>Calla</t>
  </si>
  <si>
    <t>CALLEN</t>
  </si>
  <si>
    <t>Calliès</t>
  </si>
  <si>
    <t>CALMEL</t>
  </si>
  <si>
    <t>CALMON</t>
  </si>
  <si>
    <t>Calmon</t>
  </si>
  <si>
    <t>Calmès</t>
  </si>
  <si>
    <t>CALOUIN de TREVILLE</t>
  </si>
  <si>
    <t>Calvet-Rogniat</t>
  </si>
  <si>
    <t>CALVET</t>
  </si>
  <si>
    <t>Calvet</t>
  </si>
  <si>
    <t>Calvinhac</t>
  </si>
  <si>
    <t>Calès</t>
  </si>
  <si>
    <t>Cambe</t>
  </si>
  <si>
    <t>Camboulives</t>
  </si>
  <si>
    <t>Camelle</t>
  </si>
  <si>
    <t>Camescasse</t>
  </si>
  <si>
    <t>Camier</t>
  </si>
  <si>
    <t>CAMPARAN</t>
  </si>
  <si>
    <t>Campenon</t>
  </si>
  <si>
    <t>Campinchi</t>
  </si>
  <si>
    <t>Camuzet</t>
  </si>
  <si>
    <t>Camélinat</t>
  </si>
  <si>
    <t>Canavelli</t>
  </si>
  <si>
    <t>Canda</t>
  </si>
  <si>
    <t>Candace</t>
  </si>
  <si>
    <t>Canet</t>
  </si>
  <si>
    <t>CANNAC</t>
  </si>
  <si>
    <t>CANROBERT</t>
  </si>
  <si>
    <t>Cantagrel</t>
  </si>
  <si>
    <t>Cante</t>
  </si>
  <si>
    <t>Canu</t>
  </si>
  <si>
    <t>CAPERAN</t>
  </si>
  <si>
    <t>Capgras</t>
  </si>
  <si>
    <t>Capron</t>
  </si>
  <si>
    <t>Capus</t>
  </si>
  <si>
    <t>Capéran</t>
  </si>
  <si>
    <t>Caradec</t>
  </si>
  <si>
    <t>Caraman</t>
  </si>
  <si>
    <t>Carbuccia</t>
  </si>
  <si>
    <t>Cardet</t>
  </si>
  <si>
    <t>Cardon</t>
  </si>
  <si>
    <t>Carette</t>
  </si>
  <si>
    <t>Carlier-Caffieri</t>
  </si>
  <si>
    <t>Carlier</t>
  </si>
  <si>
    <t>Carmagnolle</t>
  </si>
  <si>
    <t>Carnaud</t>
  </si>
  <si>
    <t>CARNOT</t>
  </si>
  <si>
    <t>Carnot</t>
  </si>
  <si>
    <t>Caron</t>
  </si>
  <si>
    <t>Carpentier-Risbourg</t>
  </si>
  <si>
    <t>Carpot</t>
  </si>
  <si>
    <t>CARQUET</t>
  </si>
  <si>
    <t>Carquet</t>
  </si>
  <si>
    <t>CARRE-BONVALET</t>
  </si>
  <si>
    <t>CARRERE</t>
  </si>
  <si>
    <t>Carret</t>
  </si>
  <si>
    <t>Carrier</t>
  </si>
  <si>
    <t>Carrière</t>
  </si>
  <si>
    <t>Carron</t>
  </si>
  <si>
    <t>Carré-Bonvalet</t>
  </si>
  <si>
    <t>CASABIANCA (de)</t>
  </si>
  <si>
    <t>Casabianca</t>
  </si>
  <si>
    <t>CASIMIR-PERIER</t>
  </si>
  <si>
    <t>Casimir-Perier</t>
  </si>
  <si>
    <t>Cassadou</t>
  </si>
  <si>
    <t>Cassagnac</t>
  </si>
  <si>
    <t>Casse</t>
  </si>
  <si>
    <t>Cassez</t>
  </si>
  <si>
    <t>Cassou</t>
  </si>
  <si>
    <t>Castagnet</t>
  </si>
  <si>
    <t>Castagnez</t>
  </si>
  <si>
    <t>Castaing</t>
  </si>
  <si>
    <t>Castanet</t>
  </si>
  <si>
    <t>Castel</t>
  </si>
  <si>
    <t>Castelin</t>
  </si>
  <si>
    <t>Castellane</t>
  </si>
  <si>
    <t>Castelnau</t>
  </si>
  <si>
    <t>Castiau</t>
  </si>
  <si>
    <t>Castillard</t>
  </si>
  <si>
    <t>Castillo</t>
  </si>
  <si>
    <t>Catalan</t>
  </si>
  <si>
    <t>Catalogne</t>
  </si>
  <si>
    <t>Cathala</t>
  </si>
  <si>
    <t>Cauderon</t>
  </si>
  <si>
    <t>Caujole</t>
  </si>
  <si>
    <t>Caurant</t>
  </si>
  <si>
    <t>Causeret</t>
  </si>
  <si>
    <t>Caussanel</t>
  </si>
  <si>
    <t>Cautru</t>
  </si>
  <si>
    <t>Cauvin</t>
  </si>
  <si>
    <t>Cavaignac</t>
  </si>
  <si>
    <t>Cavalié</t>
  </si>
  <si>
    <t>CAVILLON</t>
  </si>
  <si>
    <t>Cayrade</t>
  </si>
  <si>
    <t>Cayrel</t>
  </si>
  <si>
    <t>CAZALAS</t>
  </si>
  <si>
    <t>Cazalet</t>
  </si>
  <si>
    <t>Cazals</t>
  </si>
  <si>
    <t>Cazassus</t>
  </si>
  <si>
    <t>Cazaud</t>
  </si>
  <si>
    <t>Cazauvieilh</t>
  </si>
  <si>
    <t>Caze</t>
  </si>
  <si>
    <t>Cazeaux-Cazalet</t>
  </si>
  <si>
    <t>Cazeaux</t>
  </si>
  <si>
    <t>CAZELLES</t>
  </si>
  <si>
    <t>Cazeneuve</t>
  </si>
  <si>
    <t>Cazes</t>
  </si>
  <si>
    <t>Cazot</t>
  </si>
  <si>
    <t>Caïtucoli</t>
  </si>
  <si>
    <t>Ceccaldi</t>
  </si>
  <si>
    <t>Celos</t>
  </si>
  <si>
    <t>Cels-Couybes</t>
  </si>
  <si>
    <t>CENCELME</t>
  </si>
  <si>
    <t>Cerf</t>
  </si>
  <si>
    <t>Cernesson</t>
  </si>
  <si>
    <t>CESBRON Fabien dit</t>
  </si>
  <si>
    <t>CHABERT</t>
  </si>
  <si>
    <t>CHABRIE</t>
  </si>
  <si>
    <t>Chabrun</t>
  </si>
  <si>
    <t>CHAGNAUD</t>
  </si>
  <si>
    <t>CHAIX</t>
  </si>
  <si>
    <t>Chalamet</t>
  </si>
  <si>
    <t>CHALAMET</t>
  </si>
  <si>
    <t>Challemel-Lacour</t>
  </si>
  <si>
    <t>CHAMBIGE</t>
  </si>
  <si>
    <t>CHAMBONNET</t>
  </si>
  <si>
    <t>Chambre</t>
  </si>
  <si>
    <t>Chambrun</t>
  </si>
  <si>
    <t>Chamerlat</t>
  </si>
  <si>
    <t>Chammard</t>
  </si>
  <si>
    <t>Champetier de Ribes</t>
  </si>
  <si>
    <t>Champetier</t>
  </si>
  <si>
    <t>Champvallier</t>
  </si>
  <si>
    <t>CHANAL Jean dit Eugène</t>
  </si>
  <si>
    <t>Chanal</t>
  </si>
  <si>
    <t>Chandioux</t>
  </si>
  <si>
    <t>Chanoine</t>
  </si>
  <si>
    <t>Chanot</t>
  </si>
  <si>
    <t>Chanoz</t>
  </si>
  <si>
    <t>Chantagrel</t>
  </si>
  <si>
    <t>Chantelauze</t>
  </si>
  <si>
    <t>Chantemille</t>
  </si>
  <si>
    <t>CHANZY</t>
  </si>
  <si>
    <t>Chappedelaine</t>
  </si>
  <si>
    <t>Chapsal</t>
  </si>
  <si>
    <t>Chapuis</t>
  </si>
  <si>
    <t>CHARABOT</t>
  </si>
  <si>
    <t>CHARDON</t>
  </si>
  <si>
    <t>Charles Dessoye</t>
  </si>
  <si>
    <t>Charles Tillaye</t>
  </si>
  <si>
    <t>Charles-Benoist</t>
  </si>
  <si>
    <t>Charles-Bernard</t>
  </si>
  <si>
    <t>Charles-Gras</t>
  </si>
  <si>
    <t>Charles-Roux</t>
  </si>
  <si>
    <t>Charlot</t>
  </si>
  <si>
    <t>Charmes</t>
  </si>
  <si>
    <t>CHARMES</t>
  </si>
  <si>
    <t>Charoulet</t>
  </si>
  <si>
    <t>Charpentier</t>
  </si>
  <si>
    <t>CHARTON</t>
  </si>
  <si>
    <t>Chassaigne-Goyon</t>
  </si>
  <si>
    <t>Chassaing</t>
  </si>
  <si>
    <t>Chastanet</t>
  </si>
  <si>
    <t>CHASTENET de CASTAING</t>
  </si>
  <si>
    <t>Chatenay</t>
  </si>
  <si>
    <t>Chatenet</t>
  </si>
  <si>
    <t>CHATTELEYN</t>
  </si>
  <si>
    <t>Chaudey</t>
  </si>
  <si>
    <t>Chaulet</t>
  </si>
  <si>
    <t>Chaulin-Servinière</t>
  </si>
  <si>
    <t>Chauly</t>
  </si>
  <si>
    <t>Chaumeil</t>
  </si>
  <si>
    <t>Chaumet</t>
  </si>
  <si>
    <t>Chaumettes</t>
  </si>
  <si>
    <t>CHAUMIE</t>
  </si>
  <si>
    <t>Chaumié</t>
  </si>
  <si>
    <t>CHAUMONTEL</t>
  </si>
  <si>
    <t>Chaussier</t>
  </si>
  <si>
    <t>Chaussy</t>
  </si>
  <si>
    <t>Chautard</t>
  </si>
  <si>
    <t>Chautemps</t>
  </si>
  <si>
    <t>Chauveau</t>
  </si>
  <si>
    <t>Chauvel</t>
  </si>
  <si>
    <t>Chauvin</t>
  </si>
  <si>
    <t>Chauvière</t>
  </si>
  <si>
    <t>Chavagnes</t>
  </si>
  <si>
    <t>Chavanne</t>
  </si>
  <si>
    <t>CHAVASSIEU</t>
  </si>
  <si>
    <t>CHAVER-BIÈRE Léonce dit Léonce de</t>
  </si>
  <si>
    <t>Chavet</t>
  </si>
  <si>
    <t>Chavoix</t>
  </si>
  <si>
    <t>Chazal</t>
  </si>
  <si>
    <t>Chazette</t>
  </si>
  <si>
    <t>Chenal</t>
  </si>
  <si>
    <t>Chenavaz</t>
  </si>
  <si>
    <t>CHENEBENOIT</t>
  </si>
  <si>
    <t>Chenel</t>
  </si>
  <si>
    <t>Cherbonnier</t>
  </si>
  <si>
    <t>CHERON</t>
  </si>
  <si>
    <t>CHERPIN</t>
  </si>
  <si>
    <t>Cherpy</t>
  </si>
  <si>
    <t>CHESNELONG</t>
  </si>
  <si>
    <t>CHEVALIER Pol dit</t>
  </si>
  <si>
    <t>Chevalier</t>
  </si>
  <si>
    <t>Chevallay</t>
  </si>
  <si>
    <t>Chevallier</t>
  </si>
  <si>
    <t>Chevandier</t>
  </si>
  <si>
    <t>Chevillon</t>
  </si>
  <si>
    <t>Chevillotte</t>
  </si>
  <si>
    <t>Chevreau</t>
  </si>
  <si>
    <t>Chevrelière</t>
  </si>
  <si>
    <t>Chevrey-Rameau</t>
  </si>
  <si>
    <t>Chevrier</t>
  </si>
  <si>
    <t>Chialvo</t>
  </si>
  <si>
    <t>Chichery</t>
  </si>
  <si>
    <t>Chiché</t>
  </si>
  <si>
    <t>Chion-Ducollet</t>
  </si>
  <si>
    <t>Chiris</t>
  </si>
  <si>
    <t>Choiseul-Praslin</t>
  </si>
  <si>
    <t>Chollet</t>
  </si>
  <si>
    <t>CHOMET</t>
  </si>
  <si>
    <t>Chommeton</t>
  </si>
  <si>
    <t>CHOPIN</t>
  </si>
  <si>
    <t>Chopinet</t>
  </si>
  <si>
    <t>Choribit</t>
  </si>
  <si>
    <t>Chouffet</t>
  </si>
  <si>
    <t>CHOVET</t>
  </si>
  <si>
    <t>Christophle</t>
  </si>
  <si>
    <t>Chéneau</t>
  </si>
  <si>
    <t>Chépié</t>
  </si>
  <si>
    <t>Chéron</t>
  </si>
  <si>
    <t>Cibiel</t>
  </si>
  <si>
    <t>CICERON</t>
  </si>
  <si>
    <t>Cirier</t>
  </si>
  <si>
    <t>Civrac</t>
  </si>
  <si>
    <t>CLAEYS</t>
  </si>
  <si>
    <t>Clagny</t>
  </si>
  <si>
    <t>Clamageran</t>
  </si>
  <si>
    <t>Clamamus</t>
  </si>
  <si>
    <t>Clament</t>
  </si>
  <si>
    <t>Clapot</t>
  </si>
  <si>
    <t>CLARIS</t>
  </si>
  <si>
    <t>Clarou</t>
  </si>
  <si>
    <t>CLAUDE</t>
  </si>
  <si>
    <t>Claudet</t>
  </si>
  <si>
    <t>Claudinon</t>
  </si>
  <si>
    <t>Claussat</t>
  </si>
  <si>
    <t>Clauzel</t>
  </si>
  <si>
    <t>Claveille</t>
  </si>
  <si>
    <t>Claye</t>
  </si>
  <si>
    <t>Clec'H</t>
  </si>
  <si>
    <t>Clech</t>
  </si>
  <si>
    <t>Clemenceau</t>
  </si>
  <si>
    <t>CLEMENT</t>
  </si>
  <si>
    <t>CLEMENTEL</t>
  </si>
  <si>
    <t>CLERC</t>
  </si>
  <si>
    <t>Clerc</t>
  </si>
  <si>
    <t>Clercq</t>
  </si>
  <si>
    <t>Clerjounie</t>
  </si>
  <si>
    <t>CLERON d'HAUSSONVILLE</t>
  </si>
  <si>
    <t>Cloarec</t>
  </si>
  <si>
    <t>Clos</t>
  </si>
  <si>
    <t>Cloutier</t>
  </si>
  <si>
    <t>Cluseret</t>
  </si>
  <si>
    <t>Cluzan</t>
  </si>
  <si>
    <t>Cluzel</t>
  </si>
  <si>
    <t>Clédou</t>
  </si>
  <si>
    <t>Clément</t>
  </si>
  <si>
    <t>Clémentel</t>
  </si>
  <si>
    <t>Coache</t>
  </si>
  <si>
    <t>COCHARD</t>
  </si>
  <si>
    <t>Cochery</t>
  </si>
  <si>
    <t>Cochet</t>
  </si>
  <si>
    <t>Cochin</t>
  </si>
  <si>
    <t>COCULA</t>
  </si>
  <si>
    <t>Codet</t>
  </si>
  <si>
    <t>CODET</t>
  </si>
  <si>
    <t>Coget</t>
  </si>
  <si>
    <t>COIGNET</t>
  </si>
  <si>
    <t>COILLOT</t>
  </si>
  <si>
    <t>Cointreau</t>
  </si>
  <si>
    <t>Coipel</t>
  </si>
  <si>
    <t>Colbert-Laplace</t>
  </si>
  <si>
    <t>Colfavru</t>
  </si>
  <si>
    <t>COLIN</t>
  </si>
  <si>
    <t>Colin</t>
  </si>
  <si>
    <t>Colins</t>
  </si>
  <si>
    <t>Colle</t>
  </si>
  <si>
    <t>COLLET</t>
  </si>
  <si>
    <t>Colliard</t>
  </si>
  <si>
    <t>COLLIN</t>
  </si>
  <si>
    <t>COLLINOT</t>
  </si>
  <si>
    <t>Colly</t>
  </si>
  <si>
    <t>Colomb</t>
  </si>
  <si>
    <t>Colrat</t>
  </si>
  <si>
    <t>Colson</t>
  </si>
  <si>
    <t>Combes</t>
  </si>
  <si>
    <t>COMBESCURE</t>
  </si>
  <si>
    <t>Combrouze</t>
  </si>
  <si>
    <t>Compayré</t>
  </si>
  <si>
    <t>Compère-Morel</t>
  </si>
  <si>
    <t>COMTE D'ALSACE</t>
  </si>
  <si>
    <t>Condé</t>
  </si>
  <si>
    <t>Congy</t>
  </si>
  <si>
    <t>Connevot</t>
  </si>
  <si>
    <t>Constans</t>
  </si>
  <si>
    <t>Constant</t>
  </si>
  <si>
    <t>CONTANCIN</t>
  </si>
  <si>
    <t>CONVERSET</t>
  </si>
  <si>
    <t>Coponat</t>
  </si>
  <si>
    <t>Coppeaux</t>
  </si>
  <si>
    <t>Coquelle</t>
  </si>
  <si>
    <t>Coral</t>
  </si>
  <si>
    <t>CORBEDAINE</t>
  </si>
  <si>
    <t>Corbeiller</t>
  </si>
  <si>
    <t>CORBON</t>
  </si>
  <si>
    <t>CORDELET</t>
  </si>
  <si>
    <t>Cordelle</t>
  </si>
  <si>
    <t>Corderoy</t>
  </si>
  <si>
    <t>CORDIER</t>
  </si>
  <si>
    <t>Cordier</t>
  </si>
  <si>
    <t>Coreil</t>
  </si>
  <si>
    <t>Corentin-Guyho</t>
  </si>
  <si>
    <t>Cornand</t>
  </si>
  <si>
    <t>Cornavin</t>
  </si>
  <si>
    <t>CORNE</t>
  </si>
  <si>
    <t>Corneau</t>
  </si>
  <si>
    <t>Cornet</t>
  </si>
  <si>
    <t>Cornil</t>
  </si>
  <si>
    <t>Cornu</t>
  </si>
  <si>
    <t>CORNUDET des CHAUMETTES</t>
  </si>
  <si>
    <t>Cornulier</t>
  </si>
  <si>
    <t>Corsin</t>
  </si>
  <si>
    <t>Cosmao-Dumenez</t>
  </si>
  <si>
    <t>Cosnard</t>
  </si>
  <si>
    <t>Cosnier</t>
  </si>
  <si>
    <t>COSTE</t>
  </si>
  <si>
    <t>Costes</t>
  </si>
  <si>
    <t>COSTES</t>
  </si>
  <si>
    <t>Cot</t>
  </si>
  <si>
    <t>Cotin</t>
  </si>
  <si>
    <t>COTY</t>
  </si>
  <si>
    <t>Coty</t>
  </si>
  <si>
    <t>Couchard</t>
  </si>
  <si>
    <t>Coucoureux</t>
  </si>
  <si>
    <t>Couderc</t>
  </si>
  <si>
    <t>Coudert</t>
  </si>
  <si>
    <t>Coudreuse</t>
  </si>
  <si>
    <t>Couesnon</t>
  </si>
  <si>
    <t>Couhé</t>
  </si>
  <si>
    <t>Couillerot</t>
  </si>
  <si>
    <t>Coulondre</t>
  </si>
  <si>
    <t>Coupanec</t>
  </si>
  <si>
    <t>Coupat</t>
  </si>
  <si>
    <t>COURCEL Alphonse CHODRON</t>
  </si>
  <si>
    <t>Coureau</t>
  </si>
  <si>
    <t>Courmeaux</t>
  </si>
  <si>
    <t>COURNAULT</t>
  </si>
  <si>
    <t>COUROT</t>
  </si>
  <si>
    <t>COURREGELONGUE</t>
  </si>
  <si>
    <t>Courrent</t>
  </si>
  <si>
    <t>Courson</t>
  </si>
  <si>
    <t>Courtehoux</t>
  </si>
  <si>
    <t>Courtial</t>
  </si>
  <si>
    <t>Courtier</t>
  </si>
  <si>
    <t>COURTIER</t>
  </si>
  <si>
    <t>Cousin</t>
  </si>
  <si>
    <t>Coussergues</t>
  </si>
  <si>
    <t>Cousset</t>
  </si>
  <si>
    <t>Coutant-d'Ivry</t>
  </si>
  <si>
    <t>Coutant</t>
  </si>
  <si>
    <t>COUTEAUX</t>
  </si>
  <si>
    <t>Couteaux</t>
  </si>
  <si>
    <t>Coutel</t>
  </si>
  <si>
    <t>Coutisson</t>
  </si>
  <si>
    <t>COUTURIER</t>
  </si>
  <si>
    <t>Couturier</t>
  </si>
  <si>
    <t>Couyba</t>
  </si>
  <si>
    <t>Coyrard</t>
  </si>
  <si>
    <t>Cozannet</t>
  </si>
  <si>
    <t>Cravoisier</t>
  </si>
  <si>
    <t>CREMIEUX</t>
  </si>
  <si>
    <t>CREPIN</t>
  </si>
  <si>
    <t>Crespel</t>
  </si>
  <si>
    <t>Creuzé</t>
  </si>
  <si>
    <t>Creyssel</t>
  </si>
  <si>
    <t>Cristofol</t>
  </si>
  <si>
    <t>Crolard</t>
  </si>
  <si>
    <t>Cros-Bonnel</t>
  </si>
  <si>
    <t>Crozet-Fourneyron</t>
  </si>
  <si>
    <t>Cruppi</t>
  </si>
  <si>
    <t>Crutel</t>
  </si>
  <si>
    <t>Crémieux</t>
  </si>
  <si>
    <t>Crépel</t>
  </si>
  <si>
    <t>Cuissart</t>
  </si>
  <si>
    <t>CUMINAL</t>
  </si>
  <si>
    <t>Cuny</t>
  </si>
  <si>
    <t>CURRAL</t>
  </si>
  <si>
    <t>Cuttoli</t>
  </si>
  <si>
    <t>CUTTOLI</t>
  </si>
  <si>
    <t>Cuven</t>
  </si>
  <si>
    <t>CUVINOT</t>
  </si>
  <si>
    <t>Cère</t>
  </si>
  <si>
    <t>d'Abbans</t>
  </si>
  <si>
    <t>d'Agens</t>
  </si>
  <si>
    <t>d'Agoult</t>
  </si>
  <si>
    <t>d'Aillières</t>
  </si>
  <si>
    <t>d'ALEXANDRY</t>
  </si>
  <si>
    <t>d'ANDIGNE</t>
  </si>
  <si>
    <t>d'Andigné</t>
  </si>
  <si>
    <t>d'ANDLAU de HOMBOURG</t>
  </si>
  <si>
    <t>d'ANDLAU</t>
  </si>
  <si>
    <t>d'Anglas</t>
  </si>
  <si>
    <t>d'Aramon</t>
  </si>
  <si>
    <t>d'Arenberg</t>
  </si>
  <si>
    <t>d'Argenson</t>
  </si>
  <si>
    <t>d'Ariste</t>
  </si>
  <si>
    <t>d'Asson</t>
  </si>
  <si>
    <t>d'Aubigny</t>
  </si>
  <si>
    <t>d'AUDIFFRET-PASQUIER</t>
  </si>
  <si>
    <t>d'Audiffret-Pasquier</t>
  </si>
  <si>
    <t>d'Aulan</t>
  </si>
  <si>
    <t>d'Aulps</t>
  </si>
  <si>
    <t>d'AUNAY</t>
  </si>
  <si>
    <t>d'Auray</t>
  </si>
  <si>
    <t>d'Auriac</t>
  </si>
  <si>
    <t>d'Elva</t>
  </si>
  <si>
    <t>d'Espeuilles</t>
  </si>
  <si>
    <t>d'Estourmel</t>
  </si>
  <si>
    <t>d'ESTOURNELLES DE CONSTANT</t>
  </si>
  <si>
    <t>d'Etchepare</t>
  </si>
  <si>
    <t>d'Harcourt</t>
  </si>
  <si>
    <t>d'Hornoy</t>
  </si>
  <si>
    <t>d'Hugues</t>
  </si>
  <si>
    <t>d'Hulst</t>
  </si>
  <si>
    <t>d'Hénin</t>
  </si>
  <si>
    <t>d'Octon</t>
  </si>
  <si>
    <t>d'Oissel</t>
  </si>
  <si>
    <t>d'Ornano</t>
  </si>
  <si>
    <t>d'Osmoy</t>
  </si>
  <si>
    <t>Dagorne</t>
  </si>
  <si>
    <t>DAGUENET</t>
  </si>
  <si>
    <t>Dahlet</t>
  </si>
  <si>
    <t>Daille</t>
  </si>
  <si>
    <t>Daladier</t>
  </si>
  <si>
    <t>Dalbiez</t>
  </si>
  <si>
    <t>Dalimier</t>
  </si>
  <si>
    <t>Dalmagne</t>
  </si>
  <si>
    <t>DAMECOUR</t>
  </si>
  <si>
    <t>Damour</t>
  </si>
  <si>
    <t>Danelle-Bernardin</t>
  </si>
  <si>
    <t>Daniel-Lamazière</t>
  </si>
  <si>
    <t>Daniel-Vincent</t>
  </si>
  <si>
    <t>DANIEL</t>
  </si>
  <si>
    <t>Daniélou</t>
  </si>
  <si>
    <t>Dansette</t>
  </si>
  <si>
    <t>DARAIGNEZ</t>
  </si>
  <si>
    <t>Darblay</t>
  </si>
  <si>
    <t>DARBOT</t>
  </si>
  <si>
    <t>Dard</t>
  </si>
  <si>
    <t>Dariac</t>
  </si>
  <si>
    <t>Darlan</t>
  </si>
  <si>
    <t>Darme</t>
  </si>
  <si>
    <t>Daron</t>
  </si>
  <si>
    <t>Daroux</t>
  </si>
  <si>
    <t>DARTEYRE</t>
  </si>
  <si>
    <t>Dasque</t>
  </si>
  <si>
    <t>Datas</t>
  </si>
  <si>
    <t>Daudet</t>
  </si>
  <si>
    <t>Daudé-Gleize</t>
  </si>
  <si>
    <t>Daumas</t>
  </si>
  <si>
    <t>DAUMY</t>
  </si>
  <si>
    <t>Dauphin</t>
  </si>
  <si>
    <t>DAUPHINOT</t>
  </si>
  <si>
    <t>DAUSSEL</t>
  </si>
  <si>
    <t>DAUSSET</t>
  </si>
  <si>
    <t>Dauthy</t>
  </si>
  <si>
    <t>Dautresme</t>
  </si>
  <si>
    <t>DAUTRESME</t>
  </si>
  <si>
    <t>Dautry</t>
  </si>
  <si>
    <t>DAUZIER</t>
  </si>
  <si>
    <t>Dauzon</t>
  </si>
  <si>
    <t>Davaine</t>
  </si>
  <si>
    <t>DAVAINE</t>
  </si>
  <si>
    <t>David</t>
  </si>
  <si>
    <t>DAVID</t>
  </si>
  <si>
    <t>Daynaud</t>
  </si>
  <si>
    <t>de BARANTE</t>
  </si>
  <si>
    <t>de BAUDRY D'ASSON</t>
  </si>
  <si>
    <t>de BEAUCHAMP</t>
  </si>
  <si>
    <t>de BEJARRY</t>
  </si>
  <si>
    <t>de BERNY</t>
  </si>
  <si>
    <t>de BERTIER de SAUVIGNY</t>
  </si>
  <si>
    <t>de BLOIS</t>
  </si>
  <si>
    <t>de BONDY</t>
  </si>
  <si>
    <t>de BOSREDON</t>
  </si>
  <si>
    <t>de BREIL de PONTBRIAND</t>
  </si>
  <si>
    <t>de BREMOND D'ARS</t>
  </si>
  <si>
    <t>de BROGLIE</t>
  </si>
  <si>
    <t>de CALLAC</t>
  </si>
  <si>
    <t>de CARAYON-LATOUR</t>
  </si>
  <si>
    <t>de CARDEVAC D' HAVRINCOURT</t>
  </si>
  <si>
    <t>de CARNE</t>
  </si>
  <si>
    <t>de CASTELLANE</t>
  </si>
  <si>
    <t>de CHABAUD-LATOUR</t>
  </si>
  <si>
    <t>de CHABRON</t>
  </si>
  <si>
    <t>de CHADOIS</t>
  </si>
  <si>
    <t>de CHAMBRUN</t>
  </si>
  <si>
    <t>de CHAMMARD</t>
  </si>
  <si>
    <t>de CHAMPAGNY</t>
  </si>
  <si>
    <t>de CHANTEMERLE</t>
  </si>
  <si>
    <t>de Chappedelaine</t>
  </si>
  <si>
    <t>de Chappedeleine</t>
  </si>
  <si>
    <t>de CISSEY Ernest</t>
  </si>
  <si>
    <t>de CORNULIER DE LA LANDE</t>
  </si>
  <si>
    <t>de CORNULIER-LUCINIERE</t>
  </si>
  <si>
    <t>de CORSI</t>
  </si>
  <si>
    <t>de COURTOIS</t>
  </si>
  <si>
    <t>de CUVERVILLE</t>
  </si>
  <si>
    <t>de CÈS-CAUPENNE</t>
  </si>
  <si>
    <t>de DION</t>
  </si>
  <si>
    <t>de DOMPIERRE D'HORNOY</t>
  </si>
  <si>
    <t>de DOUHET</t>
  </si>
  <si>
    <t>de FLERS</t>
  </si>
  <si>
    <t>de FONTAINES</t>
  </si>
  <si>
    <t>de FOURTOU</t>
  </si>
  <si>
    <t>de Freycinet</t>
  </si>
  <si>
    <t>de Galliffet</t>
  </si>
  <si>
    <t>de Gaulle</t>
  </si>
  <si>
    <t>de GAVARDIE</t>
  </si>
  <si>
    <t>de GONTAUT-BIRON</t>
  </si>
  <si>
    <t>de GOULAINE</t>
  </si>
  <si>
    <t>de GRANDMAISON</t>
  </si>
  <si>
    <t>de GUIBOURG de LUZINAIS</t>
  </si>
  <si>
    <t>de Heredia</t>
  </si>
  <si>
    <t>de Jouvenel</t>
  </si>
  <si>
    <t>de JUIGNE</t>
  </si>
  <si>
    <t>de KERANFLEC'H</t>
  </si>
  <si>
    <t>de KERGARIOU</t>
  </si>
  <si>
    <t>de KERGUEZEC</t>
  </si>
  <si>
    <t>de KEROUARTZ</t>
  </si>
  <si>
    <t>de L'ANGLE-BEAUMANOIR</t>
  </si>
  <si>
    <t>de LA BATUT</t>
  </si>
  <si>
    <t>de LA BOURDONNAYE</t>
  </si>
  <si>
    <t>de LA GRANDIERE</t>
  </si>
  <si>
    <t>de La Grange</t>
  </si>
  <si>
    <t>de LA JAILLE</t>
  </si>
  <si>
    <t>de LA MONNERAYE</t>
  </si>
  <si>
    <t>de La Porte</t>
  </si>
  <si>
    <t>de LA SICOTIERE</t>
  </si>
  <si>
    <t>de LACROIX de RAVIGNAN</t>
  </si>
  <si>
    <t>de LADMIRAULT</t>
  </si>
  <si>
    <t>de LAMARZELLE</t>
  </si>
  <si>
    <t>de LANDEMONT</t>
  </si>
  <si>
    <t>de Lanessan</t>
  </si>
  <si>
    <t>de LANGENHAGEN</t>
  </si>
  <si>
    <t>de LARCY</t>
  </si>
  <si>
    <t>de LAS-CASES</t>
  </si>
  <si>
    <t>de Lasteyrie</t>
  </si>
  <si>
    <t>de LAUBESPIN</t>
  </si>
  <si>
    <t>de LAVRIGNAIS</t>
  </si>
  <si>
    <t>de LESTAPIS</t>
  </si>
  <si>
    <t>de LEUSSE</t>
  </si>
  <si>
    <t>de LORGERIL</t>
  </si>
  <si>
    <t>de LUBERSAC</t>
  </si>
  <si>
    <t>de LUDRE-FROLOIS</t>
  </si>
  <si>
    <t>de LUR-SALUCES</t>
  </si>
  <si>
    <t>de Mahy</t>
  </si>
  <si>
    <t>de MAILLÉ DE LA JUMELLIERE</t>
  </si>
  <si>
    <t>de MALEVILLE</t>
  </si>
  <si>
    <t>de MARGUERIE</t>
  </si>
  <si>
    <t>de MERODE</t>
  </si>
  <si>
    <t>de MONTAIGNAC DE CHAUVANCE</t>
  </si>
  <si>
    <t>de MONTAIGU</t>
  </si>
  <si>
    <t>de MONTFORT</t>
  </si>
  <si>
    <t>de MONTI DE REZE</t>
  </si>
  <si>
    <t>de Monzie</t>
  </si>
  <si>
    <t>de Moro Giafferi</t>
  </si>
  <si>
    <t>de MOUSTIER</t>
  </si>
  <si>
    <t>de PARIEU</t>
  </si>
  <si>
    <t>de PAVIN DE LAFARGE</t>
  </si>
  <si>
    <t>de PENANROS</t>
  </si>
  <si>
    <t>de POMEREU</t>
  </si>
  <si>
    <t>de PREISSAC</t>
  </si>
  <si>
    <t>de RAISMES</t>
  </si>
  <si>
    <t>de REIGNIE</t>
  </si>
  <si>
    <t>de REMUSAT</t>
  </si>
  <si>
    <t>de ROTHSCHILD</t>
  </si>
  <si>
    <t>de ROUGÉ</t>
  </si>
  <si>
    <t>de ROZIERE</t>
  </si>
  <si>
    <t>de SAINT-GERMAIN</t>
  </si>
  <si>
    <t>de SAINT-PIERRE</t>
  </si>
  <si>
    <t>de SAINT-VALLIER</t>
  </si>
  <si>
    <t>de SAISY DE KERAMPUIL</t>
  </si>
  <si>
    <t>de SAULCES de FREYCINET</t>
  </si>
  <si>
    <t>de Selves</t>
  </si>
  <si>
    <t>de TALHOUET</t>
  </si>
  <si>
    <t>de Tessan</t>
  </si>
  <si>
    <t>de TREVENEUC</t>
  </si>
  <si>
    <t>de VALLEE</t>
  </si>
  <si>
    <t>de VAST-VIMEUX</t>
  </si>
  <si>
    <t>de VEAUCE</t>
  </si>
  <si>
    <t>de VERNINAC-SAINT-MAUR</t>
  </si>
  <si>
    <t>de VOISINS-LAVERNIERE</t>
  </si>
  <si>
    <t>de WENDEL</t>
  </si>
  <si>
    <t>DEANDREIS</t>
  </si>
  <si>
    <t>Deandréis</t>
  </si>
  <si>
    <t>Debaune</t>
  </si>
  <si>
    <t>Deberly</t>
  </si>
  <si>
    <t>DEBIERRE</t>
  </si>
  <si>
    <t>Debiève</t>
  </si>
  <si>
    <t>Debrégéas</t>
  </si>
  <si>
    <t>Debuchy</t>
  </si>
  <si>
    <t>Debussy</t>
  </si>
  <si>
    <t>Debève</t>
  </si>
  <si>
    <t>DECAUVILLE</t>
  </si>
  <si>
    <t>Decker-David</t>
  </si>
  <si>
    <t>Decoëne-Racouchot</t>
  </si>
  <si>
    <t>Decrais</t>
  </si>
  <si>
    <t>DECRAY</t>
  </si>
  <si>
    <t>DECROIX</t>
  </si>
  <si>
    <t>Decroze</t>
  </si>
  <si>
    <t>Decréquy</t>
  </si>
  <si>
    <t>Defarge</t>
  </si>
  <si>
    <t>DEFFIS</t>
  </si>
  <si>
    <t>Defontaine</t>
  </si>
  <si>
    <t>Defos</t>
  </si>
  <si>
    <t>Defossé</t>
  </si>
  <si>
    <t>Defumade</t>
  </si>
  <si>
    <t>Deguilhem</t>
  </si>
  <si>
    <t>Deguise</t>
  </si>
  <si>
    <t>DEHAULT de PRESSENSE</t>
  </si>
  <si>
    <t>Dehove</t>
  </si>
  <si>
    <t>Dejardin-Verkinder</t>
  </si>
  <si>
    <t>Dejean</t>
  </si>
  <si>
    <t>Dejeante</t>
  </si>
  <si>
    <t>Delabarre</t>
  </si>
  <si>
    <t>Delabie</t>
  </si>
  <si>
    <t>Delachenal</t>
  </si>
  <si>
    <t>DELACROIX</t>
  </si>
  <si>
    <t>Delafosse</t>
  </si>
  <si>
    <t>Delafoy</t>
  </si>
  <si>
    <t>DELAHAYE</t>
  </si>
  <si>
    <t>Delahaye</t>
  </si>
  <si>
    <t>Delanne</t>
  </si>
  <si>
    <t>Delarbre</t>
  </si>
  <si>
    <t>Delaroche-Vernet</t>
  </si>
  <si>
    <t>Delaroue</t>
  </si>
  <si>
    <t>Delarue</t>
  </si>
  <si>
    <t>Delattre</t>
  </si>
  <si>
    <t>Delaunay</t>
  </si>
  <si>
    <t>Delaune</t>
  </si>
  <si>
    <t>DELAY</t>
  </si>
  <si>
    <t>Delbet</t>
  </si>
  <si>
    <t>Delbos</t>
  </si>
  <si>
    <t>DELBREIL</t>
  </si>
  <si>
    <t>Delcassé</t>
  </si>
  <si>
    <t>Delcluze</t>
  </si>
  <si>
    <t>Delcourt</t>
  </si>
  <si>
    <t>DELCROS</t>
  </si>
  <si>
    <t>Delecroix</t>
  </si>
  <si>
    <t>Delelis-Fanien</t>
  </si>
  <si>
    <t>Delelis</t>
  </si>
  <si>
    <t>Delesalle</t>
  </si>
  <si>
    <t>Delestrac</t>
  </si>
  <si>
    <t>DELHON</t>
  </si>
  <si>
    <t>DELHOUME</t>
  </si>
  <si>
    <t>Deligne</t>
  </si>
  <si>
    <t>Dellac</t>
  </si>
  <si>
    <t>Dellestable</t>
  </si>
  <si>
    <t>Dellisse</t>
  </si>
  <si>
    <t>Delmas</t>
  </si>
  <si>
    <t>Delmont</t>
  </si>
  <si>
    <t>Delmotte</t>
  </si>
  <si>
    <t>DELOBEAU</t>
  </si>
  <si>
    <t>Delom-Sorbé</t>
  </si>
  <si>
    <t>Delombre</t>
  </si>
  <si>
    <t>Delon-Soubeiran</t>
  </si>
  <si>
    <t>Deloncle</t>
  </si>
  <si>
    <t>DELORD</t>
  </si>
  <si>
    <t>Delorme</t>
  </si>
  <si>
    <t>Delory</t>
  </si>
  <si>
    <t>Delourme</t>
  </si>
  <si>
    <t>Delpech-Cantaloup</t>
  </si>
  <si>
    <t>Delpech</t>
  </si>
  <si>
    <t>DELPECH</t>
  </si>
  <si>
    <t>Delpeuch</t>
  </si>
  <si>
    <t>Delpierre</t>
  </si>
  <si>
    <t>DELPORT</t>
  </si>
  <si>
    <t>Delport</t>
  </si>
  <si>
    <t>DELPUECH</t>
  </si>
  <si>
    <t>Delsart</t>
  </si>
  <si>
    <t>DELSOL</t>
  </si>
  <si>
    <t>Delsol</t>
  </si>
  <si>
    <t>DELSOR</t>
  </si>
  <si>
    <t>Delthil</t>
  </si>
  <si>
    <t>Deluns-Montaud</t>
  </si>
  <si>
    <t>Deléglise</t>
  </si>
  <si>
    <t>Demalvillain</t>
  </si>
  <si>
    <t>DEMARCAY</t>
  </si>
  <si>
    <t>Demarçay</t>
  </si>
  <si>
    <t>Demellier</t>
  </si>
  <si>
    <t>DEMESMAY</t>
  </si>
  <si>
    <t>DEMIAUTTE</t>
  </si>
  <si>
    <t>DEMOLE</t>
  </si>
  <si>
    <t>Demoulin</t>
  </si>
  <si>
    <t>DEMOULINS de RIOLS</t>
  </si>
  <si>
    <t>Demôle</t>
  </si>
  <si>
    <t>Denain</t>
  </si>
  <si>
    <t>Denais</t>
  </si>
  <si>
    <t>Denayrouze</t>
  </si>
  <si>
    <t>Deniau</t>
  </si>
  <si>
    <t>DENIS</t>
  </si>
  <si>
    <t>Denis</t>
  </si>
  <si>
    <t>Denise</t>
  </si>
  <si>
    <t>Denizot</t>
  </si>
  <si>
    <t>Denoix</t>
  </si>
  <si>
    <t>DENORMANDIE</t>
  </si>
  <si>
    <t>DENTU</t>
  </si>
  <si>
    <t>Denécheau</t>
  </si>
  <si>
    <t>Depasse</t>
  </si>
  <si>
    <t>DEPIERRE</t>
  </si>
  <si>
    <t>DEPREUX</t>
  </si>
  <si>
    <t>DEPREZ</t>
  </si>
  <si>
    <t>Deproge</t>
  </si>
  <si>
    <t>Derangère</t>
  </si>
  <si>
    <t>Deribéré-Desgardes</t>
  </si>
  <si>
    <t>Derognat</t>
  </si>
  <si>
    <t>Deroyer</t>
  </si>
  <si>
    <t>Derrien</t>
  </si>
  <si>
    <t>Derveloy</t>
  </si>
  <si>
    <t>des ROTOURS</t>
  </si>
  <si>
    <t>DESBASSYNS de RICHEMONT</t>
  </si>
  <si>
    <t>Desbons</t>
  </si>
  <si>
    <t>Descamps</t>
  </si>
  <si>
    <t>Descaure</t>
  </si>
  <si>
    <t>Deschamps</t>
  </si>
  <si>
    <t>DESCHANEL</t>
  </si>
  <si>
    <t>Deschanel</t>
  </si>
  <si>
    <t>Deschizeaux</t>
  </si>
  <si>
    <t>Descubes-Desgueraines</t>
  </si>
  <si>
    <t>Descubes</t>
  </si>
  <si>
    <t>Desfarges</t>
  </si>
  <si>
    <t>Desgenétais</t>
  </si>
  <si>
    <t>Desgeorges</t>
  </si>
  <si>
    <t>DESGRANGES</t>
  </si>
  <si>
    <t>Desgranges</t>
  </si>
  <si>
    <t>Desgroux</t>
  </si>
  <si>
    <t>DESHAYES de MARCERE</t>
  </si>
  <si>
    <t>Deshayes</t>
  </si>
  <si>
    <t>Desjardins</t>
  </si>
  <si>
    <t>Desloges</t>
  </si>
  <si>
    <t>DESMAZES</t>
  </si>
  <si>
    <t>Desmons</t>
  </si>
  <si>
    <t>Desmoutiers</t>
  </si>
  <si>
    <t>Desoblin</t>
  </si>
  <si>
    <t>Despax</t>
  </si>
  <si>
    <t>Desplas</t>
  </si>
  <si>
    <t>Desprez-Potié</t>
  </si>
  <si>
    <t>Després</t>
  </si>
  <si>
    <t>DESPRÉS</t>
  </si>
  <si>
    <t>Dessaint</t>
  </si>
  <si>
    <t>Dessein</t>
  </si>
  <si>
    <t>Dessoliers</t>
  </si>
  <si>
    <t>Dessoye</t>
  </si>
  <si>
    <t>Destandau</t>
  </si>
  <si>
    <t>DESTIEUX-JUNCA</t>
  </si>
  <si>
    <t>DETHIL</t>
  </si>
  <si>
    <t>Dethomas</t>
  </si>
  <si>
    <t>Dethou</t>
  </si>
  <si>
    <t>Deudon</t>
  </si>
  <si>
    <t>Devade</t>
  </si>
  <si>
    <t>Devaud</t>
  </si>
  <si>
    <t>Devaux</t>
  </si>
  <si>
    <t>Develle</t>
  </si>
  <si>
    <t>DEVELLE</t>
  </si>
  <si>
    <t>DEVES</t>
  </si>
  <si>
    <t>Devic</t>
  </si>
  <si>
    <t>Deville</t>
  </si>
  <si>
    <t>Devins</t>
  </si>
  <si>
    <t>Devès</t>
  </si>
  <si>
    <t>Devèze</t>
  </si>
  <si>
    <t>Dewez</t>
  </si>
  <si>
    <t>Deyris</t>
  </si>
  <si>
    <t>Dezarnaulds</t>
  </si>
  <si>
    <t>DHERBECOURT</t>
  </si>
  <si>
    <t>Diagne</t>
  </si>
  <si>
    <t>DIANCOURT</t>
  </si>
  <si>
    <t>DIDE</t>
  </si>
  <si>
    <t>DIDIER</t>
  </si>
  <si>
    <t>Didry</t>
  </si>
  <si>
    <t>DIEBOLT-WEBER</t>
  </si>
  <si>
    <t>Dien</t>
  </si>
  <si>
    <t>Diesbach</t>
  </si>
  <si>
    <t>DIETZ-MONNIN</t>
  </si>
  <si>
    <t>Dieu</t>
  </si>
  <si>
    <t>DIEUDE-DEFLY</t>
  </si>
  <si>
    <t>Dignac</t>
  </si>
  <si>
    <t>Dillon</t>
  </si>
  <si>
    <t>Dindeau</t>
  </si>
  <si>
    <t>Dion</t>
  </si>
  <si>
    <t>Dior</t>
  </si>
  <si>
    <t>Diouf</t>
  </si>
  <si>
    <t>Disleau</t>
  </si>
  <si>
    <t>Dodat</t>
  </si>
  <si>
    <t>Doeblé</t>
  </si>
  <si>
    <t>Doizy</t>
  </si>
  <si>
    <t>Dollat</t>
  </si>
  <si>
    <t>Doléris</t>
  </si>
  <si>
    <t>Dommange</t>
  </si>
  <si>
    <t>DONADEI</t>
  </si>
  <si>
    <t>Donadeï</t>
  </si>
  <si>
    <t>Donnet</t>
  </si>
  <si>
    <t>DONNOT</t>
  </si>
  <si>
    <t>DONON</t>
  </si>
  <si>
    <t>Dorian</t>
  </si>
  <si>
    <t>Doriot</t>
  </si>
  <si>
    <t>Dorly</t>
  </si>
  <si>
    <t>Dormann</t>
  </si>
  <si>
    <t>Dormoy</t>
  </si>
  <si>
    <t>Douarec</t>
  </si>
  <si>
    <t>Doumer</t>
  </si>
  <si>
    <t>Doumergue</t>
  </si>
  <si>
    <t>Doussain</t>
  </si>
  <si>
    <t>Doussaud</t>
  </si>
  <si>
    <t>Douville-Maillefeu</t>
  </si>
  <si>
    <t>Drelon</t>
  </si>
  <si>
    <t>Dreux-Linget</t>
  </si>
  <si>
    <t>DREUX</t>
  </si>
  <si>
    <t>Dreyfus</t>
  </si>
  <si>
    <t>Dreyt</t>
  </si>
  <si>
    <t>Driant</t>
  </si>
  <si>
    <t>Drivet</t>
  </si>
  <si>
    <t>DRIVET</t>
  </si>
  <si>
    <t>Dron</t>
  </si>
  <si>
    <t>DROUHET</t>
  </si>
  <si>
    <t>DROUILLARD</t>
  </si>
  <si>
    <t>Drouot</t>
  </si>
  <si>
    <t>Drumel</t>
  </si>
  <si>
    <t>Drumont</t>
  </si>
  <si>
    <t>Dréo</t>
  </si>
  <si>
    <t>Dréolle</t>
  </si>
  <si>
    <t>DU CAMPE de ROSAMEL</t>
  </si>
  <si>
    <t>du CHAFFAULT</t>
  </si>
  <si>
    <t>du MOTIER de LA FAYETTE</t>
  </si>
  <si>
    <t>Dubarle</t>
  </si>
  <si>
    <t>Dubief</t>
  </si>
  <si>
    <t>Dubled</t>
  </si>
  <si>
    <t>Dubochet</t>
  </si>
  <si>
    <t>Duboin</t>
  </si>
  <si>
    <t>Dubois</t>
  </si>
  <si>
    <t>Dubon</t>
  </si>
  <si>
    <t>Dubosc</t>
  </si>
  <si>
    <t>Dubost</t>
  </si>
  <si>
    <t>DUBOYS FRESNEY</t>
  </si>
  <si>
    <t>Duboys-Fresney</t>
  </si>
  <si>
    <t>Dubreuil</t>
  </si>
  <si>
    <t>DUBRULLE</t>
  </si>
  <si>
    <t>Dubuisson</t>
  </si>
  <si>
    <t>Ducarouge</t>
  </si>
  <si>
    <t>Ducaud</t>
  </si>
  <si>
    <t>Duchasseint</t>
  </si>
  <si>
    <t>Duchatel</t>
  </si>
  <si>
    <t>DUCHEIN</t>
  </si>
  <si>
    <t>Ducher</t>
  </si>
  <si>
    <t>Duchesne-Fournet</t>
  </si>
  <si>
    <t>Duchesne</t>
  </si>
  <si>
    <t>Duché</t>
  </si>
  <si>
    <t>Duclaud</t>
  </si>
  <si>
    <t>Duclaux-Monteil</t>
  </si>
  <si>
    <t>DUCLAUX-MONTEIL</t>
  </si>
  <si>
    <t>Duclerc</t>
  </si>
  <si>
    <t>Duclos</t>
  </si>
  <si>
    <t>Ducos</t>
  </si>
  <si>
    <t>Ducoudray</t>
  </si>
  <si>
    <t>Ducroz</t>
  </si>
  <si>
    <t>Dudouyt</t>
  </si>
  <si>
    <t>Duez</t>
  </si>
  <si>
    <t>Dufaure</t>
  </si>
  <si>
    <t>DUFAY</t>
  </si>
  <si>
    <t>Duffau</t>
  </si>
  <si>
    <t>Dufour</t>
  </si>
  <si>
    <t>DUFOURNEL</t>
  </si>
  <si>
    <t>DUFOUSSAT</t>
  </si>
  <si>
    <t>DUFRAIGNE</t>
  </si>
  <si>
    <t>DUFRESNE</t>
  </si>
  <si>
    <t>Dufrèche</t>
  </si>
  <si>
    <t>Dugueyt</t>
  </si>
  <si>
    <t>Dujardin-Beaumetz</t>
  </si>
  <si>
    <t>DULAC</t>
  </si>
  <si>
    <t>Dulau</t>
  </si>
  <si>
    <t>Dumaine</t>
  </si>
  <si>
    <t>Dumas</t>
  </si>
  <si>
    <t>Dumat</t>
  </si>
  <si>
    <t>Dumay</t>
  </si>
  <si>
    <t>DUMESNIL</t>
  </si>
  <si>
    <t>Dumesnil</t>
  </si>
  <si>
    <t>DUMON</t>
  </si>
  <si>
    <t>Dumont</t>
  </si>
  <si>
    <t>Dumonteil</t>
  </si>
  <si>
    <t>Dumoret</t>
  </si>
  <si>
    <t>Dunaime</t>
  </si>
  <si>
    <t>Dupin</t>
  </si>
  <si>
    <t>DUPLANTIER</t>
  </si>
  <si>
    <t>Dupon</t>
  </si>
  <si>
    <t>Dupont</t>
  </si>
  <si>
    <t>DUPONT</t>
  </si>
  <si>
    <t>Duport</t>
  </si>
  <si>
    <t>Duportal</t>
  </si>
  <si>
    <t>Dupourqué</t>
  </si>
  <si>
    <t>DUPOUY</t>
  </si>
  <si>
    <t>DUPRE</t>
  </si>
  <si>
    <t>DUPREY</t>
  </si>
  <si>
    <t>Dupré</t>
  </si>
  <si>
    <t>Dupuis</t>
  </si>
  <si>
    <t>DUPUY Charles dit</t>
  </si>
  <si>
    <t>DUPUY DE LÔME</t>
  </si>
  <si>
    <t>Dupuy-Dutemps</t>
  </si>
  <si>
    <t>Dupuy</t>
  </si>
  <si>
    <t>Dupuytrem</t>
  </si>
  <si>
    <t>DUQUAIRE</t>
  </si>
  <si>
    <t>Duquesnay</t>
  </si>
  <si>
    <t>Duquesnel</t>
  </si>
  <si>
    <t>Durafour</t>
  </si>
  <si>
    <t>Durand-Béchet</t>
  </si>
  <si>
    <t>Durand-Savoyat</t>
  </si>
  <si>
    <t>Durand</t>
  </si>
  <si>
    <t>DURAND</t>
  </si>
  <si>
    <t>Durandy</t>
  </si>
  <si>
    <t>DUROUX</t>
  </si>
  <si>
    <t>Durre</t>
  </si>
  <si>
    <t>Dusevel</t>
  </si>
  <si>
    <t>Dusolier</t>
  </si>
  <si>
    <t>Dussaussoy-Hubert</t>
  </si>
  <si>
    <t>Dussaussoy</t>
  </si>
  <si>
    <t>Dussuel</t>
  </si>
  <si>
    <t>Dutailly</t>
  </si>
  <si>
    <t>DUTAUD</t>
  </si>
  <si>
    <t>DUTILLEUL</t>
  </si>
  <si>
    <t>Dutreil</t>
  </si>
  <si>
    <t>Dutreix</t>
  </si>
  <si>
    <t>Duval-Arnould</t>
  </si>
  <si>
    <t>DUVAL</t>
  </si>
  <si>
    <t>Duval</t>
  </si>
  <si>
    <t>Duvau</t>
  </si>
  <si>
    <t>Duvaux</t>
  </si>
  <si>
    <t>Duvigneau</t>
  </si>
  <si>
    <t>Duvivier</t>
  </si>
  <si>
    <t>Dèche</t>
  </si>
  <si>
    <t>Déat</t>
  </si>
  <si>
    <t>Déchelette</t>
  </si>
  <si>
    <t>Décloux</t>
  </si>
  <si>
    <t>Délieux</t>
  </si>
  <si>
    <t>Déprez</t>
  </si>
  <si>
    <t>Déroulède</t>
  </si>
  <si>
    <t>Détailleur</t>
  </si>
  <si>
    <t>Dézarnaulds</t>
  </si>
  <si>
    <t>ECCARD</t>
  </si>
  <si>
    <t>Elbel</t>
  </si>
  <si>
    <t>ELBY</t>
  </si>
  <si>
    <t>Eldin</t>
  </si>
  <si>
    <t>Eliez-Evrard</t>
  </si>
  <si>
    <t>Ellen-Prévot</t>
  </si>
  <si>
    <t>Elmiger</t>
  </si>
  <si>
    <t>Elsaesser</t>
  </si>
  <si>
    <t>ELVA</t>
  </si>
  <si>
    <t>Empereur</t>
  </si>
  <si>
    <t>Engerand</t>
  </si>
  <si>
    <t>ENJOLRAS</t>
  </si>
  <si>
    <t>Epivent</t>
  </si>
  <si>
    <t>Erlich</t>
  </si>
  <si>
    <t>Ermant</t>
  </si>
  <si>
    <t>Escande</t>
  </si>
  <si>
    <t>ESCANDE</t>
  </si>
  <si>
    <t>Escanyé</t>
  </si>
  <si>
    <t>Escarguel</t>
  </si>
  <si>
    <t>Escartefigue</t>
  </si>
  <si>
    <t>Eschassériaux</t>
  </si>
  <si>
    <t>Escoffier</t>
  </si>
  <si>
    <t>Escoulent</t>
  </si>
  <si>
    <t>Escudier</t>
  </si>
  <si>
    <t>Esnault</t>
  </si>
  <si>
    <t>ESPINASSE</t>
  </si>
  <si>
    <t>ESPIVENT de la VILLEBOISNET</t>
  </si>
  <si>
    <t>Essarts</t>
  </si>
  <si>
    <t>Etcheverry</t>
  </si>
  <si>
    <t>Etienne</t>
  </si>
  <si>
    <t>Euzière</t>
  </si>
  <si>
    <t>Evain</t>
  </si>
  <si>
    <t>Even</t>
  </si>
  <si>
    <t>Evesque</t>
  </si>
  <si>
    <t>Evrard</t>
  </si>
  <si>
    <t>EXPERT-BEZANÇON</t>
  </si>
  <si>
    <t>EYMARD-DUVERNAY</t>
  </si>
  <si>
    <t>EYMERY</t>
  </si>
  <si>
    <t>Eymond</t>
  </si>
  <si>
    <t>Eynac</t>
  </si>
  <si>
    <t>EYNARD</t>
  </si>
  <si>
    <t>Faberot</t>
  </si>
  <si>
    <t>Fabre</t>
  </si>
  <si>
    <t>FABRE</t>
  </si>
  <si>
    <t>Fabry</t>
  </si>
  <si>
    <t>Fachard</t>
  </si>
  <si>
    <t>Faget</t>
  </si>
  <si>
    <t>Fagot</t>
  </si>
  <si>
    <t>FAGOT</t>
  </si>
  <si>
    <t>FAIDHERBE</t>
  </si>
  <si>
    <t>Failliot</t>
  </si>
  <si>
    <t>Fairé</t>
  </si>
  <si>
    <t>FAISANS</t>
  </si>
  <si>
    <t>Faisant</t>
  </si>
  <si>
    <t>Falcoz</t>
  </si>
  <si>
    <t>FALLIERES</t>
  </si>
  <si>
    <t>Fallières</t>
  </si>
  <si>
    <t>Fanien</t>
  </si>
  <si>
    <t>Farcy</t>
  </si>
  <si>
    <t>Fardinière</t>
  </si>
  <si>
    <t>Farges</t>
  </si>
  <si>
    <t>FARINES</t>
  </si>
  <si>
    <t>FARINOLE</t>
  </si>
  <si>
    <t>Farjon</t>
  </si>
  <si>
    <t>FARJON</t>
  </si>
  <si>
    <t>FARNY</t>
  </si>
  <si>
    <t>FARRE</t>
  </si>
  <si>
    <t>Fauchon</t>
  </si>
  <si>
    <t>Fauconnerie</t>
  </si>
  <si>
    <t>FAUGERE</t>
  </si>
  <si>
    <t>Faugère</t>
  </si>
  <si>
    <t>FAURE Maurice dit</t>
  </si>
  <si>
    <t>Faure</t>
  </si>
  <si>
    <t>FAURE</t>
  </si>
  <si>
    <t>Fauré</t>
  </si>
  <si>
    <t>Faverges</t>
  </si>
  <si>
    <t>Favernay</t>
  </si>
  <si>
    <t>Favre</t>
  </si>
  <si>
    <t>FAYARD</t>
  </si>
  <si>
    <t>Faye</t>
  </si>
  <si>
    <t>FAYOLLE</t>
  </si>
  <si>
    <t>Fayolle</t>
  </si>
  <si>
    <t>Fays</t>
  </si>
  <si>
    <t>Fayssat</t>
  </si>
  <si>
    <t>Febvre</t>
  </si>
  <si>
    <t>Fels</t>
  </si>
  <si>
    <t>Feltre</t>
  </si>
  <si>
    <t>Fenal</t>
  </si>
  <si>
    <t>FENOUX</t>
  </si>
  <si>
    <t>FERAL</t>
  </si>
  <si>
    <t>FERAY</t>
  </si>
  <si>
    <t>Fernand-Laurent</t>
  </si>
  <si>
    <t>Ferrand</t>
  </si>
  <si>
    <t>Ferraris</t>
  </si>
  <si>
    <t>Ferrary</t>
  </si>
  <si>
    <t>Ferrero</t>
  </si>
  <si>
    <t>Ferret</t>
  </si>
  <si>
    <t>Ferrette</t>
  </si>
  <si>
    <t>Ferrier</t>
  </si>
  <si>
    <t>Ferrière</t>
  </si>
  <si>
    <t>Ferron</t>
  </si>
  <si>
    <t>Ferronnays</t>
  </si>
  <si>
    <t>Ferrouillat</t>
  </si>
  <si>
    <t>Ferroul</t>
  </si>
  <si>
    <t>Ferru</t>
  </si>
  <si>
    <t>Ferry</t>
  </si>
  <si>
    <t>Ferté</t>
  </si>
  <si>
    <t>Fesq</t>
  </si>
  <si>
    <t>FESSARD</t>
  </si>
  <si>
    <t>Feuchin</t>
  </si>
  <si>
    <t>FEUGA</t>
  </si>
  <si>
    <t>Feuillette</t>
  </si>
  <si>
    <t>FEVRE</t>
  </si>
  <si>
    <t>Fiancette</t>
  </si>
  <si>
    <t>Fiesnet</t>
  </si>
  <si>
    <t>Fieu</t>
  </si>
  <si>
    <t>FIEVET</t>
  </si>
  <si>
    <t>FILHOL DE CAMAS</t>
  </si>
  <si>
    <t>Filhol</t>
  </si>
  <si>
    <t>Filhoud-Lavergne</t>
  </si>
  <si>
    <t>Fillon</t>
  </si>
  <si>
    <t>Fiori</t>
  </si>
  <si>
    <t>Fiquet</t>
  </si>
  <si>
    <t>Firino</t>
  </si>
  <si>
    <t>Fitte</t>
  </si>
  <si>
    <t>Fié</t>
  </si>
  <si>
    <t>Fiévet</t>
  </si>
  <si>
    <t>FLAISSIERES</t>
  </si>
  <si>
    <t>Flandin</t>
  </si>
  <si>
    <t>Flayelle</t>
  </si>
  <si>
    <t>Fleurent</t>
  </si>
  <si>
    <t>Fleuret</t>
  </si>
  <si>
    <t>FLEUROT</t>
  </si>
  <si>
    <t>FLEURY-RAVARIN</t>
  </si>
  <si>
    <t>Fleury-Ravarin</t>
  </si>
  <si>
    <t>Fleury</t>
  </si>
  <si>
    <t>FLEURY</t>
  </si>
  <si>
    <t>Floquet</t>
  </si>
  <si>
    <t>Florent-Lefebvre</t>
  </si>
  <si>
    <t>Florent</t>
  </si>
  <si>
    <t>Flourens</t>
  </si>
  <si>
    <t>Folliet</t>
  </si>
  <si>
    <t>Fonbelle-Labrousse</t>
  </si>
  <si>
    <t>Fonck</t>
  </si>
  <si>
    <t>Fontaines</t>
  </si>
  <si>
    <t>Fontanier</t>
  </si>
  <si>
    <t>FONTANILLE</t>
  </si>
  <si>
    <t>Fonteny</t>
  </si>
  <si>
    <t>Forcinal</t>
  </si>
  <si>
    <t>Forcioli</t>
  </si>
  <si>
    <t>Forest</t>
  </si>
  <si>
    <t>FOREST</t>
  </si>
  <si>
    <t>Forge</t>
  </si>
  <si>
    <t>FORGEMOL de BOSTQUENARD</t>
  </si>
  <si>
    <t>Forgeot</t>
  </si>
  <si>
    <t>FORICHON</t>
  </si>
  <si>
    <t>Forissier</t>
  </si>
  <si>
    <t>Forni</t>
  </si>
  <si>
    <t>Forné</t>
  </si>
  <si>
    <t>FORSANS</t>
  </si>
  <si>
    <t>FORSANZ</t>
  </si>
  <si>
    <t>Fort</t>
  </si>
  <si>
    <t>FORTIER</t>
  </si>
  <si>
    <t>FORTIN</t>
  </si>
  <si>
    <t>Forzy</t>
  </si>
  <si>
    <t>FOUBERT</t>
  </si>
  <si>
    <t>FOUCHER de CAREIL</t>
  </si>
  <si>
    <t>Foucher</t>
  </si>
  <si>
    <t>Fouché</t>
  </si>
  <si>
    <t>Fougeirol</t>
  </si>
  <si>
    <t>Fougère</t>
  </si>
  <si>
    <t>Fouilland</t>
  </si>
  <si>
    <t>FOUILLOUX</t>
  </si>
  <si>
    <t>Fould</t>
  </si>
  <si>
    <t>FOULHY</t>
  </si>
  <si>
    <t>Foulon</t>
  </si>
  <si>
    <t>Fouquet</t>
  </si>
  <si>
    <t>Fouquier</t>
  </si>
  <si>
    <t>FOURCADE</t>
  </si>
  <si>
    <t>Fourcand-Léon</t>
  </si>
  <si>
    <t>FOURICHON</t>
  </si>
  <si>
    <t>Fourment</t>
  </si>
  <si>
    <t>Fournier-Sarlovèze</t>
  </si>
  <si>
    <t>FOURNIER</t>
  </si>
  <si>
    <t>Fournier</t>
  </si>
  <si>
    <t>Fournière</t>
  </si>
  <si>
    <t>Fournol</t>
  </si>
  <si>
    <t>Fourot</t>
  </si>
  <si>
    <t>Fourtou</t>
  </si>
  <si>
    <t>Fourès</t>
  </si>
  <si>
    <t>Fousset</t>
  </si>
  <si>
    <t>Foy</t>
  </si>
  <si>
    <t>Foyer</t>
  </si>
  <si>
    <t>FRAIN de LA VILLEGONTIER</t>
  </si>
  <si>
    <t>Fraisseix</t>
  </si>
  <si>
    <t>Framondée</t>
  </si>
  <si>
    <t>Franc</t>
  </si>
  <si>
    <t>France</t>
  </si>
  <si>
    <t>FRANCOIS-MARSAL</t>
  </si>
  <si>
    <t>FRANCOIS-SAINT-MAUR</t>
  </si>
  <si>
    <t>Franconie</t>
  </si>
  <si>
    <t>FRANCOZ</t>
  </si>
  <si>
    <t>Franklin-Bouillon</t>
  </si>
  <si>
    <t>François Émile Krantz</t>
  </si>
  <si>
    <t>François-Albert</t>
  </si>
  <si>
    <t>François-Marsal</t>
  </si>
  <si>
    <t>François-Poncet</t>
  </si>
  <si>
    <t>François</t>
  </si>
  <si>
    <t>Frayssinet</t>
  </si>
  <si>
    <t>FREBAULT</t>
  </si>
  <si>
    <t>Freppel</t>
  </si>
  <si>
    <t>FRERY</t>
  </si>
  <si>
    <t>Frescheville</t>
  </si>
  <si>
    <t>FRESNEAU</t>
  </si>
  <si>
    <t>Frey</t>
  </si>
  <si>
    <t>FREZOUL</t>
  </si>
  <si>
    <t>Friec</t>
  </si>
  <si>
    <t>Fringant</t>
  </si>
  <si>
    <t>FROGET</t>
  </si>
  <si>
    <t>FROGIER de PONLEVOY</t>
  </si>
  <si>
    <t>Froin</t>
  </si>
  <si>
    <t>Froment</t>
  </si>
  <si>
    <t>Frossard</t>
  </si>
  <si>
    <t>Frot</t>
  </si>
  <si>
    <t>Frouin</t>
  </si>
  <si>
    <t>Fruchier</t>
  </si>
  <si>
    <t>Frugier-Puyboyer</t>
  </si>
  <si>
    <t>Frébault</t>
  </si>
  <si>
    <t>Frémicourt</t>
  </si>
  <si>
    <t>Fréry</t>
  </si>
  <si>
    <t>Féau</t>
  </si>
  <si>
    <t>Félix</t>
  </si>
  <si>
    <t>Féraud</t>
  </si>
  <si>
    <t>Férin</t>
  </si>
  <si>
    <t>Féron</t>
  </si>
  <si>
    <t>Février</t>
  </si>
  <si>
    <t>Gabiat</t>
  </si>
  <si>
    <t>Gaborit</t>
  </si>
  <si>
    <t>Gabriel</t>
  </si>
  <si>
    <t>GABRIELLI</t>
  </si>
  <si>
    <t>Gabrielli</t>
  </si>
  <si>
    <t>Gac</t>
  </si>
  <si>
    <t>Gacon</t>
  </si>
  <si>
    <t>Gadaud</t>
  </si>
  <si>
    <t>GAEBELE</t>
  </si>
  <si>
    <t>Gaffier</t>
  </si>
  <si>
    <t>Gagneur</t>
  </si>
  <si>
    <t>Gailhard-Bancel</t>
  </si>
  <si>
    <t>Gaillard</t>
  </si>
  <si>
    <t>Gaillemin</t>
  </si>
  <si>
    <t>GAILLY</t>
  </si>
  <si>
    <t>Galiber</t>
  </si>
  <si>
    <t>Gallet</t>
  </si>
  <si>
    <t>Galley</t>
  </si>
  <si>
    <t>Galli</t>
  </si>
  <si>
    <t>Gallieni</t>
  </si>
  <si>
    <t>GALLINI</t>
  </si>
  <si>
    <t>Gallix</t>
  </si>
  <si>
    <t>Gallois</t>
  </si>
  <si>
    <t>GALLONI d'ISTRIA</t>
  </si>
  <si>
    <t>Gallot</t>
  </si>
  <si>
    <t>Gallou</t>
  </si>
  <si>
    <t>Galmot</t>
  </si>
  <si>
    <t>Galot</t>
  </si>
  <si>
    <t>Galpin</t>
  </si>
  <si>
    <t>Galtier</t>
  </si>
  <si>
    <t>GALUP</t>
  </si>
  <si>
    <t>Galy-Gasparrou</t>
  </si>
  <si>
    <t>Gamard</t>
  </si>
  <si>
    <t>Gambetta</t>
  </si>
  <si>
    <t>Gambon</t>
  </si>
  <si>
    <t>Ganault</t>
  </si>
  <si>
    <t>Ganivet</t>
  </si>
  <si>
    <t>Ganne</t>
  </si>
  <si>
    <t>Garat</t>
  </si>
  <si>
    <t>Garchery</t>
  </si>
  <si>
    <t>Gardey</t>
  </si>
  <si>
    <t>Gardiol</t>
  </si>
  <si>
    <t>Garet</t>
  </si>
  <si>
    <t>Garnier-Bodéléac</t>
  </si>
  <si>
    <t>Garnier</t>
  </si>
  <si>
    <t>GARNIER</t>
  </si>
  <si>
    <t>GARRAN DE BALZAN</t>
  </si>
  <si>
    <t>GARREAU</t>
  </si>
  <si>
    <t>Garrigat</t>
  </si>
  <si>
    <t>GARRIGOU</t>
  </si>
  <si>
    <t>GARRISSON</t>
  </si>
  <si>
    <t>Gasconi</t>
  </si>
  <si>
    <t>Gasnier-Duparc</t>
  </si>
  <si>
    <t>Gasnier</t>
  </si>
  <si>
    <t>Gasparin</t>
  </si>
  <si>
    <t>GASSER</t>
  </si>
  <si>
    <t>GASSIER</t>
  </si>
  <si>
    <t>Gassier</t>
  </si>
  <si>
    <t>GASSIS</t>
  </si>
  <si>
    <t>Gast</t>
  </si>
  <si>
    <t>Gastellier</t>
  </si>
  <si>
    <t>Gasté</t>
  </si>
  <si>
    <t>Gatineau</t>
  </si>
  <si>
    <t>GAUDAIRE</t>
  </si>
  <si>
    <t>GAUDIN de VILLAINE</t>
  </si>
  <si>
    <t>Gaudin</t>
  </si>
  <si>
    <t>GAUDINEAU</t>
  </si>
  <si>
    <t>Gaudy</t>
  </si>
  <si>
    <t>Gaulier</t>
  </si>
  <si>
    <t>GAULTHIER de RUMILLY</t>
  </si>
  <si>
    <t>Gaumet</t>
  </si>
  <si>
    <t>Gaussorgues</t>
  </si>
  <si>
    <t>GAUTHEROT</t>
  </si>
  <si>
    <t>Gauthier de l'Aude</t>
  </si>
  <si>
    <t>GAUTHIER</t>
  </si>
  <si>
    <t>Gautier</t>
  </si>
  <si>
    <t>GAUTIER</t>
  </si>
  <si>
    <t>Gautret</t>
  </si>
  <si>
    <t>GAUTRON</t>
  </si>
  <si>
    <t>Gauvin</t>
  </si>
  <si>
    <t>GAUVIN</t>
  </si>
  <si>
    <t>Gavini</t>
  </si>
  <si>
    <t>Gavoty</t>
  </si>
  <si>
    <t>Gavrian</t>
  </si>
  <si>
    <t>GAY de SAVARY</t>
  </si>
  <si>
    <t>Gay</t>
  </si>
  <si>
    <t>GAY</t>
  </si>
  <si>
    <t>GAYOT</t>
  </si>
  <si>
    <t>Gayraud</t>
  </si>
  <si>
    <t>GAZAGNE</t>
  </si>
  <si>
    <t>GEGAUFF</t>
  </si>
  <si>
    <t>Geistdoerfer</t>
  </si>
  <si>
    <t>Gellié</t>
  </si>
  <si>
    <t>Gellé</t>
  </si>
  <si>
    <t>Gendre</t>
  </si>
  <si>
    <t>Genet</t>
  </si>
  <si>
    <t>GENET</t>
  </si>
  <si>
    <t>Genois</t>
  </si>
  <si>
    <t>GENOUX-PRACHEE</t>
  </si>
  <si>
    <t>Genoux-Prachée</t>
  </si>
  <si>
    <t>Gent</t>
  </si>
  <si>
    <t>GENTIL</t>
  </si>
  <si>
    <t>Gentil</t>
  </si>
  <si>
    <t>GENTILLIEZ</t>
  </si>
  <si>
    <t>Gentin</t>
  </si>
  <si>
    <t>Genty</t>
  </si>
  <si>
    <t>Geoffroy-Saint-Hilaire</t>
  </si>
  <si>
    <t>GEORGE</t>
  </si>
  <si>
    <t>Georges</t>
  </si>
  <si>
    <t>GERARD</t>
  </si>
  <si>
    <t>Gerbay</t>
  </si>
  <si>
    <t>GERBE</t>
  </si>
  <si>
    <t>Gerboud</t>
  </si>
  <si>
    <t>GERENTE</t>
  </si>
  <si>
    <t>Germain-Martin</t>
  </si>
  <si>
    <t>Germain</t>
  </si>
  <si>
    <t>GERMAIN</t>
  </si>
  <si>
    <t>Gervais</t>
  </si>
  <si>
    <t>Gervaize</t>
  </si>
  <si>
    <t>Gerville-Réache</t>
  </si>
  <si>
    <t>Ghesquière</t>
  </si>
  <si>
    <t>Gheusi</t>
  </si>
  <si>
    <t>GIACCOBI</t>
  </si>
  <si>
    <t>Giacobbi</t>
  </si>
  <si>
    <t>GIACOBBI</t>
  </si>
  <si>
    <t>Gianotti</t>
  </si>
  <si>
    <t>Giard</t>
  </si>
  <si>
    <t>Gieuré</t>
  </si>
  <si>
    <t>Gignoux</t>
  </si>
  <si>
    <t>GIGON</t>
  </si>
  <si>
    <t>Giguet</t>
  </si>
  <si>
    <t>GILBERT-BOUCHER</t>
  </si>
  <si>
    <t>Gilbert</t>
  </si>
  <si>
    <t>GILBERT</t>
  </si>
  <si>
    <t>Gillet</t>
  </si>
  <si>
    <t>Gillette-Arimondy</t>
  </si>
  <si>
    <t>Gilliot</t>
  </si>
  <si>
    <t>Gillot</t>
  </si>
  <si>
    <t>Gilly</t>
  </si>
  <si>
    <t>Ginoux-Defermon</t>
  </si>
  <si>
    <t>Giordan</t>
  </si>
  <si>
    <t>Gioux</t>
  </si>
  <si>
    <t>Girard-Madoux</t>
  </si>
  <si>
    <t>Girard</t>
  </si>
  <si>
    <t>Girardin</t>
  </si>
  <si>
    <t>Giraud</t>
  </si>
  <si>
    <t>GIRAUD</t>
  </si>
  <si>
    <t>Giraudoux</t>
  </si>
  <si>
    <t>Girault</t>
  </si>
  <si>
    <t>Giray</t>
  </si>
  <si>
    <t>GIRESSE</t>
  </si>
  <si>
    <t>Girod</t>
  </si>
  <si>
    <t>Girodet</t>
  </si>
  <si>
    <t>GIROT-POUZOL</t>
  </si>
  <si>
    <t>Girot-Pouzol</t>
  </si>
  <si>
    <t>Girou</t>
  </si>
  <si>
    <t>Giroud</t>
  </si>
  <si>
    <t>Glotin</t>
  </si>
  <si>
    <t>Goblet</t>
  </si>
  <si>
    <t>Gobron</t>
  </si>
  <si>
    <t>Godart</t>
  </si>
  <si>
    <t>Godelle</t>
  </si>
  <si>
    <t>Godet</t>
  </si>
  <si>
    <t>Godin</t>
  </si>
  <si>
    <t>GOGUET</t>
  </si>
  <si>
    <t>Goiran</t>
  </si>
  <si>
    <t>Goirand</t>
  </si>
  <si>
    <t>GOMOT</t>
  </si>
  <si>
    <t>Gomot</t>
  </si>
  <si>
    <t>Goniaux</t>
  </si>
  <si>
    <t>Gonnet</t>
  </si>
  <si>
    <t>Gontaut-Biron</t>
  </si>
  <si>
    <t>GORE</t>
  </si>
  <si>
    <t>Gotteron</t>
  </si>
  <si>
    <t>Goude</t>
  </si>
  <si>
    <t>GOUGE</t>
  </si>
  <si>
    <t>Gougeard</t>
  </si>
  <si>
    <t>Gouin</t>
  </si>
  <si>
    <t>Goujat</t>
  </si>
  <si>
    <t>Goujon</t>
  </si>
  <si>
    <t>GOUJON</t>
  </si>
  <si>
    <t>Gounin</t>
  </si>
  <si>
    <t>Gounouilhou</t>
  </si>
  <si>
    <t>Gourd</t>
  </si>
  <si>
    <t>Gourdeau</t>
  </si>
  <si>
    <t>Gourin</t>
  </si>
  <si>
    <t>GOURJU</t>
  </si>
  <si>
    <t>Gourvil</t>
  </si>
  <si>
    <t>Goussot</t>
  </si>
  <si>
    <t>Goust</t>
  </si>
  <si>
    <t>Gout</t>
  </si>
  <si>
    <t>GOUTANT</t>
  </si>
  <si>
    <t>GOUTAY</t>
  </si>
  <si>
    <t>Gouyon</t>
  </si>
  <si>
    <t>Gouyou-Beauchamps</t>
  </si>
  <si>
    <t>Gouzy</t>
  </si>
  <si>
    <t>GOY</t>
  </si>
  <si>
    <t>Goy</t>
  </si>
  <si>
    <t>Goyon</t>
  </si>
  <si>
    <t>GOÜIN</t>
  </si>
  <si>
    <t>Gramond-Lesparre</t>
  </si>
  <si>
    <t>GRAND</t>
  </si>
  <si>
    <t>Grandjean</t>
  </si>
  <si>
    <t>Grandmaison</t>
  </si>
  <si>
    <t>GRANDPERRET</t>
  </si>
  <si>
    <t>Granet</t>
  </si>
  <si>
    <t>Granger</t>
  </si>
  <si>
    <t>GRANIER</t>
  </si>
  <si>
    <t>Gras</t>
  </si>
  <si>
    <t>GRAS</t>
  </si>
  <si>
    <t>Gratien</t>
  </si>
  <si>
    <t>Graux</t>
  </si>
  <si>
    <t>GRAVIN</t>
  </si>
  <si>
    <t>Graziani</t>
  </si>
  <si>
    <t>Graëve</t>
  </si>
  <si>
    <t>Greffulhe</t>
  </si>
  <si>
    <t>Grenier</t>
  </si>
  <si>
    <t>Greppo</t>
  </si>
  <si>
    <t>GRESLEY</t>
  </si>
  <si>
    <t>GREVY</t>
  </si>
  <si>
    <t>GRIFFE</t>
  </si>
  <si>
    <t>Grillon</t>
  </si>
  <si>
    <t>Grimaud</t>
  </si>
  <si>
    <t>Grinda</t>
  </si>
  <si>
    <t>Grisez</t>
  </si>
  <si>
    <t>Grisoni</t>
  </si>
  <si>
    <t>GRIVART</t>
  </si>
  <si>
    <t>Grodet</t>
  </si>
  <si>
    <t>Grollier</t>
  </si>
  <si>
    <t>Gros</t>
  </si>
  <si>
    <t>Grosdidier</t>
  </si>
  <si>
    <t>GROSJEAN</t>
  </si>
  <si>
    <t>Grosjean</t>
  </si>
  <si>
    <t>Groudière</t>
  </si>
  <si>
    <t>Groussau</t>
  </si>
  <si>
    <t>Grousset</t>
  </si>
  <si>
    <t>Groussier</t>
  </si>
  <si>
    <t>Grout</t>
  </si>
  <si>
    <t>Gruet</t>
  </si>
  <si>
    <t>Grumbach</t>
  </si>
  <si>
    <t>Guastavino</t>
  </si>
  <si>
    <t>Guay</t>
  </si>
  <si>
    <t>Guen</t>
  </si>
  <si>
    <t>Gueneau</t>
  </si>
  <si>
    <t>GUERIN</t>
  </si>
  <si>
    <t>Guernier</t>
  </si>
  <si>
    <t>Guernut</t>
  </si>
  <si>
    <t>Guersy</t>
  </si>
  <si>
    <t>Guesde</t>
  </si>
  <si>
    <t>Guesnier</t>
  </si>
  <si>
    <t>Gueydon</t>
  </si>
  <si>
    <t>Guibal</t>
  </si>
  <si>
    <t>Guibert</t>
  </si>
  <si>
    <t>Guichard</t>
  </si>
  <si>
    <t>GUICHARD</t>
  </si>
  <si>
    <t>Guichenné</t>
  </si>
  <si>
    <t>Guieysse</t>
  </si>
  <si>
    <t>GUIFFREY</t>
  </si>
  <si>
    <t>Guignard</t>
  </si>
  <si>
    <t>Guilhaumon</t>
  </si>
  <si>
    <t>GUILHEM</t>
  </si>
  <si>
    <t>Guillain</t>
  </si>
  <si>
    <t>Guillaumat</t>
  </si>
  <si>
    <t>Guillaumou</t>
  </si>
  <si>
    <t>GUILLEMAUT</t>
  </si>
  <si>
    <t>Guillemaut</t>
  </si>
  <si>
    <t>Guillemet</t>
  </si>
  <si>
    <t>Guillemin</t>
  </si>
  <si>
    <t>GUILLEMOT</t>
  </si>
  <si>
    <t>GUILLIER</t>
  </si>
  <si>
    <t>Guillois</t>
  </si>
  <si>
    <t>Guillon</t>
  </si>
  <si>
    <t>Guillot</t>
  </si>
  <si>
    <t>Guilloteaux</t>
  </si>
  <si>
    <t>Guilloutet</t>
  </si>
  <si>
    <t>GUINDEY</t>
  </si>
  <si>
    <t>Guingand</t>
  </si>
  <si>
    <t>GUINOT</t>
  </si>
  <si>
    <t>Guiraud</t>
  </si>
  <si>
    <t>Guislain</t>
  </si>
  <si>
    <t>Guist'Hau</t>
  </si>
  <si>
    <t>Guy</t>
  </si>
  <si>
    <t>Guyard</t>
  </si>
  <si>
    <t>GUYONNET</t>
  </si>
  <si>
    <t>Guyot-Dessaigne</t>
  </si>
  <si>
    <t>GUYOT-LAVALINE</t>
  </si>
  <si>
    <t>Guyot</t>
  </si>
  <si>
    <t>Guéguen</t>
  </si>
  <si>
    <t>Guéneau</t>
  </si>
  <si>
    <t>Guépratte</t>
  </si>
  <si>
    <t>Guérault</t>
  </si>
  <si>
    <t>Guérin</t>
  </si>
  <si>
    <t>Gélis</t>
  </si>
  <si>
    <t>Génébrier</t>
  </si>
  <si>
    <t>Géo-Gérald</t>
  </si>
  <si>
    <t>Gérard-Varet</t>
  </si>
  <si>
    <t>Gérard</t>
  </si>
  <si>
    <t>Gérault-Richard</t>
  </si>
  <si>
    <t>Gérente</t>
  </si>
  <si>
    <t>Gévelot</t>
  </si>
  <si>
    <t>Habert</t>
  </si>
  <si>
    <t>Hachette</t>
  </si>
  <si>
    <t>Hackspill</t>
  </si>
  <si>
    <t>Haentjens</t>
  </si>
  <si>
    <t>Haguenin</t>
  </si>
  <si>
    <t>Hainsselin</t>
  </si>
  <si>
    <t>HALGAN</t>
  </si>
  <si>
    <t>HALLEGUEN</t>
  </si>
  <si>
    <t>Halléguen</t>
  </si>
  <si>
    <t>HALNA DU FRETAY</t>
  </si>
  <si>
    <t>HAMEL</t>
  </si>
  <si>
    <t>HAMELIN</t>
  </si>
  <si>
    <t>Hamille</t>
  </si>
  <si>
    <t>HANNOTIN</t>
  </si>
  <si>
    <t>Hanotaux</t>
  </si>
  <si>
    <t>HARENT</t>
  </si>
  <si>
    <t>Harispe</t>
  </si>
  <si>
    <t>Harriague-Saint-Martin</t>
  </si>
  <si>
    <t>Harter</t>
  </si>
  <si>
    <t>Hartmann</t>
  </si>
  <si>
    <t>Haudos</t>
  </si>
  <si>
    <t>Haudricourt</t>
  </si>
  <si>
    <t>Hauet</t>
  </si>
  <si>
    <t>HAUGOUMAR DES PORTES</t>
  </si>
  <si>
    <t>Haulon</t>
  </si>
  <si>
    <t>Hauss</t>
  </si>
  <si>
    <t>Haussmann</t>
  </si>
  <si>
    <t>HAYAUX</t>
  </si>
  <si>
    <t>Hayez</t>
  </si>
  <si>
    <t>Haynaut</t>
  </si>
  <si>
    <t>HEBRARD</t>
  </si>
  <si>
    <t>HELMER</t>
  </si>
  <si>
    <t>HEMON</t>
  </si>
  <si>
    <t>Hennard</t>
  </si>
  <si>
    <t>Hennessy</t>
  </si>
  <si>
    <t>Henriet</t>
  </si>
  <si>
    <t>Henrion</t>
  </si>
  <si>
    <t>Henriot</t>
  </si>
  <si>
    <t>Henrique-Duluc</t>
  </si>
  <si>
    <t>Henry-Haye</t>
  </si>
  <si>
    <t>Henry</t>
  </si>
  <si>
    <t>Herbecq</t>
  </si>
  <si>
    <t>Herbet</t>
  </si>
  <si>
    <t>Hercé</t>
  </si>
  <si>
    <t>HERISSON</t>
  </si>
  <si>
    <t>Hermabessière</t>
  </si>
  <si>
    <t>Hermary</t>
  </si>
  <si>
    <t>HEROLD</t>
  </si>
  <si>
    <t>Herriot</t>
  </si>
  <si>
    <t>HERVEY</t>
  </si>
  <si>
    <t>Hervieu</t>
  </si>
  <si>
    <t>Hervoches</t>
  </si>
  <si>
    <t>HERY</t>
  </si>
  <si>
    <t>Hesse</t>
  </si>
  <si>
    <t>Heurtaux</t>
  </si>
  <si>
    <t>Heuzey</t>
  </si>
  <si>
    <t>Heuzé</t>
  </si>
  <si>
    <t>Hillion</t>
  </si>
  <si>
    <t>Hiroux</t>
  </si>
  <si>
    <t>HIRSCHAUER</t>
  </si>
  <si>
    <t>Holtz</t>
  </si>
  <si>
    <t>Honnorat</t>
  </si>
  <si>
    <t>HONNORE</t>
  </si>
  <si>
    <t>Horteur</t>
  </si>
  <si>
    <t>Houbé</t>
  </si>
  <si>
    <t>Houdaille</t>
  </si>
  <si>
    <t>Hovelacque</t>
  </si>
  <si>
    <t>Hovius</t>
  </si>
  <si>
    <t>Hubbard</t>
  </si>
  <si>
    <t>Hubert</t>
  </si>
  <si>
    <t>Hucher</t>
  </si>
  <si>
    <t>Hude</t>
  </si>
  <si>
    <t>Hueber</t>
  </si>
  <si>
    <t>HUGO</t>
  </si>
  <si>
    <t>Hugon</t>
  </si>
  <si>
    <t>Hugot-Derville</t>
  </si>
  <si>
    <t>Hugot</t>
  </si>
  <si>
    <t>Hugues</t>
  </si>
  <si>
    <t>HUGUET</t>
  </si>
  <si>
    <t>Huguet</t>
  </si>
  <si>
    <t>Hulin</t>
  </si>
  <si>
    <t>Humbert</t>
  </si>
  <si>
    <t>HUMBLOT</t>
  </si>
  <si>
    <t>HUON DE PENANSTER</t>
  </si>
  <si>
    <t>Hurard</t>
  </si>
  <si>
    <t>Hussel</t>
  </si>
  <si>
    <t>Hymans</t>
  </si>
  <si>
    <t>Hébert</t>
  </si>
  <si>
    <t>Héliès</t>
  </si>
  <si>
    <t>Hémard</t>
  </si>
  <si>
    <t>Hémon</t>
  </si>
  <si>
    <t>Héral</t>
  </si>
  <si>
    <t>Hérard</t>
  </si>
  <si>
    <t>Héraud</t>
  </si>
  <si>
    <t>Hérault</t>
  </si>
  <si>
    <t>Hérisson</t>
  </si>
  <si>
    <t>Hérissé</t>
  </si>
  <si>
    <t>Héritier</t>
  </si>
  <si>
    <t>Hérédia</t>
  </si>
  <si>
    <t>Ignace</t>
  </si>
  <si>
    <t>IMBART DE LA TOUR</t>
  </si>
  <si>
    <t>Imbert</t>
  </si>
  <si>
    <t>Inghels</t>
  </si>
  <si>
    <t>Inizan</t>
  </si>
  <si>
    <t>ISAAC</t>
  </si>
  <si>
    <t>Isaac</t>
  </si>
  <si>
    <t>Isambard</t>
  </si>
  <si>
    <t>Isambert</t>
  </si>
  <si>
    <t>Isnard</t>
  </si>
  <si>
    <t>Isoard</t>
  </si>
  <si>
    <t>ISRAEL</t>
  </si>
  <si>
    <t>Israël</t>
  </si>
  <si>
    <t>ISSARTIER</t>
  </si>
  <si>
    <t>Iung</t>
  </si>
  <si>
    <t>Izard</t>
  </si>
  <si>
    <t>Jacob</t>
  </si>
  <si>
    <t>Jacot</t>
  </si>
  <si>
    <t>Jacoulot</t>
  </si>
  <si>
    <t>Jacquemart</t>
  </si>
  <si>
    <t>Jacquemin</t>
  </si>
  <si>
    <t>JACQUES-PALOTTE</t>
  </si>
  <si>
    <t>Jacques</t>
  </si>
  <si>
    <t>JACQUES</t>
  </si>
  <si>
    <t>Jacquey</t>
  </si>
  <si>
    <t>Jacquier</t>
  </si>
  <si>
    <t>Jacquinot</t>
  </si>
  <si>
    <t>Jacquy</t>
  </si>
  <si>
    <t>Jadé</t>
  </si>
  <si>
    <t>Jaeger</t>
  </si>
  <si>
    <t>Jaluzot</t>
  </si>
  <si>
    <t>Jamais</t>
  </si>
  <si>
    <t>Jametel</t>
  </si>
  <si>
    <t>JAMIN</t>
  </si>
  <si>
    <t>Janet</t>
  </si>
  <si>
    <t>Janin</t>
  </si>
  <si>
    <t>Jannin</t>
  </si>
  <si>
    <t>Janzé</t>
  </si>
  <si>
    <t>Jaouen</t>
  </si>
  <si>
    <t>JAPY</t>
  </si>
  <si>
    <t>Jardel</t>
  </si>
  <si>
    <t>Jardillier</t>
  </si>
  <si>
    <t>Jaubert</t>
  </si>
  <si>
    <t>JAUREGUIBERRY</t>
  </si>
  <si>
    <t>JAURES</t>
  </si>
  <si>
    <t>Jaurgain</t>
  </si>
  <si>
    <t>Jaurès</t>
  </si>
  <si>
    <t>Jauréguiberry</t>
  </si>
  <si>
    <t>Javal</t>
  </si>
  <si>
    <t>Jean-François</t>
  </si>
  <si>
    <t>Jean</t>
  </si>
  <si>
    <t>Jeanneney</t>
  </si>
  <si>
    <t>Jeantet</t>
  </si>
  <si>
    <t>Jehanin</t>
  </si>
  <si>
    <t>JENOUVRIER</t>
  </si>
  <si>
    <t>JOBARD</t>
  </si>
  <si>
    <t>Jobert</t>
  </si>
  <si>
    <t>Jobez</t>
  </si>
  <si>
    <t>Joffrin</t>
  </si>
  <si>
    <t>Joigneaux</t>
  </si>
  <si>
    <t>Join-Lambert</t>
  </si>
  <si>
    <t>Jolibois</t>
  </si>
  <si>
    <t>Joliot-Curie</t>
  </si>
  <si>
    <t>Joly</t>
  </si>
  <si>
    <t>Jonglez</t>
  </si>
  <si>
    <t>Jonnart</t>
  </si>
  <si>
    <t>Josse</t>
  </si>
  <si>
    <t>JOSSOT</t>
  </si>
  <si>
    <t>Jouancoux</t>
  </si>
  <si>
    <t>Jouart</t>
  </si>
  <si>
    <t>JOUBERT-BONNAIRE</t>
  </si>
  <si>
    <t>Joubert-Peyrot</t>
  </si>
  <si>
    <t>Joubert</t>
  </si>
  <si>
    <t>Jouffrault</t>
  </si>
  <si>
    <t>Jouffray</t>
  </si>
  <si>
    <t>Jouhannet</t>
  </si>
  <si>
    <t>JOUIN</t>
  </si>
  <si>
    <t>JOUIS</t>
  </si>
  <si>
    <t>Jourdain</t>
  </si>
  <si>
    <t>Jourdan</t>
  </si>
  <si>
    <t>Jourde</t>
  </si>
  <si>
    <t>Journault</t>
  </si>
  <si>
    <t>Jousselin</t>
  </si>
  <si>
    <t>Jouve</t>
  </si>
  <si>
    <t>Jouvencel</t>
  </si>
  <si>
    <t>JOUVENEL DES URSINS</t>
  </si>
  <si>
    <t>Jovelet</t>
  </si>
  <si>
    <t>Joxé</t>
  </si>
  <si>
    <t>Joyeux-Laffuie</t>
  </si>
  <si>
    <t>Judet</t>
  </si>
  <si>
    <t>Jugy</t>
  </si>
  <si>
    <t>Juigné</t>
  </si>
  <si>
    <t>Jules-Julien</t>
  </si>
  <si>
    <t>Jullien</t>
  </si>
  <si>
    <t>JUMEAU</t>
  </si>
  <si>
    <t>Jumel</t>
  </si>
  <si>
    <t>Jurie-Joly</t>
  </si>
  <si>
    <t>Keller</t>
  </si>
  <si>
    <t>Kelsch</t>
  </si>
  <si>
    <t>Kempf</t>
  </si>
  <si>
    <t>Kergariou</t>
  </si>
  <si>
    <t>Kergorlay</t>
  </si>
  <si>
    <t>Kerguézec</t>
  </si>
  <si>
    <t>Kerjégu</t>
  </si>
  <si>
    <t>Kermenguy</t>
  </si>
  <si>
    <t>Kernier</t>
  </si>
  <si>
    <t>Kersauson-Vieux-Chatel</t>
  </si>
  <si>
    <t>Kervenoaël</t>
  </si>
  <si>
    <t>KIENER</t>
  </si>
  <si>
    <t>Klotz</t>
  </si>
  <si>
    <t>KNIGHT</t>
  </si>
  <si>
    <t>Koechlin-Schwartz</t>
  </si>
  <si>
    <t>KOLB-BERNARD</t>
  </si>
  <si>
    <t>KRANTZ</t>
  </si>
  <si>
    <t>Krantz</t>
  </si>
  <si>
    <t>Krauss</t>
  </si>
  <si>
    <t>Kéranflec'H-Kernezné</t>
  </si>
  <si>
    <t>Kérillis</t>
  </si>
  <si>
    <t>Kérouartz</t>
  </si>
  <si>
    <t>Kéroüartz</t>
  </si>
  <si>
    <t>l'Aigle</t>
  </si>
  <si>
    <t>l'Estourbeillon</t>
  </si>
  <si>
    <t>l'Hopiteau</t>
  </si>
  <si>
    <t>l'Hévéder</t>
  </si>
  <si>
    <t>LA CAZE</t>
  </si>
  <si>
    <t>La Chambre</t>
  </si>
  <si>
    <t>Labach</t>
  </si>
  <si>
    <t>Labarthe</t>
  </si>
  <si>
    <t>Labat</t>
  </si>
  <si>
    <t>Labatut</t>
  </si>
  <si>
    <t>LABBE</t>
  </si>
  <si>
    <t>Labes</t>
  </si>
  <si>
    <t>LABICHE</t>
  </si>
  <si>
    <t>Labitte</t>
  </si>
  <si>
    <t>Laborde-Noguez</t>
  </si>
  <si>
    <t>LABORDERE</t>
  </si>
  <si>
    <t>Labordère</t>
  </si>
  <si>
    <t>Labori</t>
  </si>
  <si>
    <t>LABOULBENE</t>
  </si>
  <si>
    <t>Labroue</t>
  </si>
  <si>
    <t>Labrousse</t>
  </si>
  <si>
    <t>LABROUSSE</t>
  </si>
  <si>
    <t>Labussière</t>
  </si>
  <si>
    <t>Labuze</t>
  </si>
  <si>
    <t>LACAVE-LAPLAGNE</t>
  </si>
  <si>
    <t>Lacave-Laplagne</t>
  </si>
  <si>
    <t>Lacaze</t>
  </si>
  <si>
    <t>Lachal</t>
  </si>
  <si>
    <t>Lachaud</t>
  </si>
  <si>
    <t>Lachize</t>
  </si>
  <si>
    <t>Lachièze</t>
  </si>
  <si>
    <t>LACOMBE</t>
  </si>
  <si>
    <t>Lacombe</t>
  </si>
  <si>
    <t>LACOMME</t>
  </si>
  <si>
    <t>Lacore</t>
  </si>
  <si>
    <t>Lacotte</t>
  </si>
  <si>
    <t>Lacour</t>
  </si>
  <si>
    <t>Lacourt</t>
  </si>
  <si>
    <t>Lacretelle</t>
  </si>
  <si>
    <t>Lacroix</t>
  </si>
  <si>
    <t>LACROIX</t>
  </si>
  <si>
    <t>Lacôte</t>
  </si>
  <si>
    <t>LADES-GOUT</t>
  </si>
  <si>
    <t>Ladoucette</t>
  </si>
  <si>
    <t>Lafagette</t>
  </si>
  <si>
    <t>Lafarge</t>
  </si>
  <si>
    <t>Lafargue</t>
  </si>
  <si>
    <t>Lafaye</t>
  </si>
  <si>
    <t>Lafferre</t>
  </si>
  <si>
    <t>Laffon</t>
  </si>
  <si>
    <t>Laffont</t>
  </si>
  <si>
    <t>LAFOND DE SAINT-MUR</t>
  </si>
  <si>
    <t>Lafont</t>
  </si>
  <si>
    <t>LAGACHE</t>
  </si>
  <si>
    <t>Lagasse</t>
  </si>
  <si>
    <t>LAGET</t>
  </si>
  <si>
    <t>Lagnel</t>
  </si>
  <si>
    <t>Lagorsse</t>
  </si>
  <si>
    <t>Lagrange</t>
  </si>
  <si>
    <t>Lagrosillière</t>
  </si>
  <si>
    <t>Laguerre</t>
  </si>
  <si>
    <t>Laine</t>
  </si>
  <si>
    <t>Lairolle</t>
  </si>
  <si>
    <t>Laisant</t>
  </si>
  <si>
    <t>Lajarrige</t>
  </si>
  <si>
    <t>Lajoannenque</t>
  </si>
  <si>
    <t>Lalande</t>
  </si>
  <si>
    <t>LALANNE</t>
  </si>
  <si>
    <t>Lalanne</t>
  </si>
  <si>
    <t>Lallemant</t>
  </si>
  <si>
    <t>Laloge</t>
  </si>
  <si>
    <t>Lalou</t>
  </si>
  <si>
    <t>Lamarzelle</t>
  </si>
  <si>
    <t>Lamazière</t>
  </si>
  <si>
    <t>Lamazou-Betbeder</t>
  </si>
  <si>
    <t>LAMBERT DE SAINTE-CROIX</t>
  </si>
  <si>
    <t>LAMBERT</t>
  </si>
  <si>
    <t>Lambert</t>
  </si>
  <si>
    <t>Lamberterie</t>
  </si>
  <si>
    <t>Lamendin</t>
  </si>
  <si>
    <t>LAMORTE</t>
  </si>
  <si>
    <t>Lamothe-Pradelle</t>
  </si>
  <si>
    <t>Lamoureux</t>
  </si>
  <si>
    <t>Lamy</t>
  </si>
  <si>
    <t>Lancien</t>
  </si>
  <si>
    <t>Landos</t>
  </si>
  <si>
    <t>LANDRODIE</t>
  </si>
  <si>
    <t>Landry</t>
  </si>
  <si>
    <t>Lanel</t>
  </si>
  <si>
    <t>Lanessan</t>
  </si>
  <si>
    <t>Langlais</t>
  </si>
  <si>
    <t>Langlet</t>
  </si>
  <si>
    <t>LANGLOIS-MEURINNE</t>
  </si>
  <si>
    <t>Langlois</t>
  </si>
  <si>
    <t>LANGLOIS</t>
  </si>
  <si>
    <t>Laniel</t>
  </si>
  <si>
    <t>Lanjuinais</t>
  </si>
  <si>
    <t>Lannelongue</t>
  </si>
  <si>
    <t>LAPORTE-BISQUIT</t>
  </si>
  <si>
    <t>LAPORTE</t>
  </si>
  <si>
    <t>Laporte</t>
  </si>
  <si>
    <t>Laquière</t>
  </si>
  <si>
    <t>Lardier</t>
  </si>
  <si>
    <t>Lareinty</t>
  </si>
  <si>
    <t>LARERE</t>
  </si>
  <si>
    <t>Largentaye</t>
  </si>
  <si>
    <t>Largier</t>
  </si>
  <si>
    <t>Lariboisière</t>
  </si>
  <si>
    <t>Laroche-Joubert</t>
  </si>
  <si>
    <t>LAROCHE</t>
  </si>
  <si>
    <t>Laroche</t>
  </si>
  <si>
    <t>Laroze</t>
  </si>
  <si>
    <t>Larquier</t>
  </si>
  <si>
    <t>Larsan</t>
  </si>
  <si>
    <t>Larère</t>
  </si>
  <si>
    <t>Lasbaysses</t>
  </si>
  <si>
    <t>Lascombes</t>
  </si>
  <si>
    <t>Lasies</t>
  </si>
  <si>
    <t>Lassalle</t>
  </si>
  <si>
    <t>Lasserre</t>
  </si>
  <si>
    <t>LASTEYRIE DU SAILLANT</t>
  </si>
  <si>
    <t>Lastours</t>
  </si>
  <si>
    <t>LATAPPY</t>
  </si>
  <si>
    <t>LATERRADE</t>
  </si>
  <si>
    <t>Latour</t>
  </si>
  <si>
    <t>Latrade</t>
  </si>
  <si>
    <t>LAUBRY</t>
  </si>
  <si>
    <t>Lauche</t>
  </si>
  <si>
    <t>Laudier</t>
  </si>
  <si>
    <t>Laumond</t>
  </si>
  <si>
    <t>Launay</t>
  </si>
  <si>
    <t>Laur</t>
  </si>
  <si>
    <t>Lauraine</t>
  </si>
  <si>
    <t>Laurens-Castelet</t>
  </si>
  <si>
    <t>LAURENS</t>
  </si>
  <si>
    <t>Laurens</t>
  </si>
  <si>
    <t>LAURENT-PICHAT</t>
  </si>
  <si>
    <t>Laurent</t>
  </si>
  <si>
    <t>Laurençon</t>
  </si>
  <si>
    <t>Lautier</t>
  </si>
  <si>
    <t>LAUTIER</t>
  </si>
  <si>
    <t>Lauvray</t>
  </si>
  <si>
    <t>Laval</t>
  </si>
  <si>
    <t>LAVALLEY</t>
  </si>
  <si>
    <t>Lavau</t>
  </si>
  <si>
    <t>Lavaud</t>
  </si>
  <si>
    <t>Lavergne</t>
  </si>
  <si>
    <t>LAVERGNE</t>
  </si>
  <si>
    <t>LAVERTUJON</t>
  </si>
  <si>
    <t>Lavertujon</t>
  </si>
  <si>
    <t>Laville</t>
  </si>
  <si>
    <t>Lavoinne</t>
  </si>
  <si>
    <t>Lavrignais</t>
  </si>
  <si>
    <t>Lavy</t>
  </si>
  <si>
    <t>LE BAIL</t>
  </si>
  <si>
    <t>LE BARILLIER</t>
  </si>
  <si>
    <t>LE BASTARD</t>
  </si>
  <si>
    <t>LE BLOND</t>
  </si>
  <si>
    <t>LE BRETON</t>
  </si>
  <si>
    <t>LE CHERBONNIER</t>
  </si>
  <si>
    <t>Le Cherpy</t>
  </si>
  <si>
    <t>LE CHEVALIER</t>
  </si>
  <si>
    <t>LE COUR-GRANDMAISON</t>
  </si>
  <si>
    <t>Le Cour-Grandmaison</t>
  </si>
  <si>
    <t>Le Gorgeu</t>
  </si>
  <si>
    <t>LE GUAY</t>
  </si>
  <si>
    <t>LE GUEN</t>
  </si>
  <si>
    <t>LE HARS</t>
  </si>
  <si>
    <t>LE HERISSE</t>
  </si>
  <si>
    <t>LE JEUNE</t>
  </si>
  <si>
    <t>LE LOUEDEC</t>
  </si>
  <si>
    <t>LE MOIGNIC</t>
  </si>
  <si>
    <t>LE MONNIER</t>
  </si>
  <si>
    <t>LE PELLETIER</t>
  </si>
  <si>
    <t>LE PLAY</t>
  </si>
  <si>
    <t>LE PROVOST DE LAUNAY</t>
  </si>
  <si>
    <t>LE ROUX</t>
  </si>
  <si>
    <t>LE ROYER</t>
  </si>
  <si>
    <t>LE TROADEC</t>
  </si>
  <si>
    <t>Le Trocquer</t>
  </si>
  <si>
    <t>Lebas</t>
  </si>
  <si>
    <t>Lebaudy</t>
  </si>
  <si>
    <t>Lebel</t>
  </si>
  <si>
    <t>LEBERT</t>
  </si>
  <si>
    <t>Lebey</t>
  </si>
  <si>
    <t>Leblanc</t>
  </si>
  <si>
    <t>Leblond</t>
  </si>
  <si>
    <t>Leboeuf</t>
  </si>
  <si>
    <t>Lebon</t>
  </si>
  <si>
    <t>Lebret</t>
  </si>
  <si>
    <t>Lebrun</t>
  </si>
  <si>
    <t>Lecacheux</t>
  </si>
  <si>
    <t>Lecelles</t>
  </si>
  <si>
    <t>Lechevallier</t>
  </si>
  <si>
    <t>LECLER</t>
  </si>
  <si>
    <t>LECLERC DE JUIGNE</t>
  </si>
  <si>
    <t>LECLERC</t>
  </si>
  <si>
    <t>LECOINTE</t>
  </si>
  <si>
    <t>Lecointe</t>
  </si>
  <si>
    <t>Lecointre</t>
  </si>
  <si>
    <t>Lecomte</t>
  </si>
  <si>
    <t>Leconte</t>
  </si>
  <si>
    <t>Lecourtier</t>
  </si>
  <si>
    <t>LECULIER</t>
  </si>
  <si>
    <t>LEDERLIN</t>
  </si>
  <si>
    <t>Ledieu</t>
  </si>
  <si>
    <t>Ledin</t>
  </si>
  <si>
    <t>Ledoux</t>
  </si>
  <si>
    <t>Lefas</t>
  </si>
  <si>
    <t>LEFEBVRE de LABOULAYE</t>
  </si>
  <si>
    <t>Lefebvre du Prey</t>
  </si>
  <si>
    <t>Lefebvre</t>
  </si>
  <si>
    <t>LEFEVRE</t>
  </si>
  <si>
    <t>Leffet</t>
  </si>
  <si>
    <t>Lefol</t>
  </si>
  <si>
    <t>Lefort</t>
  </si>
  <si>
    <t>Lefoullon</t>
  </si>
  <si>
    <t>LEFRANC</t>
  </si>
  <si>
    <t>Lefèvre-Pontalis</t>
  </si>
  <si>
    <t>Lefèvre</t>
  </si>
  <si>
    <t>Lefébure</t>
  </si>
  <si>
    <t>Legendre</t>
  </si>
  <si>
    <t>Leger</t>
  </si>
  <si>
    <t>Legge</t>
  </si>
  <si>
    <t>Legitimus</t>
  </si>
  <si>
    <t>Leglos</t>
  </si>
  <si>
    <t>Legludic</t>
  </si>
  <si>
    <t>Legoux-Longpré</t>
  </si>
  <si>
    <t>LEGRAND Gery dit</t>
  </si>
  <si>
    <t>Legrand</t>
  </si>
  <si>
    <t>LEGRAND</t>
  </si>
  <si>
    <t>Legras</t>
  </si>
  <si>
    <t>Legros</t>
  </si>
  <si>
    <t>Leguet</t>
  </si>
  <si>
    <t>Legué</t>
  </si>
  <si>
    <t>Lejeune</t>
  </si>
  <si>
    <t>LELIEVRE</t>
  </si>
  <si>
    <t>Lelièvre</t>
  </si>
  <si>
    <t>Lemaire</t>
  </si>
  <si>
    <t>LEMAISTRE</t>
  </si>
  <si>
    <t>LEMARIE</t>
  </si>
  <si>
    <t>Lemasson</t>
  </si>
  <si>
    <t>Lemelle</t>
  </si>
  <si>
    <t>Lemercier</t>
  </si>
  <si>
    <t>LEMERY</t>
  </si>
  <si>
    <t>Lemire</t>
  </si>
  <si>
    <t>Lemoine</t>
  </si>
  <si>
    <t>LEMOINNE</t>
  </si>
  <si>
    <t>Lenain</t>
  </si>
  <si>
    <t>LENEVEU</t>
  </si>
  <si>
    <t>Lengrand</t>
  </si>
  <si>
    <t>Lenient</t>
  </si>
  <si>
    <t>Lenoir</t>
  </si>
  <si>
    <t>LENOËL</t>
  </si>
  <si>
    <t>Lepelletier</t>
  </si>
  <si>
    <t>Lepez</t>
  </si>
  <si>
    <t>LEPORCHE</t>
  </si>
  <si>
    <t>Leporché</t>
  </si>
  <si>
    <t>LEPOUZE</t>
  </si>
  <si>
    <t>Lepouzé</t>
  </si>
  <si>
    <t>Lepère</t>
  </si>
  <si>
    <t>Leredu</t>
  </si>
  <si>
    <t>Lerolle</t>
  </si>
  <si>
    <t>LEROUX</t>
  </si>
  <si>
    <t>Leroy-Beaulieu</t>
  </si>
  <si>
    <t>Leroy</t>
  </si>
  <si>
    <t>LEROY</t>
  </si>
  <si>
    <t>LESACHE</t>
  </si>
  <si>
    <t>Lesaché</t>
  </si>
  <si>
    <t>Lesage</t>
  </si>
  <si>
    <t>Lesesne</t>
  </si>
  <si>
    <t>Lesguillier</t>
  </si>
  <si>
    <t>LESOUEF</t>
  </si>
  <si>
    <t>Lespinay</t>
  </si>
  <si>
    <t>Lesseux</t>
  </si>
  <si>
    <t>Lestapis</t>
  </si>
  <si>
    <t>LESUEUR</t>
  </si>
  <si>
    <t>Letellier</t>
  </si>
  <si>
    <t>Leteurtre</t>
  </si>
  <si>
    <t>Leusse</t>
  </si>
  <si>
    <t>Levasseur</t>
  </si>
  <si>
    <t>Levavasseur</t>
  </si>
  <si>
    <t>Levecque</t>
  </si>
  <si>
    <t>Leveillé</t>
  </si>
  <si>
    <t>Levert</t>
  </si>
  <si>
    <t>Levet</t>
  </si>
  <si>
    <t>Levraud</t>
  </si>
  <si>
    <t>Levrey</t>
  </si>
  <si>
    <t>LEVREY</t>
  </si>
  <si>
    <t>LEVY</t>
  </si>
  <si>
    <t>Lewal</t>
  </si>
  <si>
    <t>Leydet</t>
  </si>
  <si>
    <t>LEYGUE</t>
  </si>
  <si>
    <t>Leygue</t>
  </si>
  <si>
    <t>Leygues</t>
  </si>
  <si>
    <t>Lhomel</t>
  </si>
  <si>
    <t>Lhopiteau</t>
  </si>
  <si>
    <t>Lhoste</t>
  </si>
  <si>
    <t>Liais</t>
  </si>
  <si>
    <t>Liautey</t>
  </si>
  <si>
    <t>LIBERT</t>
  </si>
  <si>
    <t>Lierman</t>
  </si>
  <si>
    <t>Lillaz</t>
  </si>
  <si>
    <t>Limon</t>
  </si>
  <si>
    <t>Limouzain-Laplanche</t>
  </si>
  <si>
    <t>Linard</t>
  </si>
  <si>
    <t>LINTILHAC</t>
  </si>
  <si>
    <t>LINYER</t>
  </si>
  <si>
    <t>Liouville</t>
  </si>
  <si>
    <t>LISBONNE</t>
  </si>
  <si>
    <t>Lisbonne</t>
  </si>
  <si>
    <t>Lissac</t>
  </si>
  <si>
    <t>Lissar</t>
  </si>
  <si>
    <t>LIZOT</t>
  </si>
  <si>
    <t>Lobet</t>
  </si>
  <si>
    <t>Lockroy</t>
  </si>
  <si>
    <t>Locquin</t>
  </si>
  <si>
    <t>Logerot</t>
  </si>
  <si>
    <t>Logerotte</t>
  </si>
  <si>
    <t>Loizillon</t>
  </si>
  <si>
    <t>Lombard</t>
  </si>
  <si>
    <t>Long</t>
  </si>
  <si>
    <t>Longuet</t>
  </si>
  <si>
    <t>Loque</t>
  </si>
  <si>
    <t>Loranchet</t>
  </si>
  <si>
    <t>LORDEREAU</t>
  </si>
  <si>
    <t>Loreau</t>
  </si>
  <si>
    <t>Lorgeril</t>
  </si>
  <si>
    <t>Lorgeré</t>
  </si>
  <si>
    <t>Lorimy</t>
  </si>
  <si>
    <t>Lorin</t>
  </si>
  <si>
    <t>Loriot</t>
  </si>
  <si>
    <t>Lorois</t>
  </si>
  <si>
    <t>Lorthiois</t>
  </si>
  <si>
    <t>Loth</t>
  </si>
  <si>
    <t>Lotz</t>
  </si>
  <si>
    <t>Louart</t>
  </si>
  <si>
    <t>LOUBAT</t>
  </si>
  <si>
    <t>Loubet</t>
  </si>
  <si>
    <t>LOUBET</t>
  </si>
  <si>
    <t>Loucheur</t>
  </si>
  <si>
    <t>Louis-Dreyfus</t>
  </si>
  <si>
    <t>Louis</t>
  </si>
  <si>
    <t>Loulay</t>
  </si>
  <si>
    <t>Loup</t>
  </si>
  <si>
    <t>Louppe</t>
  </si>
  <si>
    <t>Lourties</t>
  </si>
  <si>
    <t>LOURTIES</t>
  </si>
  <si>
    <t>Loustalot</t>
  </si>
  <si>
    <t>Louédec</t>
  </si>
  <si>
    <t>Loyer</t>
  </si>
  <si>
    <t>Lozé</t>
  </si>
  <si>
    <t>Luart</t>
  </si>
  <si>
    <t>Lucas</t>
  </si>
  <si>
    <t>LUCET</t>
  </si>
  <si>
    <t>Ludre-Frolois</t>
  </si>
  <si>
    <t>Ludre</t>
  </si>
  <si>
    <t>Lugol</t>
  </si>
  <si>
    <t>Lupel</t>
  </si>
  <si>
    <t>Luppé</t>
  </si>
  <si>
    <t>Luquet</t>
  </si>
  <si>
    <t>Luquot</t>
  </si>
  <si>
    <t>Lur-Saluces</t>
  </si>
  <si>
    <t>LURO</t>
  </si>
  <si>
    <t>Lyautey</t>
  </si>
  <si>
    <t>Lyonnais</t>
  </si>
  <si>
    <t>Lyrot</t>
  </si>
  <si>
    <t>Léculier</t>
  </si>
  <si>
    <t>Léglise</t>
  </si>
  <si>
    <t>Lémery</t>
  </si>
  <si>
    <t>Léon</t>
  </si>
  <si>
    <t>Léouzon-Le-Duc</t>
  </si>
  <si>
    <t>Lépine</t>
  </si>
  <si>
    <t>Létang</t>
  </si>
  <si>
    <t>Lévis-Mirepoix</t>
  </si>
  <si>
    <t>Lévy-Alphandéry</t>
  </si>
  <si>
    <t>Lévy</t>
  </si>
  <si>
    <t>Lévêque</t>
  </si>
  <si>
    <t>Mac-Adaras</t>
  </si>
  <si>
    <t>Macarez</t>
  </si>
  <si>
    <t>MACE</t>
  </si>
  <si>
    <t>Macherez</t>
  </si>
  <si>
    <t>MACHET</t>
  </si>
  <si>
    <t>Mackau</t>
  </si>
  <si>
    <t>Macouin</t>
  </si>
  <si>
    <t>Madelin</t>
  </si>
  <si>
    <t>MADIGNIER</t>
  </si>
  <si>
    <t>Maginot</t>
  </si>
  <si>
    <t>Magnaud</t>
  </si>
  <si>
    <t>Magne</t>
  </si>
  <si>
    <t>Magniaudé</t>
  </si>
  <si>
    <t>Magnien</t>
  </si>
  <si>
    <t>MAGNIEN</t>
  </si>
  <si>
    <t>MAGNIER</t>
  </si>
  <si>
    <t>Magniez</t>
  </si>
  <si>
    <t>MAGNIN</t>
  </si>
  <si>
    <t>MAGNY</t>
  </si>
  <si>
    <t>Mahagne</t>
  </si>
  <si>
    <t>Mahieu</t>
  </si>
  <si>
    <t>MAHIEU</t>
  </si>
  <si>
    <t>Mahy</t>
  </si>
  <si>
    <t>Mahérie</t>
  </si>
  <si>
    <t>Maigne</t>
  </si>
  <si>
    <t>Maillard</t>
  </si>
  <si>
    <t>MAILLARD</t>
  </si>
  <si>
    <t>Maillé</t>
  </si>
  <si>
    <t>Mairat</t>
  </si>
  <si>
    <t>Maire</t>
  </si>
  <si>
    <t>Maison</t>
  </si>
  <si>
    <t>Malartre</t>
  </si>
  <si>
    <t>Malaspina</t>
  </si>
  <si>
    <t>Malausséna</t>
  </si>
  <si>
    <t>Malavialle</t>
  </si>
  <si>
    <t>MALENS</t>
  </si>
  <si>
    <t>Malet</t>
  </si>
  <si>
    <t>MALEZIEUX</t>
  </si>
  <si>
    <t>Malingre</t>
  </si>
  <si>
    <t>Malizard</t>
  </si>
  <si>
    <t>MALLARME</t>
  </si>
  <si>
    <t>Mallarmé</t>
  </si>
  <si>
    <t>Mallevialle</t>
  </si>
  <si>
    <t>Malric</t>
  </si>
  <si>
    <t>MALSANG</t>
  </si>
  <si>
    <t>Malvy</t>
  </si>
  <si>
    <t>Malzac</t>
  </si>
  <si>
    <t>Malézieux</t>
  </si>
  <si>
    <t>Manaut</t>
  </si>
  <si>
    <t>Manceau</t>
  </si>
  <si>
    <t>Mandel</t>
  </si>
  <si>
    <t>Mandeville</t>
  </si>
  <si>
    <t>MANDO</t>
  </si>
  <si>
    <t>Mando</t>
  </si>
  <si>
    <t>Mandrillon</t>
  </si>
  <si>
    <t>Manent</t>
  </si>
  <si>
    <t>MANGINI</t>
  </si>
  <si>
    <t>Mangon</t>
  </si>
  <si>
    <t>Manus</t>
  </si>
  <si>
    <t>MAQUENNEHEN</t>
  </si>
  <si>
    <t>MARANGET</t>
  </si>
  <si>
    <t>Marcellot</t>
  </si>
  <si>
    <t>MARCHAIS DE LA BERGE</t>
  </si>
  <si>
    <t>Marchais</t>
  </si>
  <si>
    <t>Marchal</t>
  </si>
  <si>
    <t>Marchand</t>
  </si>
  <si>
    <t>Marchandeau</t>
  </si>
  <si>
    <t>Marchegay</t>
  </si>
  <si>
    <t>Marcillat</t>
  </si>
  <si>
    <t>Marcillé</t>
  </si>
  <si>
    <t>Marcombes</t>
  </si>
  <si>
    <t>Marcou</t>
  </si>
  <si>
    <t>Marcère</t>
  </si>
  <si>
    <t>Mare</t>
  </si>
  <si>
    <t>MARET</t>
  </si>
  <si>
    <t>Maret</t>
  </si>
  <si>
    <t>Marfan</t>
  </si>
  <si>
    <t>Margaine</t>
  </si>
  <si>
    <t>Margue</t>
  </si>
  <si>
    <t>Marie</t>
  </si>
  <si>
    <t>Marietton</t>
  </si>
  <si>
    <t>Marin-Quilliard</t>
  </si>
  <si>
    <t>Marin</t>
  </si>
  <si>
    <t>MARION DE FAVERGES</t>
  </si>
  <si>
    <t>Marlaud</t>
  </si>
  <si>
    <t>Marmonier</t>
  </si>
  <si>
    <t>Marmottan</t>
  </si>
  <si>
    <t>MAROGER</t>
  </si>
  <si>
    <t>MAROSELLI</t>
  </si>
  <si>
    <t>Marot</t>
  </si>
  <si>
    <t>Marquet</t>
  </si>
  <si>
    <t>Marquigny</t>
  </si>
  <si>
    <t>MARQUIS</t>
  </si>
  <si>
    <t>Marquiset</t>
  </si>
  <si>
    <t>Marraud</t>
  </si>
  <si>
    <t>Marrot</t>
  </si>
  <si>
    <t>Marrou</t>
  </si>
  <si>
    <t>Marsais</t>
  </si>
  <si>
    <t>MARSOT</t>
  </si>
  <si>
    <t>Marteau</t>
  </si>
  <si>
    <t>MARTEL</t>
  </si>
  <si>
    <t>Martel</t>
  </si>
  <si>
    <t>MARTELL</t>
  </si>
  <si>
    <t>MARTENOT</t>
  </si>
  <si>
    <t>Martimprey</t>
  </si>
  <si>
    <t>MARTIN Félix dit</t>
  </si>
  <si>
    <t>MARTIN-BINACHON</t>
  </si>
  <si>
    <t>Martin-Feuillée</t>
  </si>
  <si>
    <t>MARTIN</t>
  </si>
  <si>
    <t>Martin</t>
  </si>
  <si>
    <t>Martinaud-Déplat</t>
  </si>
  <si>
    <t>Martineau</t>
  </si>
  <si>
    <t>MARTINET</t>
  </si>
  <si>
    <t>Martinière</t>
  </si>
  <si>
    <t>Martinon</t>
  </si>
  <si>
    <t>Marty</t>
  </si>
  <si>
    <t>Maruéjouls</t>
  </si>
  <si>
    <t>Marçais</t>
  </si>
  <si>
    <t>Maréchal</t>
  </si>
  <si>
    <t>Mas</t>
  </si>
  <si>
    <t>Masclanis</t>
  </si>
  <si>
    <t>MASCLE</t>
  </si>
  <si>
    <t>MASCURAUD</t>
  </si>
  <si>
    <t>Massabuau</t>
  </si>
  <si>
    <t>MASSE</t>
  </si>
  <si>
    <t>Masse</t>
  </si>
  <si>
    <t>MASSIET DU BIEST</t>
  </si>
  <si>
    <t>Massimi</t>
  </si>
  <si>
    <t>Massip</t>
  </si>
  <si>
    <t>MASSON DE MORTEFONTAINE</t>
  </si>
  <si>
    <t>Masson</t>
  </si>
  <si>
    <t>Massé</t>
  </si>
  <si>
    <t>Masteau</t>
  </si>
  <si>
    <t>Masure</t>
  </si>
  <si>
    <t>Masurel</t>
  </si>
  <si>
    <t>MATHEY</t>
  </si>
  <si>
    <t>Mathey</t>
  </si>
  <si>
    <t>Mathieu</t>
  </si>
  <si>
    <t>Mathis</t>
  </si>
  <si>
    <t>Mathé</t>
  </si>
  <si>
    <t>Maud'Huy</t>
  </si>
  <si>
    <t>Mauger-Violleau</t>
  </si>
  <si>
    <t>Mauger</t>
  </si>
  <si>
    <t>Mauguin</t>
  </si>
  <si>
    <t>Maujan</t>
  </si>
  <si>
    <t>Maulion</t>
  </si>
  <si>
    <t>Maunoury</t>
  </si>
  <si>
    <t>Maupoil</t>
  </si>
  <si>
    <t>Maure</t>
  </si>
  <si>
    <t>MAUREAU</t>
  </si>
  <si>
    <t>Maurel</t>
  </si>
  <si>
    <t>Maurice-Faure</t>
  </si>
  <si>
    <t>Maurice</t>
  </si>
  <si>
    <t>MAURICE</t>
  </si>
  <si>
    <t>Maurin</t>
  </si>
  <si>
    <t>Maurisson</t>
  </si>
  <si>
    <t>Mauriès</t>
  </si>
  <si>
    <t>Maussabré-Beufvier</t>
  </si>
  <si>
    <t>Mayaud</t>
  </si>
  <si>
    <t>Mayet</t>
  </si>
  <si>
    <t>Maymac</t>
  </si>
  <si>
    <t>MAYRAN</t>
  </si>
  <si>
    <t>Mayéras</t>
  </si>
  <si>
    <t>Mazaud</t>
  </si>
  <si>
    <t>Maze</t>
  </si>
  <si>
    <t>Mazeau</t>
  </si>
  <si>
    <t>Mazerand</t>
  </si>
  <si>
    <t>Mazeron</t>
  </si>
  <si>
    <t>MAZIERE</t>
  </si>
  <si>
    <t>Mazière</t>
  </si>
  <si>
    <t>MAZURIER</t>
  </si>
  <si>
    <t>Mazé</t>
  </si>
  <si>
    <t>Maës</t>
  </si>
  <si>
    <t>Maître</t>
  </si>
  <si>
    <t>Meck</t>
  </si>
  <si>
    <t>MEDECIN</t>
  </si>
  <si>
    <t>Meilhodon</t>
  </si>
  <si>
    <t>MEINADIER</t>
  </si>
  <si>
    <t>MEJAN</t>
  </si>
  <si>
    <t>MELINE</t>
  </si>
  <si>
    <t>Mellenne</t>
  </si>
  <si>
    <t>Melliet</t>
  </si>
  <si>
    <t>Mellot</t>
  </si>
  <si>
    <t>Menant</t>
  </si>
  <si>
    <t>Mendès France</t>
  </si>
  <si>
    <t>Menier</t>
  </si>
  <si>
    <t>Mennesson</t>
  </si>
  <si>
    <t>Menthon</t>
  </si>
  <si>
    <t>Mercier</t>
  </si>
  <si>
    <t>MERIC</t>
  </si>
  <si>
    <t>Merlant</t>
  </si>
  <si>
    <t>Merle</t>
  </si>
  <si>
    <t>Merlet</t>
  </si>
  <si>
    <t>MERLIN</t>
  </si>
  <si>
    <t>Merlin</t>
  </si>
  <si>
    <t>Merlou</t>
  </si>
  <si>
    <t>Mermod</t>
  </si>
  <si>
    <t>Meslier</t>
  </si>
  <si>
    <t>Mesnard</t>
  </si>
  <si>
    <t>Mesnildot</t>
  </si>
  <si>
    <t>Messier</t>
  </si>
  <si>
    <t>Messimy</t>
  </si>
  <si>
    <t>Messner</t>
  </si>
  <si>
    <t>Mestreau</t>
  </si>
  <si>
    <t>Mesureur</t>
  </si>
  <si>
    <t>Meunier-Surcouf</t>
  </si>
  <si>
    <t>Meunier</t>
  </si>
  <si>
    <t>Meyer</t>
  </si>
  <si>
    <t>MEZIERES</t>
  </si>
  <si>
    <t>MICHAL-LADICHERE</t>
  </si>
  <si>
    <t>Michard-Pellissier</t>
  </si>
  <si>
    <t>Michau</t>
  </si>
  <si>
    <t>MICHAUT</t>
  </si>
  <si>
    <t>MICHAUX</t>
  </si>
  <si>
    <t>MICHEL Henri dit</t>
  </si>
  <si>
    <t>MICHEL</t>
  </si>
  <si>
    <t>Michel</t>
  </si>
  <si>
    <t>Michelin</t>
  </si>
  <si>
    <t>Michou</t>
  </si>
  <si>
    <t>Midol</t>
  </si>
  <si>
    <t>Miellet</t>
  </si>
  <si>
    <t>Mignot-Bozérian</t>
  </si>
  <si>
    <t>MILAN</t>
  </si>
  <si>
    <t>Milhaud</t>
  </si>
  <si>
    <t>MILHET-FONTARABIE</t>
  </si>
  <si>
    <t>Milhet</t>
  </si>
  <si>
    <t>Mill</t>
  </si>
  <si>
    <t>Millaud</t>
  </si>
  <si>
    <t>Mille</t>
  </si>
  <si>
    <t>Millerand</t>
  </si>
  <si>
    <t>Millevoye</t>
  </si>
  <si>
    <t>Milliard</t>
  </si>
  <si>
    <t>Milliaux</t>
  </si>
  <si>
    <t>MILLIES-LACROIX</t>
  </si>
  <si>
    <t>Million</t>
  </si>
  <si>
    <t>Milliès-Lacroix</t>
  </si>
  <si>
    <t>Millochau</t>
  </si>
  <si>
    <t>Millot</t>
  </si>
  <si>
    <t>Mingasson</t>
  </si>
  <si>
    <t>Minier</t>
  </si>
  <si>
    <t>Minvielle</t>
  </si>
  <si>
    <t>Miossec</t>
  </si>
  <si>
    <t>Mir</t>
  </si>
  <si>
    <t>Mire</t>
  </si>
  <si>
    <t>MIREAUX</t>
  </si>
  <si>
    <t>Mirman</t>
  </si>
  <si>
    <t>MIROUEL</t>
  </si>
  <si>
    <t>Missoffe</t>
  </si>
  <si>
    <t>Mistler</t>
  </si>
  <si>
    <t>Mistral</t>
  </si>
  <si>
    <t>Mitton</t>
  </si>
  <si>
    <t>Moch</t>
  </si>
  <si>
    <t>Moign</t>
  </si>
  <si>
    <t>Moigne</t>
  </si>
  <si>
    <t>MOINET</t>
  </si>
  <si>
    <t>Molinié</t>
  </si>
  <si>
    <t>Mollard</t>
  </si>
  <si>
    <t>MOLLARD</t>
  </si>
  <si>
    <t>Molle</t>
  </si>
  <si>
    <t>Molènes</t>
  </si>
  <si>
    <t>Moncelle</t>
  </si>
  <si>
    <t>Mondenard</t>
  </si>
  <si>
    <t>Monestier</t>
  </si>
  <si>
    <t>Monfeuillart</t>
  </si>
  <si>
    <t>Monicault</t>
  </si>
  <si>
    <t>MONIER</t>
  </si>
  <si>
    <t>Monis</t>
  </si>
  <si>
    <t>MONJARET de KERJEGU</t>
  </si>
  <si>
    <t>Monjauvis</t>
  </si>
  <si>
    <t>Monmousseau</t>
  </si>
  <si>
    <t>Monnerville</t>
  </si>
  <si>
    <t>MONNET</t>
  </si>
  <si>
    <t>Monnet</t>
  </si>
  <si>
    <t>Monnier</t>
  </si>
  <si>
    <t>MONNIER</t>
  </si>
  <si>
    <t>Monplanet</t>
  </si>
  <si>
    <t>Monprofit</t>
  </si>
  <si>
    <t>Mons</t>
  </si>
  <si>
    <t>MONSACRE</t>
  </si>
  <si>
    <t>MONSSERVIN</t>
  </si>
  <si>
    <t>Monsservin</t>
  </si>
  <si>
    <t>Montagnon</t>
  </si>
  <si>
    <t>Montaigu</t>
  </si>
  <si>
    <t>Montalembert</t>
  </si>
  <si>
    <t>Montané</t>
  </si>
  <si>
    <t>Montaudon</t>
  </si>
  <si>
    <t>Montaut</t>
  </si>
  <si>
    <t>Montebello</t>
  </si>
  <si>
    <t>Monteilhet</t>
  </si>
  <si>
    <t>Monteils</t>
  </si>
  <si>
    <t>MONTENOT</t>
  </si>
  <si>
    <t>Montenot</t>
  </si>
  <si>
    <t>Montera</t>
  </si>
  <si>
    <t>MONTESQUIOU-FEZENSAC</t>
  </si>
  <si>
    <t>Montfort</t>
  </si>
  <si>
    <t>Montgolfier</t>
  </si>
  <si>
    <t>Montigny</t>
  </si>
  <si>
    <t>Montillot</t>
  </si>
  <si>
    <t>Montjau</t>
  </si>
  <si>
    <t>Montjou</t>
  </si>
  <si>
    <t>Montrozier</t>
  </si>
  <si>
    <t>Montsaulnin</t>
  </si>
  <si>
    <t>Montéty</t>
  </si>
  <si>
    <t>MONY</t>
  </si>
  <si>
    <t>Monzie</t>
  </si>
  <si>
    <t>MORAND</t>
  </si>
  <si>
    <t>Morandière</t>
  </si>
  <si>
    <t>Morane</t>
  </si>
  <si>
    <t>Morcrette-Ledieu</t>
  </si>
  <si>
    <t>Moreau</t>
  </si>
  <si>
    <t>MOREL Jean-Baptiste dit</t>
  </si>
  <si>
    <t>Morel</t>
  </si>
  <si>
    <t>MORELLET</t>
  </si>
  <si>
    <t>MORELLI</t>
  </si>
  <si>
    <t>Moret</t>
  </si>
  <si>
    <t>Morey</t>
  </si>
  <si>
    <t>Morillot</t>
  </si>
  <si>
    <t>Morin-Latour</t>
  </si>
  <si>
    <t>Morin</t>
  </si>
  <si>
    <t>Morinaud</t>
  </si>
  <si>
    <t>MORIZET</t>
  </si>
  <si>
    <t>Morlot</t>
  </si>
  <si>
    <t>Moro-Giafferri</t>
  </si>
  <si>
    <t>Moroux</t>
  </si>
  <si>
    <t>Mortier</t>
  </si>
  <si>
    <t>Mortillet</t>
  </si>
  <si>
    <t>Morucci</t>
  </si>
  <si>
    <t>Motte</t>
  </si>
  <si>
    <t>Mottu</t>
  </si>
  <si>
    <t>Mouchel</t>
  </si>
  <si>
    <t>Mougeot</t>
  </si>
  <si>
    <t>Mougin</t>
  </si>
  <si>
    <t>Moulière</t>
  </si>
  <si>
    <t>MOUNIE</t>
  </si>
  <si>
    <t>Mounié</t>
  </si>
  <si>
    <t>Mourer</t>
  </si>
  <si>
    <t>Mouret</t>
  </si>
  <si>
    <t>Mourier</t>
  </si>
  <si>
    <t>Moustier</t>
  </si>
  <si>
    <t>Moutet</t>
  </si>
  <si>
    <t>Moyne</t>
  </si>
  <si>
    <t>Mulac</t>
  </si>
  <si>
    <t>Muller</t>
  </si>
  <si>
    <t>Multedo</t>
  </si>
  <si>
    <t>Mun</t>
  </si>
  <si>
    <t>MUNIER</t>
  </si>
  <si>
    <t>Munier</t>
  </si>
  <si>
    <t>Munin-Bourdin</t>
  </si>
  <si>
    <t>MURACCIOLE</t>
  </si>
  <si>
    <t>Murat</t>
  </si>
  <si>
    <t>MURAT</t>
  </si>
  <si>
    <t>MURET</t>
  </si>
  <si>
    <t>MUSSO</t>
  </si>
  <si>
    <t>Muteau</t>
  </si>
  <si>
    <t>Muzet</t>
  </si>
  <si>
    <t>Myre-Mory</t>
  </si>
  <si>
    <t>Myrens</t>
  </si>
  <si>
    <t>Mège</t>
  </si>
  <si>
    <t>Médecin</t>
  </si>
  <si>
    <t>Mélin</t>
  </si>
  <si>
    <t>Méline</t>
  </si>
  <si>
    <t>Ménard-Dorian</t>
  </si>
  <si>
    <t>Ménard</t>
  </si>
  <si>
    <t>Ménil</t>
  </si>
  <si>
    <t>Mény</t>
  </si>
  <si>
    <t>Méquillet</t>
  </si>
  <si>
    <t>Mérillon</t>
  </si>
  <si>
    <t>Méritan</t>
  </si>
  <si>
    <t>Métayer</t>
  </si>
  <si>
    <t>Métin</t>
  </si>
  <si>
    <t>Mézières</t>
  </si>
  <si>
    <t>Nadaillac</t>
  </si>
  <si>
    <t>Nadaud</t>
  </si>
  <si>
    <t>Nader</t>
  </si>
  <si>
    <t>Nadi</t>
  </si>
  <si>
    <t>Nail</t>
  </si>
  <si>
    <t>Naples</t>
  </si>
  <si>
    <t>Naquet</t>
  </si>
  <si>
    <t>Narbonne</t>
  </si>
  <si>
    <t>Narçay</t>
  </si>
  <si>
    <t>Nast</t>
  </si>
  <si>
    <t>NAUDIN</t>
  </si>
  <si>
    <t>Navarre</t>
  </si>
  <si>
    <t>Nectoux</t>
  </si>
  <si>
    <t>NEGRE</t>
  </si>
  <si>
    <t>NERON</t>
  </si>
  <si>
    <t>NEUVILLE</t>
  </si>
  <si>
    <t>Neveux</t>
  </si>
  <si>
    <t>Neyrand</t>
  </si>
  <si>
    <t>Neyret</t>
  </si>
  <si>
    <t>Nibelle</t>
  </si>
  <si>
    <t>Nicod</t>
  </si>
  <si>
    <t>Nicolas</t>
  </si>
  <si>
    <t>NICOLAS</t>
  </si>
  <si>
    <t>Nicolle</t>
  </si>
  <si>
    <t>Nicollet</t>
  </si>
  <si>
    <t>Niel</t>
  </si>
  <si>
    <t>NINARD</t>
  </si>
  <si>
    <t>NIOCHE</t>
  </si>
  <si>
    <t>Niveaux</t>
  </si>
  <si>
    <t>Nivert</t>
  </si>
  <si>
    <t>Noblemaire</t>
  </si>
  <si>
    <t>NOBLOT</t>
  </si>
  <si>
    <t>Noblot</t>
  </si>
  <si>
    <t>Nogaro</t>
  </si>
  <si>
    <t>NOGUES</t>
  </si>
  <si>
    <t>Noguès</t>
  </si>
  <si>
    <t>Noirot</t>
  </si>
  <si>
    <t>Nollet</t>
  </si>
  <si>
    <t>Nomblot</t>
  </si>
  <si>
    <t>Nominé</t>
  </si>
  <si>
    <t>Normand</t>
  </si>
  <si>
    <t>Nortier</t>
  </si>
  <si>
    <t>Noue</t>
  </si>
  <si>
    <t>Nouelle</t>
  </si>
  <si>
    <t>Nouhaud</t>
  </si>
  <si>
    <t>Noulens</t>
  </si>
  <si>
    <t>Noël-Parfait</t>
  </si>
  <si>
    <t>Noël</t>
  </si>
  <si>
    <t>Nérel</t>
  </si>
  <si>
    <t>Néron-Bancel</t>
  </si>
  <si>
    <t>Néron</t>
  </si>
  <si>
    <t>Oberkirch</t>
  </si>
  <si>
    <t>OBISSIER</t>
  </si>
  <si>
    <t>Odilon-Barrot</t>
  </si>
  <si>
    <t>Odin</t>
  </si>
  <si>
    <t>Odoux</t>
  </si>
  <si>
    <t>Offroy-Durieu</t>
  </si>
  <si>
    <t>Ogier</t>
  </si>
  <si>
    <t>Olive</t>
  </si>
  <si>
    <t>Ollier</t>
  </si>
  <si>
    <t>Ollivier</t>
  </si>
  <si>
    <t>Olry</t>
  </si>
  <si>
    <t>Ordinaire</t>
  </si>
  <si>
    <t>Oriol</t>
  </si>
  <si>
    <t>ORIOT</t>
  </si>
  <si>
    <t>Orsat</t>
  </si>
  <si>
    <t>Ory</t>
  </si>
  <si>
    <t>Ossola</t>
  </si>
  <si>
    <t>OSTERMANN</t>
  </si>
  <si>
    <t>OUDET</t>
  </si>
  <si>
    <t>Oudin</t>
  </si>
  <si>
    <t>OURNAC</t>
  </si>
  <si>
    <t>OUTHENIN-CHALANDRE</t>
  </si>
  <si>
    <t>Outrey</t>
  </si>
  <si>
    <t>Outters</t>
  </si>
  <si>
    <t>OUVRE</t>
  </si>
  <si>
    <t>OUVRIER</t>
  </si>
  <si>
    <t>Ouvré</t>
  </si>
  <si>
    <t>Ozun</t>
  </si>
  <si>
    <t>Pacaud</t>
  </si>
  <si>
    <t>Paganon</t>
  </si>
  <si>
    <t>Pagès</t>
  </si>
  <si>
    <t>Paillard-Ducléré</t>
  </si>
  <si>
    <t>Paillerets</t>
  </si>
  <si>
    <t>Pain</t>
  </si>
  <si>
    <t>Painlevé</t>
  </si>
  <si>
    <t>Paisant</t>
  </si>
  <si>
    <t>PAJOT</t>
  </si>
  <si>
    <t>Pajot</t>
  </si>
  <si>
    <t>Palix</t>
  </si>
  <si>
    <t>Pally</t>
  </si>
  <si>
    <t>Palmade</t>
  </si>
  <si>
    <t>Pams</t>
  </si>
  <si>
    <t>Papelier</t>
  </si>
  <si>
    <t>Papinaud</t>
  </si>
  <si>
    <t>Papon</t>
  </si>
  <si>
    <t>Paqué</t>
  </si>
  <si>
    <t>Parayre</t>
  </si>
  <si>
    <t>PARENT</t>
  </si>
  <si>
    <t>Parenteau</t>
  </si>
  <si>
    <t>PARIS</t>
  </si>
  <si>
    <t>PARISOT</t>
  </si>
  <si>
    <t>PARISSOT</t>
  </si>
  <si>
    <t>Parmentier</t>
  </si>
  <si>
    <t>Parry</t>
  </si>
  <si>
    <t>Parsy</t>
  </si>
  <si>
    <t>Parvy</t>
  </si>
  <si>
    <t>Parès</t>
  </si>
  <si>
    <t>Pascal</t>
  </si>
  <si>
    <t>Pascaud</t>
  </si>
  <si>
    <t>Pasqual</t>
  </si>
  <si>
    <t>Pasquet</t>
  </si>
  <si>
    <t>Pasquier</t>
  </si>
  <si>
    <t>Passy</t>
  </si>
  <si>
    <t>Pastre</t>
  </si>
  <si>
    <t>Patenôtre-Desnoyers</t>
  </si>
  <si>
    <t>Patenôtre</t>
  </si>
  <si>
    <t>PATIZEL</t>
  </si>
  <si>
    <t>Patureau-Baronnet</t>
  </si>
  <si>
    <t>Patureau-Mirand</t>
  </si>
  <si>
    <t>Paturet</t>
  </si>
  <si>
    <t>Paté</t>
  </si>
  <si>
    <t>Paul-Boncour</t>
  </si>
  <si>
    <t>Paul-Faure</t>
  </si>
  <si>
    <t>PAULIAC</t>
  </si>
  <si>
    <t>PAULIAT</t>
  </si>
  <si>
    <t>Paulin-Méry</t>
  </si>
  <si>
    <t>Paulin</t>
  </si>
  <si>
    <t>PAULMIER</t>
  </si>
  <si>
    <t>Paulmier</t>
  </si>
  <si>
    <t>Pavie</t>
  </si>
  <si>
    <t>Payen</t>
  </si>
  <si>
    <t>Payer</t>
  </si>
  <si>
    <t>Payra</t>
  </si>
  <si>
    <t>Pays</t>
  </si>
  <si>
    <t>PAZAT</t>
  </si>
  <si>
    <t>PEAUDECERF</t>
  </si>
  <si>
    <t>PEDEBIDOU</t>
  </si>
  <si>
    <t>Peignot</t>
  </si>
  <si>
    <t>Peigné</t>
  </si>
  <si>
    <t>Peirotes</t>
  </si>
  <si>
    <t>Peissel</t>
  </si>
  <si>
    <t>Pelisse</t>
  </si>
  <si>
    <t>PELISSE</t>
  </si>
  <si>
    <t>PELISSIER</t>
  </si>
  <si>
    <t>Pellet</t>
  </si>
  <si>
    <t>PELLETAN</t>
  </si>
  <si>
    <t>Pelletan</t>
  </si>
  <si>
    <t>PELLETIER</t>
  </si>
  <si>
    <t>Pellé</t>
  </si>
  <si>
    <t>PENANCIER</t>
  </si>
  <si>
    <t>Penancier</t>
  </si>
  <si>
    <t>PENICAUD</t>
  </si>
  <si>
    <t>Peraldi</t>
  </si>
  <si>
    <t>Perchot</t>
  </si>
  <si>
    <t>PERDRIX</t>
  </si>
  <si>
    <t>PERES</t>
  </si>
  <si>
    <t>PERET</t>
  </si>
  <si>
    <t>Perfetti</t>
  </si>
  <si>
    <t>Perier</t>
  </si>
  <si>
    <t>Perigois</t>
  </si>
  <si>
    <t>Pernollet</t>
  </si>
  <si>
    <t>Pernot</t>
  </si>
  <si>
    <t>PERONNE</t>
  </si>
  <si>
    <t>Perras</t>
  </si>
  <si>
    <t>PERREAL</t>
  </si>
  <si>
    <t>Perreau-Pradier</t>
  </si>
  <si>
    <t>PERREAU</t>
  </si>
  <si>
    <t>Perreau</t>
  </si>
  <si>
    <t>Perrein</t>
  </si>
  <si>
    <t>PERRET</t>
  </si>
  <si>
    <t>PERRIER</t>
  </si>
  <si>
    <t>Perrier</t>
  </si>
  <si>
    <t>Perrin</t>
  </si>
  <si>
    <t>Perrissoud</t>
  </si>
  <si>
    <t>Perroche</t>
  </si>
  <si>
    <t>Perrochel</t>
  </si>
  <si>
    <t>Perrollaz</t>
  </si>
  <si>
    <t>Perronne</t>
  </si>
  <si>
    <t>Perrot</t>
  </si>
  <si>
    <t>Persil</t>
  </si>
  <si>
    <t>Peschaud</t>
  </si>
  <si>
    <t>Pesson</t>
  </si>
  <si>
    <t>Peter</t>
  </si>
  <si>
    <t>PETIT</t>
  </si>
  <si>
    <t>Petit</t>
  </si>
  <si>
    <t>Petitbien</t>
  </si>
  <si>
    <t>Petitfils</t>
  </si>
  <si>
    <t>Petitier</t>
  </si>
  <si>
    <t>PETITJEAN</t>
  </si>
  <si>
    <t>Petitjean</t>
  </si>
  <si>
    <t>Petsche</t>
  </si>
  <si>
    <t>Peulevey</t>
  </si>
  <si>
    <t>Peureux</t>
  </si>
  <si>
    <t>PEYRAT</t>
  </si>
  <si>
    <t>Peyret</t>
  </si>
  <si>
    <t>Peyron</t>
  </si>
  <si>
    <t>Peyronnet</t>
  </si>
  <si>
    <t>PEYROT</t>
  </si>
  <si>
    <t>Peyroux</t>
  </si>
  <si>
    <t>Peyrusse</t>
  </si>
  <si>
    <t>Peytral</t>
  </si>
  <si>
    <t>Pezet</t>
  </si>
  <si>
    <t>PEZIERES</t>
  </si>
  <si>
    <t>Pfleger</t>
  </si>
  <si>
    <t>Philbois</t>
  </si>
  <si>
    <t>PHILIP</t>
  </si>
  <si>
    <t>Philipon</t>
  </si>
  <si>
    <t>PHILIPOT</t>
  </si>
  <si>
    <t>Philippe</t>
  </si>
  <si>
    <t>Philippoteaux</t>
  </si>
  <si>
    <t>PIC-PARIS</t>
  </si>
  <si>
    <t>Pic</t>
  </si>
  <si>
    <t>Picard</t>
  </si>
  <si>
    <t>Pichat</t>
  </si>
  <si>
    <t>Pichery</t>
  </si>
  <si>
    <t>Pichon</t>
  </si>
  <si>
    <t>Picot</t>
  </si>
  <si>
    <t>Picquart</t>
  </si>
  <si>
    <t>Pierangeli</t>
  </si>
  <si>
    <t>Pierre-Alype</t>
  </si>
  <si>
    <t>Pierre-Bloch</t>
  </si>
  <si>
    <t>Pierre-Robert</t>
  </si>
  <si>
    <t>Pierre</t>
  </si>
  <si>
    <t>PIERRIN</t>
  </si>
  <si>
    <t>PIETRI</t>
  </si>
  <si>
    <t>Pietri</t>
  </si>
  <si>
    <t>PIETTRE</t>
  </si>
  <si>
    <t>Pieyre</t>
  </si>
  <si>
    <t>Piger</t>
  </si>
  <si>
    <t>Pilate</t>
  </si>
  <si>
    <t>PIN</t>
  </si>
  <si>
    <t>Pinard</t>
  </si>
  <si>
    <t>Pinault</t>
  </si>
  <si>
    <t>PINAY</t>
  </si>
  <si>
    <t>Pinelli</t>
  </si>
  <si>
    <t>Pins</t>
  </si>
  <si>
    <t>PIOT</t>
  </si>
  <si>
    <t>Piot</t>
  </si>
  <si>
    <t>Piou</t>
  </si>
  <si>
    <t>Piquemal</t>
  </si>
  <si>
    <t>Piton</t>
  </si>
  <si>
    <t>PITTI-FERRANDI</t>
  </si>
  <si>
    <t>Piérard</t>
  </si>
  <si>
    <t>Piétri</t>
  </si>
  <si>
    <t>Plaisance</t>
  </si>
  <si>
    <t>Plaisant</t>
  </si>
  <si>
    <t>Planche</t>
  </si>
  <si>
    <t>Planchenault</t>
  </si>
  <si>
    <t>Planteau</t>
  </si>
  <si>
    <t>PLANTIE</t>
  </si>
  <si>
    <t>Plantié</t>
  </si>
  <si>
    <t>Plard</t>
  </si>
  <si>
    <t>Plazanet</t>
  </si>
  <si>
    <t>Plessier</t>
  </si>
  <si>
    <t>Plet</t>
  </si>
  <si>
    <t>Plichon</t>
  </si>
  <si>
    <t>Plissonnier</t>
  </si>
  <si>
    <t>Plouzané</t>
  </si>
  <si>
    <t>POCHON</t>
  </si>
  <si>
    <t>Pochon</t>
  </si>
  <si>
    <t>Poillot</t>
  </si>
  <si>
    <t>POINCARE</t>
  </si>
  <si>
    <t>Poincaré</t>
  </si>
  <si>
    <t>POINTAIRE</t>
  </si>
  <si>
    <t>POIRRIER</t>
  </si>
  <si>
    <t>POIRSON</t>
  </si>
  <si>
    <t>Poisson</t>
  </si>
  <si>
    <t>Poitou-Duplessy</t>
  </si>
  <si>
    <t>Poittevin</t>
  </si>
  <si>
    <t>Poix</t>
  </si>
  <si>
    <t>Polignac</t>
  </si>
  <si>
    <t>Polimann</t>
  </si>
  <si>
    <t>Pomaret</t>
  </si>
  <si>
    <t>POMEL</t>
  </si>
  <si>
    <t>Pomereu</t>
  </si>
  <si>
    <t>Pommeray</t>
  </si>
  <si>
    <t>Ponard</t>
  </si>
  <si>
    <t>Poncet</t>
  </si>
  <si>
    <t>Poncheville</t>
  </si>
  <si>
    <t>Pons-Tande</t>
  </si>
  <si>
    <t>PONS</t>
  </si>
  <si>
    <t>Ponsot</t>
  </si>
  <si>
    <t>Pontallié</t>
  </si>
  <si>
    <t>Pontbriant</t>
  </si>
  <si>
    <t>PONTEILLE</t>
  </si>
  <si>
    <t>PONTHIER DE CHAMAILLARD</t>
  </si>
  <si>
    <t>Pontlevoy</t>
  </si>
  <si>
    <t>Pontois</t>
  </si>
  <si>
    <t>PORIQUET</t>
  </si>
  <si>
    <t>PORQUIER</t>
  </si>
  <si>
    <t>Porte</t>
  </si>
  <si>
    <t>Porterat</t>
  </si>
  <si>
    <t>PORTEU</t>
  </si>
  <si>
    <t>PORTMANN</t>
  </si>
  <si>
    <t>Possesse</t>
  </si>
  <si>
    <t>POTHUAU</t>
  </si>
  <si>
    <t>POTIE</t>
  </si>
  <si>
    <t>Potié</t>
  </si>
  <si>
    <t>Pottevin</t>
  </si>
  <si>
    <t>Potut</t>
  </si>
  <si>
    <t>Pouchus</t>
  </si>
  <si>
    <t>Poujade</t>
  </si>
  <si>
    <t>Poulet</t>
  </si>
  <si>
    <t>Pouliot</t>
  </si>
  <si>
    <t>Poulié</t>
  </si>
  <si>
    <t>Poullan</t>
  </si>
  <si>
    <t>POULLE</t>
  </si>
  <si>
    <t>Poullen</t>
  </si>
  <si>
    <t>Poulpiquet</t>
  </si>
  <si>
    <t>Poupin</t>
  </si>
  <si>
    <t>Pourteyron</t>
  </si>
  <si>
    <t>Poussineau</t>
  </si>
  <si>
    <t>Poutre</t>
  </si>
  <si>
    <t>POUYER-QUERTIER</t>
  </si>
  <si>
    <t>Pouzet</t>
  </si>
  <si>
    <t>Pouzin</t>
  </si>
  <si>
    <t>Pouët</t>
  </si>
  <si>
    <t>POZZI</t>
  </si>
  <si>
    <t>Pozzi</t>
  </si>
  <si>
    <t>Prache</t>
  </si>
  <si>
    <t>Pradal</t>
  </si>
  <si>
    <t>Pradel</t>
  </si>
  <si>
    <t>Pradet-Balade</t>
  </si>
  <si>
    <t>Pradines</t>
  </si>
  <si>
    <t>Pradon-Vallancy</t>
  </si>
  <si>
    <t>Pradon</t>
  </si>
  <si>
    <t>Prat</t>
  </si>
  <si>
    <t>Prax-Paris</t>
  </si>
  <si>
    <t>Prentout</t>
  </si>
  <si>
    <t>Pressat</t>
  </si>
  <si>
    <t>Pressemane</t>
  </si>
  <si>
    <t>Pressensé</t>
  </si>
  <si>
    <t>PRESSEQ</t>
  </si>
  <si>
    <t>Pressy</t>
  </si>
  <si>
    <t>Prevet</t>
  </si>
  <si>
    <t>Prey</t>
  </si>
  <si>
    <t>Preÿ</t>
  </si>
  <si>
    <t>PRILLIEUX</t>
  </si>
  <si>
    <t>Pringolliet</t>
  </si>
  <si>
    <t>Proal</t>
  </si>
  <si>
    <t>Prost</t>
  </si>
  <si>
    <t>Proust</t>
  </si>
  <si>
    <t>Prouvost</t>
  </si>
  <si>
    <t>PROVOST-DUMARCHAIS</t>
  </si>
  <si>
    <t>Prud'Homme-Havette</t>
  </si>
  <si>
    <t>Prudent-Dervillers</t>
  </si>
  <si>
    <t>Prudhon</t>
  </si>
  <si>
    <t>Prénat</t>
  </si>
  <si>
    <t>Préveraud</t>
  </si>
  <si>
    <t>Puech</t>
  </si>
  <si>
    <t>Puechmaille</t>
  </si>
  <si>
    <t>Pugliesi-Conti</t>
  </si>
  <si>
    <t>Puineuf</t>
  </si>
  <si>
    <t>Puis</t>
  </si>
  <si>
    <t>Pujade</t>
  </si>
  <si>
    <t>PUJES</t>
  </si>
  <si>
    <t>Pujo</t>
  </si>
  <si>
    <t>Puybaudet</t>
  </si>
  <si>
    <t>Pyat</t>
  </si>
  <si>
    <t>Python</t>
  </si>
  <si>
    <t>Pâris</t>
  </si>
  <si>
    <t>Péchadre</t>
  </si>
  <si>
    <t>Pécherot</t>
  </si>
  <si>
    <t>Péchin</t>
  </si>
  <si>
    <t>Pédebidou</t>
  </si>
  <si>
    <t>Pédoya</t>
  </si>
  <si>
    <t>Pélisse</t>
  </si>
  <si>
    <t>Pélissier</t>
  </si>
  <si>
    <t>Pénicaud</t>
  </si>
  <si>
    <t>Pénières</t>
  </si>
  <si>
    <t>Péraudin</t>
  </si>
  <si>
    <t>Péret</t>
  </si>
  <si>
    <t>Péri</t>
  </si>
  <si>
    <t>Périer</t>
  </si>
  <si>
    <t>Périllier</t>
  </si>
  <si>
    <t>Périn</t>
  </si>
  <si>
    <t>Périnard</t>
  </si>
  <si>
    <t>Périvier</t>
  </si>
  <si>
    <t>Péronneau</t>
  </si>
  <si>
    <t>Péronnet</t>
  </si>
  <si>
    <t>Pérès</t>
  </si>
  <si>
    <t>Pétain</t>
  </si>
  <si>
    <t>Pétin</t>
  </si>
  <si>
    <t>Pétrot</t>
  </si>
  <si>
    <t>Pévedic</t>
  </si>
  <si>
    <t>Queinnec</t>
  </si>
  <si>
    <t>Quenette</t>
  </si>
  <si>
    <t>Quesnel</t>
  </si>
  <si>
    <t>Queuille</t>
  </si>
  <si>
    <t>Quilbeuf</t>
  </si>
  <si>
    <t>QUILLIARD</t>
  </si>
  <si>
    <t>Quintaa</t>
  </si>
  <si>
    <t>Rabier</t>
  </si>
  <si>
    <t>Rabouin</t>
  </si>
  <si>
    <t>Raffin-Dugens</t>
  </si>
  <si>
    <t>Ragally</t>
  </si>
  <si>
    <t>Ragheboom</t>
  </si>
  <si>
    <t>Ragot-Blondeau</t>
  </si>
  <si>
    <t>Raiberti</t>
  </si>
  <si>
    <t>Railhac</t>
  </si>
  <si>
    <t>Rainvillers</t>
  </si>
  <si>
    <t>Rajon</t>
  </si>
  <si>
    <t>Ramadier</t>
  </si>
  <si>
    <t>Rambaud</t>
  </si>
  <si>
    <t>RAMBAUD</t>
  </si>
  <si>
    <t>Rambourgt</t>
  </si>
  <si>
    <t>Rameau</t>
  </si>
  <si>
    <t>Rameil</t>
  </si>
  <si>
    <t>Ramel</t>
  </si>
  <si>
    <t>Ramette</t>
  </si>
  <si>
    <t>RAMPON</t>
  </si>
  <si>
    <t>RAMPONT</t>
  </si>
  <si>
    <t>Ranc</t>
  </si>
  <si>
    <t>Ranson</t>
  </si>
  <si>
    <t>RANSON</t>
  </si>
  <si>
    <t>Raoul-Duval</t>
  </si>
  <si>
    <t>RAQUET</t>
  </si>
  <si>
    <t>Raspail</t>
  </si>
  <si>
    <t>Rathier</t>
  </si>
  <si>
    <t>Ratier</t>
  </si>
  <si>
    <t>Rau</t>
  </si>
  <si>
    <t>Raude</t>
  </si>
  <si>
    <t>Rauline</t>
  </si>
  <si>
    <t>Rauzy</t>
  </si>
  <si>
    <t>Ravanat</t>
  </si>
  <si>
    <t>Ravel</t>
  </si>
  <si>
    <t>Ravier</t>
  </si>
  <si>
    <t>Ravisa</t>
  </si>
  <si>
    <t>RAYMOND</t>
  </si>
  <si>
    <t>Raynal</t>
  </si>
  <si>
    <t>Raynaldy</t>
  </si>
  <si>
    <t>Raynaud</t>
  </si>
  <si>
    <t>RAYNAUD</t>
  </si>
  <si>
    <t>Razimbaud</t>
  </si>
  <si>
    <t>REAL</t>
  </si>
  <si>
    <t>Reboul</t>
  </si>
  <si>
    <t>Reboulin</t>
  </si>
  <si>
    <t>Regaud</t>
  </si>
  <si>
    <t>REGISMANSET</t>
  </si>
  <si>
    <t>REGNAULT DE SAVIGNY DE MONCORPS</t>
  </si>
  <si>
    <t>Regnault</t>
  </si>
  <si>
    <t>Regnier</t>
  </si>
  <si>
    <t>REGNIER</t>
  </si>
  <si>
    <t>Reibel</t>
  </si>
  <si>
    <t>Reille-Soult-Dalmatie</t>
  </si>
  <si>
    <t>Reinach</t>
  </si>
  <si>
    <t>Remoiville</t>
  </si>
  <si>
    <t>Renaitour</t>
  </si>
  <si>
    <t>RENARD</t>
  </si>
  <si>
    <t>Renard</t>
  </si>
  <si>
    <t>RENAUD</t>
  </si>
  <si>
    <t>RENAUDAT</t>
  </si>
  <si>
    <t>Renaudel</t>
  </si>
  <si>
    <t>RENAUDOT</t>
  </si>
  <si>
    <t>Renault-Morlière</t>
  </si>
  <si>
    <t>Renault</t>
  </si>
  <si>
    <t>Rendu</t>
  </si>
  <si>
    <t>Renou</t>
  </si>
  <si>
    <t>Renoult</t>
  </si>
  <si>
    <t>René-Boisneuf</t>
  </si>
  <si>
    <t>René-Renoult</t>
  </si>
  <si>
    <t>REPIQUET</t>
  </si>
  <si>
    <t>Reuillet</t>
  </si>
  <si>
    <t>Revault</t>
  </si>
  <si>
    <t>REVEILLAUD</t>
  </si>
  <si>
    <t>Revest</t>
  </si>
  <si>
    <t>REVILLON Michel dit</t>
  </si>
  <si>
    <t>Rey</t>
  </si>
  <si>
    <t>REY</t>
  </si>
  <si>
    <t>Reybert</t>
  </si>
  <si>
    <t>Reymond</t>
  </si>
  <si>
    <t>REYMOND</t>
  </si>
  <si>
    <t>Reymonenq</t>
  </si>
  <si>
    <t>REYNALD</t>
  </si>
  <si>
    <t>REYNAUD</t>
  </si>
  <si>
    <t>Reynaud</t>
  </si>
  <si>
    <t>Reyneau</t>
  </si>
  <si>
    <t>Reynouard</t>
  </si>
  <si>
    <t>Rezé</t>
  </si>
  <si>
    <t>Rhul</t>
  </si>
  <si>
    <t>Riban</t>
  </si>
  <si>
    <t>Riberpray</t>
  </si>
  <si>
    <t>Ribes</t>
  </si>
  <si>
    <t>Ribet</t>
  </si>
  <si>
    <t>Ribeyre</t>
  </si>
  <si>
    <t>RIBIERE</t>
  </si>
  <si>
    <t>Ribière</t>
  </si>
  <si>
    <t>Ribot</t>
  </si>
  <si>
    <t>Riboulerie</t>
  </si>
  <si>
    <t>Ricard</t>
  </si>
  <si>
    <t>Ricci</t>
  </si>
  <si>
    <t>Richard</t>
  </si>
  <si>
    <t>RICHARD</t>
  </si>
  <si>
    <t>RICHAUD</t>
  </si>
  <si>
    <t>Richerand</t>
  </si>
  <si>
    <t>Riché</t>
  </si>
  <si>
    <t>Ricklin</t>
  </si>
  <si>
    <t>Ricolfi</t>
  </si>
  <si>
    <t>Ridouard</t>
  </si>
  <si>
    <t>Rieder</t>
  </si>
  <si>
    <t>Rieunier</t>
  </si>
  <si>
    <t>Rieux</t>
  </si>
  <si>
    <t>Riffaterre</t>
  </si>
  <si>
    <t>RIGAL</t>
  </si>
  <si>
    <t>Rigal</t>
  </si>
  <si>
    <t>Rigaud</t>
  </si>
  <si>
    <t>Rigaut</t>
  </si>
  <si>
    <t>RILLARD DE VERNEUIL</t>
  </si>
  <si>
    <t>Rimbert</t>
  </si>
  <si>
    <t>RINGOT</t>
  </si>
  <si>
    <t>Ringuier</t>
  </si>
  <si>
    <t>Rio</t>
  </si>
  <si>
    <t>Riotteau</t>
  </si>
  <si>
    <t>RIOU</t>
  </si>
  <si>
    <t>Riou</t>
  </si>
  <si>
    <t>Ripert</t>
  </si>
  <si>
    <t>Rispal</t>
  </si>
  <si>
    <t>Riu</t>
  </si>
  <si>
    <t>Rivals</t>
  </si>
  <si>
    <t>Rivaud</t>
  </si>
  <si>
    <t>Rives</t>
  </si>
  <si>
    <t>Rivet</t>
  </si>
  <si>
    <t>RIVIERE</t>
  </si>
  <si>
    <t>Rivière</t>
  </si>
  <si>
    <t>Rivollet</t>
  </si>
  <si>
    <t>Robaglia</t>
  </si>
  <si>
    <t>ROBERT de MASSY</t>
  </si>
  <si>
    <t>ROBERT-DEHAULT</t>
  </si>
  <si>
    <t>Robert-Mitchell</t>
  </si>
  <si>
    <t>Robert</t>
  </si>
  <si>
    <t>ROBERT</t>
  </si>
  <si>
    <t>Robic</t>
  </si>
  <si>
    <t>ROBIN</t>
  </si>
  <si>
    <t>ROBINET de LA SERVE</t>
  </si>
  <si>
    <t>Roblin</t>
  </si>
  <si>
    <t>Rocca-Serra</t>
  </si>
  <si>
    <t>Roch</t>
  </si>
  <si>
    <t>Roche</t>
  </si>
  <si>
    <t>ROCHE</t>
  </si>
  <si>
    <t>Rochefort-Luçay</t>
  </si>
  <si>
    <t>Rochefort</t>
  </si>
  <si>
    <t>Rochejaquelein</t>
  </si>
  <si>
    <t>Rocher</t>
  </si>
  <si>
    <t>Rochereau</t>
  </si>
  <si>
    <t>Rochet</t>
  </si>
  <si>
    <t>Rochethulon</t>
  </si>
  <si>
    <t>Rochette</t>
  </si>
  <si>
    <t>Rodat</t>
  </si>
  <si>
    <t>Roden</t>
  </si>
  <si>
    <t>Rodez-Bénavent</t>
  </si>
  <si>
    <t>Rodhain</t>
  </si>
  <si>
    <t>ROGE</t>
  </si>
  <si>
    <t>Roger-Ballu</t>
  </si>
  <si>
    <t>ROGER-MARVAISE</t>
  </si>
  <si>
    <t>Roger</t>
  </si>
  <si>
    <t>Rogez</t>
  </si>
  <si>
    <t>Rognon</t>
  </si>
  <si>
    <t>Rohan-Chabot</t>
  </si>
  <si>
    <t>ROLAND</t>
  </si>
  <si>
    <t>Roldes</t>
  </si>
  <si>
    <t>ROLLAND</t>
  </si>
  <si>
    <t>Rolland</t>
  </si>
  <si>
    <t>Rollin</t>
  </si>
  <si>
    <t>Romastin</t>
  </si>
  <si>
    <t>Rondeleux</t>
  </si>
  <si>
    <t>RONJAT</t>
  </si>
  <si>
    <t>Rontin</t>
  </si>
  <si>
    <t>ROQUES</t>
  </si>
  <si>
    <t>Roques</t>
  </si>
  <si>
    <t>Roquet</t>
  </si>
  <si>
    <t>Roquette</t>
  </si>
  <si>
    <t>Roret</t>
  </si>
  <si>
    <t>Rosamel</t>
  </si>
  <si>
    <t>Rosanbo</t>
  </si>
  <si>
    <t>Roscoat</t>
  </si>
  <si>
    <t>Rose</t>
  </si>
  <si>
    <t>Roselli-Mollet</t>
  </si>
  <si>
    <t>Rossé</t>
  </si>
  <si>
    <t>Rothschild</t>
  </si>
  <si>
    <t>Rotours</t>
  </si>
  <si>
    <t>Rouanet</t>
  </si>
  <si>
    <t>ROUART</t>
  </si>
  <si>
    <t>Rouby</t>
  </si>
  <si>
    <t>Roudier</t>
  </si>
  <si>
    <t>Rouger</t>
  </si>
  <si>
    <t>Rougier</t>
  </si>
  <si>
    <t>Rougé</t>
  </si>
  <si>
    <t>Rouilly</t>
  </si>
  <si>
    <t>ROULAND</t>
  </si>
  <si>
    <t>Rouland</t>
  </si>
  <si>
    <t>Roulleaux-Dugage</t>
  </si>
  <si>
    <t>Roumagoux</t>
  </si>
  <si>
    <t>Rouquier</t>
  </si>
  <si>
    <t>Roure</t>
  </si>
  <si>
    <t>Rous</t>
  </si>
  <si>
    <t>ROUSE</t>
  </si>
  <si>
    <t>Rousse</t>
  </si>
  <si>
    <t>ROUSSEAU</t>
  </si>
  <si>
    <t>Rousseau</t>
  </si>
  <si>
    <t>ROUSSEL</t>
  </si>
  <si>
    <t>Rousset</t>
  </si>
  <si>
    <t>Roussin</t>
  </si>
  <si>
    <t>Roustan</t>
  </si>
  <si>
    <t>Rousé</t>
  </si>
  <si>
    <t>ROUVIER</t>
  </si>
  <si>
    <t>Rouvier</t>
  </si>
  <si>
    <t>Rouvre</t>
  </si>
  <si>
    <t>Roux-Costadau</t>
  </si>
  <si>
    <t>Roux-Freissineng</t>
  </si>
  <si>
    <t>Roux</t>
  </si>
  <si>
    <t>Rouzaud</t>
  </si>
  <si>
    <t>Rouzic</t>
  </si>
  <si>
    <t>ROY DE LOULAY</t>
  </si>
  <si>
    <t>Roy</t>
  </si>
  <si>
    <t>Royer</t>
  </si>
  <si>
    <t>ROYNEAU</t>
  </si>
  <si>
    <t>Rozet</t>
  </si>
  <si>
    <t>Rozier</t>
  </si>
  <si>
    <t>ROZIER</t>
  </si>
  <si>
    <t>Rozières</t>
  </si>
  <si>
    <t>Ruau</t>
  </si>
  <si>
    <t>Rubillard</t>
  </si>
  <si>
    <t>Rucart</t>
  </si>
  <si>
    <t>Rucklin</t>
  </si>
  <si>
    <t>Rudelle</t>
  </si>
  <si>
    <t>Ruellan</t>
  </si>
  <si>
    <t>RUFFIER</t>
  </si>
  <si>
    <t>Rumillet-Charretier</t>
  </si>
  <si>
    <t>Réal</t>
  </si>
  <si>
    <t>Réaux</t>
  </si>
  <si>
    <t>Récipon</t>
  </si>
  <si>
    <t>Régis</t>
  </si>
  <si>
    <t>Régnier</t>
  </si>
  <si>
    <t>Rémusat</t>
  </si>
  <si>
    <t>Réveillaud</t>
  </si>
  <si>
    <t>Réville</t>
  </si>
  <si>
    <t>Révillon</t>
  </si>
  <si>
    <t>Saba</t>
  </si>
  <si>
    <t>Sabaterie</t>
  </si>
  <si>
    <t>Sabatier</t>
  </si>
  <si>
    <t>Sabiani</t>
  </si>
  <si>
    <t>Sabin</t>
  </si>
  <si>
    <t>Sablonnière</t>
  </si>
  <si>
    <t>Sabouraud</t>
  </si>
  <si>
    <t>Saget</t>
  </si>
  <si>
    <t>Saillant</t>
  </si>
  <si>
    <t>SAILLARD</t>
  </si>
  <si>
    <t>Saillard</t>
  </si>
  <si>
    <t>Sainsère</t>
  </si>
  <si>
    <t>Saint-Aignan</t>
  </si>
  <si>
    <t>Saint-Férreol</t>
  </si>
  <si>
    <t>Saint-Germain</t>
  </si>
  <si>
    <t>Saint-Just</t>
  </si>
  <si>
    <t>Saint-Luc</t>
  </si>
  <si>
    <t>Saint-Martin-Valogne</t>
  </si>
  <si>
    <t>Saint-Martin</t>
  </si>
  <si>
    <t>SAINT-MARTIN</t>
  </si>
  <si>
    <t>Saint-Pol</t>
  </si>
  <si>
    <t>Saint-Prix</t>
  </si>
  <si>
    <t>Saint-Quentin</t>
  </si>
  <si>
    <t>Saint-Romme</t>
  </si>
  <si>
    <t>Saint-Urbain</t>
  </si>
  <si>
    <t>Saint-Venant</t>
  </si>
  <si>
    <t>Saint</t>
  </si>
  <si>
    <t>SAINT</t>
  </si>
  <si>
    <t>Sainte-Croix</t>
  </si>
  <si>
    <t>Saisy</t>
  </si>
  <si>
    <t>Salembier</t>
  </si>
  <si>
    <t>Salengro</t>
  </si>
  <si>
    <t>Salers</t>
  </si>
  <si>
    <t>Salette</t>
  </si>
  <si>
    <t>Salignac-Fénelon</t>
  </si>
  <si>
    <t>Salis</t>
  </si>
  <si>
    <t>Sallard</t>
  </si>
  <si>
    <t>Salles</t>
  </si>
  <si>
    <t>Sallès</t>
  </si>
  <si>
    <t>Salmon</t>
  </si>
  <si>
    <t>SALNEUVE</t>
  </si>
  <si>
    <t>Salomon</t>
  </si>
  <si>
    <t>Samalens</t>
  </si>
  <si>
    <t>Samary</t>
  </si>
  <si>
    <t>SANCET</t>
  </si>
  <si>
    <t>Sandrique</t>
  </si>
  <si>
    <t>Sangnier</t>
  </si>
  <si>
    <t>Sans-Leroy</t>
  </si>
  <si>
    <t>Santelli</t>
  </si>
  <si>
    <t>SARI</t>
  </si>
  <si>
    <t>Sarlat</t>
  </si>
  <si>
    <t>SARRAUT</t>
  </si>
  <si>
    <t>Sarraut</t>
  </si>
  <si>
    <t>Sarrazin</t>
  </si>
  <si>
    <t>Sarret</t>
  </si>
  <si>
    <t>Sarrette</t>
  </si>
  <si>
    <t>Sarrien</t>
  </si>
  <si>
    <t>Saudubray</t>
  </si>
  <si>
    <t>Saumande</t>
  </si>
  <si>
    <t>SAURIN</t>
  </si>
  <si>
    <t>Saurin</t>
  </si>
  <si>
    <t>Saussay</t>
  </si>
  <si>
    <t>SAUTON</t>
  </si>
  <si>
    <t>Sautumier</t>
  </si>
  <si>
    <t>SAUVAN</t>
  </si>
  <si>
    <t>Sauvanet</t>
  </si>
  <si>
    <t>Sauzet</t>
  </si>
  <si>
    <t>Sauzède</t>
  </si>
  <si>
    <t>SAVARY</t>
  </si>
  <si>
    <t>Savary</t>
  </si>
  <si>
    <t>SAVIGNOL</t>
  </si>
  <si>
    <t>Say</t>
  </si>
  <si>
    <t>Scapini</t>
  </si>
  <si>
    <t>Scheer</t>
  </si>
  <si>
    <t>SCHERER</t>
  </si>
  <si>
    <t>SCHEURER-KESTNER</t>
  </si>
  <si>
    <t>SCHEURER</t>
  </si>
  <si>
    <t>Schleiter</t>
  </si>
  <si>
    <t>Schmidt</t>
  </si>
  <si>
    <t>Schneider</t>
  </si>
  <si>
    <t>SCHOELCHER</t>
  </si>
  <si>
    <t>Schrameck</t>
  </si>
  <si>
    <t>Schuman</t>
  </si>
  <si>
    <t>SCLAFER</t>
  </si>
  <si>
    <t>Sclafer</t>
  </si>
  <si>
    <t>Screpel</t>
  </si>
  <si>
    <t>SCULFORT</t>
  </si>
  <si>
    <t>SEBIRE</t>
  </si>
  <si>
    <t>SEBLINE</t>
  </si>
  <si>
    <t>Second</t>
  </si>
  <si>
    <t>Seignobos</t>
  </si>
  <si>
    <t>Seitz</t>
  </si>
  <si>
    <t>Selle</t>
  </si>
  <si>
    <t>Sellier</t>
  </si>
  <si>
    <t>Seltz</t>
  </si>
  <si>
    <t>Sembat</t>
  </si>
  <si>
    <t>Sempé</t>
  </si>
  <si>
    <t>SENES</t>
  </si>
  <si>
    <t>Senescail</t>
  </si>
  <si>
    <t>Senne</t>
  </si>
  <si>
    <t>Sens</t>
  </si>
  <si>
    <t>Sentenac</t>
  </si>
  <si>
    <t>Serda</t>
  </si>
  <si>
    <t>Sergent</t>
  </si>
  <si>
    <t>SERLIN</t>
  </si>
  <si>
    <t>Serph</t>
  </si>
  <si>
    <t>Serre</t>
  </si>
  <si>
    <t>Serres</t>
  </si>
  <si>
    <t>Serruys</t>
  </si>
  <si>
    <t>SERVAIN</t>
  </si>
  <si>
    <t>Servain</t>
  </si>
  <si>
    <t>SERVANT</t>
  </si>
  <si>
    <t>Sevaistre</t>
  </si>
  <si>
    <t>Sever</t>
  </si>
  <si>
    <t>Sevestre</t>
  </si>
  <si>
    <t>Sevène</t>
  </si>
  <si>
    <t>Seydoux</t>
  </si>
  <si>
    <t>Seynes</t>
  </si>
  <si>
    <t>Sibille</t>
  </si>
  <si>
    <t>Sibuet</t>
  </si>
  <si>
    <t>Sicard</t>
  </si>
  <si>
    <t>Siegfried</t>
  </si>
  <si>
    <t>SIGALLAS</t>
  </si>
  <si>
    <t>Signard</t>
  </si>
  <si>
    <t>SIGRIST</t>
  </si>
  <si>
    <t>Sigy</t>
  </si>
  <si>
    <t>Silbermann</t>
  </si>
  <si>
    <t>Silhol</t>
  </si>
  <si>
    <t>Silvestre</t>
  </si>
  <si>
    <t>Simon</t>
  </si>
  <si>
    <t>Simonet</t>
  </si>
  <si>
    <t>Simonin</t>
  </si>
  <si>
    <t>Simonnet</t>
  </si>
  <si>
    <t>Simounet</t>
  </si>
  <si>
    <t>Simyan</t>
  </si>
  <si>
    <t>Sire</t>
  </si>
  <si>
    <t>Sireyjol</t>
  </si>
  <si>
    <t>Sirot-Mallez</t>
  </si>
  <si>
    <t>Sirot</t>
  </si>
  <si>
    <t>Sixte-Quenin</t>
  </si>
  <si>
    <t>Sizaire</t>
  </si>
  <si>
    <t>Solages</t>
  </si>
  <si>
    <t>Soland</t>
  </si>
  <si>
    <t>Sommeillier</t>
  </si>
  <si>
    <t>SONGEON</t>
  </si>
  <si>
    <t>Sonnery-Martin</t>
  </si>
  <si>
    <t>Sonnier</t>
  </si>
  <si>
    <t>Sorriaux</t>
  </si>
  <si>
    <t>Soubeyran</t>
  </si>
  <si>
    <t>SOUBIGOU</t>
  </si>
  <si>
    <t>Soubigou</t>
  </si>
  <si>
    <t>Soucaze</t>
  </si>
  <si>
    <t>Souchu-Servinière</t>
  </si>
  <si>
    <t>Souef</t>
  </si>
  <si>
    <t>Souhet</t>
  </si>
  <si>
    <t>SOULIE</t>
  </si>
  <si>
    <t>Soulier</t>
  </si>
  <si>
    <t>Sourigues</t>
  </si>
  <si>
    <t>Soussial</t>
  </si>
  <si>
    <t>Soustre</t>
  </si>
  <si>
    <t>Soye</t>
  </si>
  <si>
    <t>Spinasse</t>
  </si>
  <si>
    <t>Spronck</t>
  </si>
  <si>
    <t>Spuller</t>
  </si>
  <si>
    <t>Steeg</t>
  </si>
  <si>
    <t>Steenakers</t>
  </si>
  <si>
    <t>Stern</t>
  </si>
  <si>
    <t>STOURM</t>
  </si>
  <si>
    <t>Strauss</t>
  </si>
  <si>
    <t>STUHL</t>
  </si>
  <si>
    <t>Stürmel</t>
  </si>
  <si>
    <t>Suchetet</t>
  </si>
  <si>
    <t>SUISSE Jules dit Jules</t>
  </si>
  <si>
    <t>Suquet</t>
  </si>
  <si>
    <t>Surchamp</t>
  </si>
  <si>
    <t>Surcouf</t>
  </si>
  <si>
    <t>Surmont</t>
  </si>
  <si>
    <t>SURREAUX</t>
  </si>
  <si>
    <t>Susini</t>
  </si>
  <si>
    <t>Susset</t>
  </si>
  <si>
    <t>Suzannet</t>
  </si>
  <si>
    <t>Syveton</t>
  </si>
  <si>
    <t>Séguins</t>
  </si>
  <si>
    <t>Sénac</t>
  </si>
  <si>
    <t>Sérandour</t>
  </si>
  <si>
    <t>Sérol</t>
  </si>
  <si>
    <t>Sérot</t>
  </si>
  <si>
    <t>Sévère</t>
  </si>
  <si>
    <t>TAILHAND</t>
  </si>
  <si>
    <t>Taillefer</t>
  </si>
  <si>
    <t>TAILLEFERT</t>
  </si>
  <si>
    <t>Tailliandier</t>
  </si>
  <si>
    <t>Taittinger</t>
  </si>
  <si>
    <t>Talandier</t>
  </si>
  <si>
    <t>Talhouet-Roy</t>
  </si>
  <si>
    <t>Tallon</t>
  </si>
  <si>
    <t>Talon</t>
  </si>
  <si>
    <t>Talou</t>
  </si>
  <si>
    <t>TAMISIER</t>
  </si>
  <si>
    <t>TANGUY</t>
  </si>
  <si>
    <t>Tapponnier</t>
  </si>
  <si>
    <t>Tarbouriech</t>
  </si>
  <si>
    <t>Tardieu</t>
  </si>
  <si>
    <t>Tardif</t>
  </si>
  <si>
    <t>Tarrade</t>
  </si>
  <si>
    <t>Tassin</t>
  </si>
  <si>
    <t>TASSO</t>
  </si>
  <si>
    <t>Tasso</t>
  </si>
  <si>
    <t>Tastes</t>
  </si>
  <si>
    <t>Taton-Vassal</t>
  </si>
  <si>
    <t>Taudière</t>
  </si>
  <si>
    <t>TAUFFLIEB</t>
  </si>
  <si>
    <t>TAULIER</t>
  </si>
  <si>
    <t>Taurines</t>
  </si>
  <si>
    <t>Tavé</t>
  </si>
  <si>
    <t>Teilhard</t>
  </si>
  <si>
    <t>TEISSERENC DE BORT</t>
  </si>
  <si>
    <t>TELLIER</t>
  </si>
  <si>
    <t>Tellier</t>
  </si>
  <si>
    <t>Temple</t>
  </si>
  <si>
    <t>TENAILLE-SALIGNY</t>
  </si>
  <si>
    <t>Tenting</t>
  </si>
  <si>
    <t>Ternaux-Compans</t>
  </si>
  <si>
    <t>Ternaux</t>
  </si>
  <si>
    <t>Ternisien</t>
  </si>
  <si>
    <t>Ternois</t>
  </si>
  <si>
    <t>Terrail-Mermeix</t>
  </si>
  <si>
    <t>Terrier</t>
  </si>
  <si>
    <t>Terves</t>
  </si>
  <si>
    <t>Tessan</t>
  </si>
  <si>
    <t>TESTELIN</t>
  </si>
  <si>
    <t>Teyssier</t>
  </si>
  <si>
    <t>TEZENAS</t>
  </si>
  <si>
    <t>Thalamas</t>
  </si>
  <si>
    <t>Thellier</t>
  </si>
  <si>
    <t>THERET</t>
  </si>
  <si>
    <t>THERY</t>
  </si>
  <si>
    <t>Theulier</t>
  </si>
  <si>
    <t>THEVENET</t>
  </si>
  <si>
    <t>Theveny</t>
  </si>
  <si>
    <t>THEZARD</t>
  </si>
  <si>
    <t>Thibaudin</t>
  </si>
  <si>
    <t>Thibault</t>
  </si>
  <si>
    <t>Thibout</t>
  </si>
  <si>
    <t>Thierry</t>
  </si>
  <si>
    <t>Thiers</t>
  </si>
  <si>
    <t>THIERY</t>
  </si>
  <si>
    <t>Thiery</t>
  </si>
  <si>
    <t>Thiessé</t>
  </si>
  <si>
    <t>Thiolas</t>
  </si>
  <si>
    <t>Thirion-Montauban</t>
  </si>
  <si>
    <t>Thivrier</t>
  </si>
  <si>
    <t>Thiébaut</t>
  </si>
  <si>
    <t>Thiérry-Delanoue</t>
  </si>
  <si>
    <t>Thomas-Derevoge</t>
  </si>
  <si>
    <t>Thomas</t>
  </si>
  <si>
    <t>THOMAS</t>
  </si>
  <si>
    <t>Thome</t>
  </si>
  <si>
    <t>Thomson</t>
  </si>
  <si>
    <t>Thonion</t>
  </si>
  <si>
    <t>Thorel</t>
  </si>
  <si>
    <t>Thorez</t>
  </si>
  <si>
    <t>Thoulouse</t>
  </si>
  <si>
    <t>Thoumyre</t>
  </si>
  <si>
    <t>THOUNENS</t>
  </si>
  <si>
    <t>Thuau</t>
  </si>
  <si>
    <t>THUILLIER-BURIDARD</t>
  </si>
  <si>
    <t>THUILLIER</t>
  </si>
  <si>
    <t>Thureau-Dangin</t>
  </si>
  <si>
    <t>THUREAU-DANGIN</t>
  </si>
  <si>
    <t>THUREL</t>
  </si>
  <si>
    <t>Thébault</t>
  </si>
  <si>
    <t>Théo-Bretin</t>
  </si>
  <si>
    <t>Théron</t>
  </si>
  <si>
    <t>Thévenet</t>
  </si>
  <si>
    <t>Tiersot</t>
  </si>
  <si>
    <t>Tilhet</t>
  </si>
  <si>
    <t>TILLAYE</t>
  </si>
  <si>
    <t>Tillie</t>
  </si>
  <si>
    <t>Tilloy</t>
  </si>
  <si>
    <t>Tiphaine</t>
  </si>
  <si>
    <t>Tirard</t>
  </si>
  <si>
    <t>TIRMAN</t>
  </si>
  <si>
    <t>Tisserand</t>
  </si>
  <si>
    <t>Tisseyre</t>
  </si>
  <si>
    <t>Tissier</t>
  </si>
  <si>
    <t>Tixier</t>
  </si>
  <si>
    <t>TOLAIN</t>
  </si>
  <si>
    <t>Tondu</t>
  </si>
  <si>
    <t>Tonnellier</t>
  </si>
  <si>
    <t>Tony-Révillon</t>
  </si>
  <si>
    <t>Torchut</t>
  </si>
  <si>
    <t>Torrès</t>
  </si>
  <si>
    <t>Touchimbert</t>
  </si>
  <si>
    <t>Toulet</t>
  </si>
  <si>
    <t>TOUPET DES VIGNES</t>
  </si>
  <si>
    <t>Tourgnol</t>
  </si>
  <si>
    <t>Tournade</t>
  </si>
  <si>
    <t>TOURNAN</t>
  </si>
  <si>
    <t>Tournan</t>
  </si>
  <si>
    <t>Tournier</t>
  </si>
  <si>
    <t>TOURON</t>
  </si>
  <si>
    <t>Toussaint</t>
  </si>
  <si>
    <t>Toy-Riont</t>
  </si>
  <si>
    <t>Traissan</t>
  </si>
  <si>
    <t>Tramu</t>
  </si>
  <si>
    <t>Tranchand</t>
  </si>
  <si>
    <t>Trannin</t>
  </si>
  <si>
    <t>Trannoy</t>
  </si>
  <si>
    <t>Trarieux</t>
  </si>
  <si>
    <t>Treignier</t>
  </si>
  <si>
    <t>Treille</t>
  </si>
  <si>
    <t>Treveneuc</t>
  </si>
  <si>
    <t>Triballet</t>
  </si>
  <si>
    <t>TRIBERT</t>
  </si>
  <si>
    <t>Tricard-Graveron</t>
  </si>
  <si>
    <t>Tricoche</t>
  </si>
  <si>
    <t>Tricoteaux</t>
  </si>
  <si>
    <t>Trincard-Moyat</t>
  </si>
  <si>
    <t>Tristan</t>
  </si>
  <si>
    <t>Troadec</t>
  </si>
  <si>
    <t>Trocquer</t>
  </si>
  <si>
    <t>Trouard-Riolle</t>
  </si>
  <si>
    <t>Trouillot</t>
  </si>
  <si>
    <t>Trouin</t>
  </si>
  <si>
    <t>TROUVE</t>
  </si>
  <si>
    <t>Trouvé</t>
  </si>
  <si>
    <t>Trubert</t>
  </si>
  <si>
    <t>Truelle</t>
  </si>
  <si>
    <t>Truy</t>
  </si>
  <si>
    <t>Trystram</t>
  </si>
  <si>
    <t>TRYSTRAM</t>
  </si>
  <si>
    <t>Trélat</t>
  </si>
  <si>
    <t>Trémintin</t>
  </si>
  <si>
    <t>Trémoulière</t>
  </si>
  <si>
    <t>Trémoïlle</t>
  </si>
  <si>
    <t>TURBAT</t>
  </si>
  <si>
    <t>Turenne</t>
  </si>
  <si>
    <t>TURGIS</t>
  </si>
  <si>
    <t>Turigny</t>
  </si>
  <si>
    <t>TURLIER</t>
  </si>
  <si>
    <t>Turmel</t>
  </si>
  <si>
    <t>Turmelière</t>
  </si>
  <si>
    <t>Turquet</t>
  </si>
  <si>
    <t>Turrel</t>
  </si>
  <si>
    <t>Ténot</t>
  </si>
  <si>
    <t>Tézenas</t>
  </si>
  <si>
    <t>Uhry</t>
  </si>
  <si>
    <t>ULMO</t>
  </si>
  <si>
    <t>Ulrich</t>
  </si>
  <si>
    <t>URBAN</t>
  </si>
  <si>
    <t>Ursleur</t>
  </si>
  <si>
    <t>Vachal</t>
  </si>
  <si>
    <t>Vacher</t>
  </si>
  <si>
    <t>Vacherie</t>
  </si>
  <si>
    <t>VAGNAT</t>
  </si>
  <si>
    <t>Vaillant-Couturier</t>
  </si>
  <si>
    <t>Vaillant</t>
  </si>
  <si>
    <t>Valadier</t>
  </si>
  <si>
    <t>Valensi</t>
  </si>
  <si>
    <t>Valentin</t>
  </si>
  <si>
    <t>Valette</t>
  </si>
  <si>
    <t>VALETTE</t>
  </si>
  <si>
    <t>Valière</t>
  </si>
  <si>
    <t>Vallat</t>
  </si>
  <si>
    <t>VALLE</t>
  </si>
  <si>
    <t>Vallette-Viallard</t>
  </si>
  <si>
    <t>VALLIER</t>
  </si>
  <si>
    <t>Vallon</t>
  </si>
  <si>
    <t>Vallé</t>
  </si>
  <si>
    <t>Vallée</t>
  </si>
  <si>
    <t>Valon</t>
  </si>
  <si>
    <t>Valude</t>
  </si>
  <si>
    <t>Vandame</t>
  </si>
  <si>
    <t>Varambon</t>
  </si>
  <si>
    <t>Vardelle</t>
  </si>
  <si>
    <t>Varenne</t>
  </si>
  <si>
    <t>Varlet</t>
  </si>
  <si>
    <t>Varroy</t>
  </si>
  <si>
    <t>Vaschalde</t>
  </si>
  <si>
    <t>Vassal</t>
  </si>
  <si>
    <t>Vasseux</t>
  </si>
  <si>
    <t>Vast-Vimeux</t>
  </si>
  <si>
    <t>Vaujuas-Langan</t>
  </si>
  <si>
    <t>Vaulcomte</t>
  </si>
  <si>
    <t>Vaux</t>
  </si>
  <si>
    <t>Vavasseur</t>
  </si>
  <si>
    <t>VAYSSE de RAINNEVILLE</t>
  </si>
  <si>
    <t>VAYSSIERE</t>
  </si>
  <si>
    <t>Vazeille</t>
  </si>
  <si>
    <t>Veber</t>
  </si>
  <si>
    <t>Veillat</t>
  </si>
  <si>
    <t>Veillé</t>
  </si>
  <si>
    <t>VELTEN</t>
  </si>
  <si>
    <t>Vergoin</t>
  </si>
  <si>
    <t>Verlot</t>
  </si>
  <si>
    <t>Vermare</t>
  </si>
  <si>
    <t>Vermond</t>
  </si>
  <si>
    <t>VERMOREL</t>
  </si>
  <si>
    <t>Vernay</t>
  </si>
  <si>
    <t>Vernet</t>
  </si>
  <si>
    <t>Verneuil</t>
  </si>
  <si>
    <t>Vernhes</t>
  </si>
  <si>
    <t>Verniers</t>
  </si>
  <si>
    <t>Vernière</t>
  </si>
  <si>
    <t>VERON</t>
  </si>
  <si>
    <t>Versigny</t>
  </si>
  <si>
    <t>VETILLART</t>
  </si>
  <si>
    <t>Veysseyre</t>
  </si>
  <si>
    <t>VEYSSIERE</t>
  </si>
  <si>
    <t>Vezouët</t>
  </si>
  <si>
    <t>Viala</t>
  </si>
  <si>
    <t>Vialis</t>
  </si>
  <si>
    <t>Vian</t>
  </si>
  <si>
    <t>Viard</t>
  </si>
  <si>
    <t>Vichot</t>
  </si>
  <si>
    <t>VIDAL DE SAINT-URBAIN</t>
  </si>
  <si>
    <t>VIDAL</t>
  </si>
  <si>
    <t>Vidal</t>
  </si>
  <si>
    <t>Vidalin</t>
  </si>
  <si>
    <t>Videau</t>
  </si>
  <si>
    <t>Vidon</t>
  </si>
  <si>
    <t>Vieille</t>
  </si>
  <si>
    <t>Vielfaure</t>
  </si>
  <si>
    <t>VIELLARD-MIGEON</t>
  </si>
  <si>
    <t>Viellard-Migeon</t>
  </si>
  <si>
    <t>Viellard</t>
  </si>
  <si>
    <t>Viette</t>
  </si>
  <si>
    <t>VIEU</t>
  </si>
  <si>
    <t>VIGAROSY</t>
  </si>
  <si>
    <t>Viger</t>
  </si>
  <si>
    <t>Vigier</t>
  </si>
  <si>
    <t>Vignancour</t>
  </si>
  <si>
    <t>Vigne</t>
  </si>
  <si>
    <t>Vigouroux</t>
  </si>
  <si>
    <t>Vilar</t>
  </si>
  <si>
    <t>Vilers</t>
  </si>
  <si>
    <t>Vilfeu</t>
  </si>
  <si>
    <t>Vilgrain</t>
  </si>
  <si>
    <t>Villain</t>
  </si>
  <si>
    <t>Villaine</t>
  </si>
  <si>
    <t>VILLARD</t>
  </si>
  <si>
    <t>Villault-Duchesnois</t>
  </si>
  <si>
    <t>Ville</t>
  </si>
  <si>
    <t>Villebois-Mareuil</t>
  </si>
  <si>
    <t>Villedieu</t>
  </si>
  <si>
    <t>Villegontier</t>
  </si>
  <si>
    <t>Villejean</t>
  </si>
  <si>
    <t>Villemant</t>
  </si>
  <si>
    <t>Villemonte-Laclergerie</t>
  </si>
  <si>
    <t>Villeneau</t>
  </si>
  <si>
    <t>Villeneuve</t>
  </si>
  <si>
    <t>Villesboisnet</t>
  </si>
  <si>
    <t>VILLETTE-GATE</t>
  </si>
  <si>
    <t>Villiers</t>
  </si>
  <si>
    <t>Vinatier</t>
  </si>
  <si>
    <t>VINCENT</t>
  </si>
  <si>
    <t>Vincent</t>
  </si>
  <si>
    <t>VINET</t>
  </si>
  <si>
    <t>Violle</t>
  </si>
  <si>
    <t>Viollette</t>
  </si>
  <si>
    <t>Vion</t>
  </si>
  <si>
    <t>Viox</t>
  </si>
  <si>
    <t>VISEUR</t>
  </si>
  <si>
    <t>VISSAGUET</t>
  </si>
  <si>
    <t>Vitry</t>
  </si>
  <si>
    <t>Vival</t>
  </si>
  <si>
    <t>VIVENOT</t>
  </si>
  <si>
    <t>VIVIANI</t>
  </si>
  <si>
    <t>Viviani</t>
  </si>
  <si>
    <t>Viénot</t>
  </si>
  <si>
    <t>Vogeli</t>
  </si>
  <si>
    <t>Vogüé</t>
  </si>
  <si>
    <t>Voilin</t>
  </si>
  <si>
    <t>Voillot</t>
  </si>
  <si>
    <t>Voirin</t>
  </si>
  <si>
    <t>VOLLAND</t>
  </si>
  <si>
    <t>Voyer</t>
  </si>
  <si>
    <t>Vuillod</t>
  </si>
  <si>
    <t>WADDINGTON</t>
  </si>
  <si>
    <t>Waddington</t>
  </si>
  <si>
    <t>Waldeck-Rousseau</t>
  </si>
  <si>
    <t>Wallach</t>
  </si>
  <si>
    <t>WALLON</t>
  </si>
  <si>
    <t>Walter</t>
  </si>
  <si>
    <t>Waron</t>
  </si>
  <si>
    <t>Warren</t>
  </si>
  <si>
    <t>WARUSFEL</t>
  </si>
  <si>
    <t>Weill-Mallez</t>
  </si>
  <si>
    <t>Weill</t>
  </si>
  <si>
    <t>Weiller</t>
  </si>
  <si>
    <t>Wendel</t>
  </si>
  <si>
    <t>Werquin</t>
  </si>
  <si>
    <t>Wetterlé</t>
  </si>
  <si>
    <t>Weydmann</t>
  </si>
  <si>
    <t>Weygand</t>
  </si>
  <si>
    <t>Wickerscheimer</t>
  </si>
  <si>
    <t>Wignacourt</t>
  </si>
  <si>
    <t>Willm</t>
  </si>
  <si>
    <t>Wilson</t>
  </si>
  <si>
    <t>Wiltzer</t>
  </si>
  <si>
    <t>Witt</t>
  </si>
  <si>
    <t>Wolff</t>
  </si>
  <si>
    <t>WURTZ</t>
  </si>
  <si>
    <t>Ybarnegaray</t>
  </si>
  <si>
    <t>Ybarnégaray</t>
  </si>
  <si>
    <t>Yvon</t>
  </si>
  <si>
    <t>Zay</t>
  </si>
  <si>
    <t>Zurlinden</t>
  </si>
  <si>
    <t>Zévaes</t>
  </si>
  <si>
    <t>Étienne</t>
  </si>
  <si>
    <t>Jacques, Pierre, Jean, Charles</t>
  </si>
  <si>
    <t>Emile, Eugène</t>
  </si>
  <si>
    <t>Jean-Baptiste</t>
  </si>
  <si>
    <t>Gaston, Paul, Marie</t>
  </si>
  <si>
    <t>Léon, Pierre</t>
  </si>
  <si>
    <t>Jean, Pierre, Léon</t>
  </si>
  <si>
    <t>Léon, Alphonse</t>
  </si>
  <si>
    <t>Antoine, Philippe, Adrien</t>
  </si>
  <si>
    <t>Charles, Achille</t>
  </si>
  <si>
    <t>Achille, Gabriel, Louis</t>
  </si>
  <si>
    <t>René</t>
  </si>
  <si>
    <t>Jean, Maurice</t>
  </si>
  <si>
    <t>Joseph, Pierre, Gabriel</t>
  </si>
  <si>
    <t>Pierre, Georges, Louis</t>
  </si>
  <si>
    <t>Henri</t>
  </si>
  <si>
    <t>Frédéric, Denis, Marcelin</t>
  </si>
  <si>
    <t>Emile-Théodore</t>
  </si>
  <si>
    <t>Georges, Louis</t>
  </si>
  <si>
    <t>Maurice, Pierre, Louis</t>
  </si>
  <si>
    <t>Alexandre, Augustin, dit Gustave</t>
  </si>
  <si>
    <t>Alain</t>
  </si>
  <si>
    <t>Ernest, Charles</t>
  </si>
  <si>
    <t>Ernest</t>
  </si>
  <si>
    <t>François, Clément</t>
  </si>
  <si>
    <t>Gaétan</t>
  </si>
  <si>
    <t>Albert Thomas dit</t>
  </si>
  <si>
    <t>Fabien, Joseph</t>
  </si>
  <si>
    <t>Auguste</t>
  </si>
  <si>
    <t>Emile, Paul, Félix</t>
  </si>
  <si>
    <t>Alexandre, Marius, Henri Blanc dit</t>
  </si>
  <si>
    <t>Raphaël</t>
  </si>
  <si>
    <t>Jean-Jacques, César, Eugène, Michel</t>
  </si>
  <si>
    <t>François, Henri, René</t>
  </si>
  <si>
    <t>Maurice, Edouard, Eugène</t>
  </si>
  <si>
    <t>César</t>
  </si>
  <si>
    <t>Francisque</t>
  </si>
  <si>
    <t>Edouard</t>
  </si>
  <si>
    <t>Léon, Charles</t>
  </si>
  <si>
    <t>Charles, Émile</t>
  </si>
  <si>
    <t>Jean, Marius</t>
  </si>
  <si>
    <t>Louis, Amans</t>
  </si>
  <si>
    <t>Olivier-François</t>
  </si>
  <si>
    <t>Camille</t>
  </si>
  <si>
    <t>Louis, Eugène</t>
  </si>
  <si>
    <t>Henri, Urbain</t>
  </si>
  <si>
    <t>Charles</t>
  </si>
  <si>
    <t>Prosper</t>
  </si>
  <si>
    <t>Daniel</t>
  </si>
  <si>
    <t>Albert, Daniel</t>
  </si>
  <si>
    <t>Raoul</t>
  </si>
  <si>
    <t>Georges, Pierre, Daniel</t>
  </si>
  <si>
    <t>Henry, Francisque, Bernard, Joseph</t>
  </si>
  <si>
    <t>Adrien</t>
  </si>
  <si>
    <t>Edouard, Casimir, Aimé</t>
  </si>
  <si>
    <t>Georges, André, Alexandre</t>
  </si>
  <si>
    <t>André, Olry</t>
  </si>
  <si>
    <t>Jules, Jean-François, Raoul</t>
  </si>
  <si>
    <t>Adrien, Baptiste, Honoré</t>
  </si>
  <si>
    <t>Eugène</t>
  </si>
  <si>
    <t>Raoul, Adolphe, Elie</t>
  </si>
  <si>
    <t>Gabriel, Louis</t>
  </si>
  <si>
    <t>Norbert</t>
  </si>
  <si>
    <t>Paul, Félix, Cyprien</t>
  </si>
  <si>
    <t>Joseph</t>
  </si>
  <si>
    <t>Etienne, César</t>
  </si>
  <si>
    <t>Emmanuel</t>
  </si>
  <si>
    <t>François, Pierre, Jean</t>
  </si>
  <si>
    <t>Lucien</t>
  </si>
  <si>
    <t>Antoine, Jean</t>
  </si>
  <si>
    <t>Gaston, Eugène</t>
  </si>
  <si>
    <t>Augustin, Pierre, Edouard</t>
  </si>
  <si>
    <t>Edmond, Sébastien</t>
  </si>
  <si>
    <t>François, Joseph</t>
  </si>
  <si>
    <t>Daniel, Léon</t>
  </si>
  <si>
    <t>Léon, Daniel, Josué</t>
  </si>
  <si>
    <t>Jean-Baptiste, Justin, Joseph</t>
  </si>
  <si>
    <t>Raymond</t>
  </si>
  <si>
    <t>Pierre-Marc</t>
  </si>
  <si>
    <t>Ferdinand, Louis, Barthélemy</t>
  </si>
  <si>
    <t>Marcel, Ernest, Jean, Marie</t>
  </si>
  <si>
    <t>Marie,Gustave, Louis, Eugène</t>
  </si>
  <si>
    <t>Pierre, Adolphe, Charles</t>
  </si>
  <si>
    <t>François, Hippolyte</t>
  </si>
  <si>
    <t>Placide, Alexandre</t>
  </si>
  <si>
    <t>Marcel, Français</t>
  </si>
  <si>
    <t>Ange-Gaétan</t>
  </si>
  <si>
    <t>Raoul, François, Régis</t>
  </si>
  <si>
    <t>Théophile</t>
  </si>
  <si>
    <t>Joseph, Pierre, Jules</t>
  </si>
  <si>
    <t>Louis, Félix, Hippolyte</t>
  </si>
  <si>
    <t>Jules, Paul</t>
  </si>
  <si>
    <t>Charles, Albert</t>
  </si>
  <si>
    <t>Albert, Jules, Marie</t>
  </si>
  <si>
    <t>Siméon</t>
  </si>
  <si>
    <t>Jean-Honoré</t>
  </si>
  <si>
    <t>Georges, Pierre</t>
  </si>
  <si>
    <t>Jules, Augustin</t>
  </si>
  <si>
    <t>Charles, Adrien</t>
  </si>
  <si>
    <t>Victor, Jean</t>
  </si>
  <si>
    <t>François, Auguste</t>
  </si>
  <si>
    <t>Justin, Auguste</t>
  </si>
  <si>
    <t>Bernard, Louis</t>
  </si>
  <si>
    <t>Joanny</t>
  </si>
  <si>
    <t>Fernand, Isidore, Amédée</t>
  </si>
  <si>
    <t>Ferdinand</t>
  </si>
  <si>
    <t>Pierre, François</t>
  </si>
  <si>
    <t>Félix, Pierre, Théodore</t>
  </si>
  <si>
    <t>Charles, Georges</t>
  </si>
  <si>
    <t>Joseph, Léon, Samuel, dit Louis</t>
  </si>
  <si>
    <t>Henri, Jean, Marie, André</t>
  </si>
  <si>
    <t>Vincent, Jules</t>
  </si>
  <si>
    <t>Victor, Ferréol</t>
  </si>
  <si>
    <t>Jean, Joseph</t>
  </si>
  <si>
    <t>Félix, Alexandre</t>
  </si>
  <si>
    <t>Henri, Pierre, Marie</t>
  </si>
  <si>
    <t>Léo</t>
  </si>
  <si>
    <t>Albin, Paul, Alexandre</t>
  </si>
  <si>
    <t>Antoine, Pierre, Alfred, François</t>
  </si>
  <si>
    <t>Léonide</t>
  </si>
  <si>
    <t>Alexandre</t>
  </si>
  <si>
    <t>Paul</t>
  </si>
  <si>
    <t>Pierre, Adalbert, Marie-Guilhem de Frottier de</t>
  </si>
  <si>
    <t>Henry, Marius</t>
  </si>
  <si>
    <t>André, Louis, Joseph</t>
  </si>
  <si>
    <t>Georges Le</t>
  </si>
  <si>
    <t>Georges-Auguste Le</t>
  </si>
  <si>
    <t>Albert Le</t>
  </si>
  <si>
    <t>Martial, François, Germain</t>
  </si>
  <si>
    <t>Victor</t>
  </si>
  <si>
    <t>Marc, François, Eugène</t>
  </si>
  <si>
    <t>André, Paul, Lucien</t>
  </si>
  <si>
    <t>André, Antoine, Marie, Pierre</t>
  </si>
  <si>
    <t>Guillaume, Marie</t>
  </si>
  <si>
    <t>Arthur, Auguste, Eléonor</t>
  </si>
  <si>
    <t>Claude, Stanislas</t>
  </si>
  <si>
    <t>Raymond, Antoine de</t>
  </si>
  <si>
    <t>Martial, Fernand, Paul</t>
  </si>
  <si>
    <t>Henri, Joseph</t>
  </si>
  <si>
    <t>Raymond, Henri</t>
  </si>
  <si>
    <t>Antoine, Hippolythe</t>
  </si>
  <si>
    <t>Charles de</t>
  </si>
  <si>
    <t>Genès, Emile, dit Félix</t>
  </si>
  <si>
    <t>Pierre, Léandre, Hippolyte</t>
  </si>
  <si>
    <t>Julien</t>
  </si>
  <si>
    <t>Édouard</t>
  </si>
  <si>
    <t>André, Marie, Alfred</t>
  </si>
  <si>
    <t>Henri, Eugène</t>
  </si>
  <si>
    <t>Alphonse</t>
  </si>
  <si>
    <t>René, François, Julien</t>
  </si>
  <si>
    <t>François, Paul</t>
  </si>
  <si>
    <t>Léon, Jean-Baptiste</t>
  </si>
  <si>
    <t>André, Paul</t>
  </si>
  <si>
    <t>Emmerand, Prosper, Marie, Joseph</t>
  </si>
  <si>
    <t>Agénor</t>
  </si>
  <si>
    <t>Nicolas, Julien, dit Amédée</t>
  </si>
  <si>
    <t>Georges, Amédée</t>
  </si>
  <si>
    <t>Robert, Joseph, André</t>
  </si>
  <si>
    <t>Désiré, Jean</t>
  </si>
  <si>
    <t>Gabriel, Charles, Esprit</t>
  </si>
  <si>
    <t>Charles, Victorin, Apollon, Marie, Eugène</t>
  </si>
  <si>
    <t>Ernest, Alexandre, Etienne</t>
  </si>
  <si>
    <t>Jules</t>
  </si>
  <si>
    <t>Denis, François, Alfred</t>
  </si>
  <si>
    <t>Clotaire, Hildevert, Maurice</t>
  </si>
  <si>
    <t>Gustave, Jules, Léopold</t>
  </si>
  <si>
    <t>Edmond, Marcel</t>
  </si>
  <si>
    <t>Charles, Claude</t>
  </si>
  <si>
    <t>Théodore, Charles</t>
  </si>
  <si>
    <t>Maurice, Auguste</t>
  </si>
  <si>
    <t>Joseph, Louis</t>
  </si>
  <si>
    <t>Marcel, Jean</t>
  </si>
  <si>
    <t>Georges, Eugène, Germain</t>
  </si>
  <si>
    <t>Edmond</t>
  </si>
  <si>
    <t>François, Marie</t>
  </si>
  <si>
    <t>Hector, Alexandre</t>
  </si>
  <si>
    <t>Jean, Baptiste</t>
  </si>
  <si>
    <t>Charles, Joseph, Gabriel</t>
  </si>
  <si>
    <t>Léon, Jean, Jacques</t>
  </si>
  <si>
    <t>Olivier, Eugène, Jules, Gustave</t>
  </si>
  <si>
    <t>Emile, Joseph</t>
  </si>
  <si>
    <t>Alfred, Jean-Baptiste</t>
  </si>
  <si>
    <t>Edouard, Jean-Baptiste, Henri Morisson de La</t>
  </si>
  <si>
    <t>Louis Morisson de La</t>
  </si>
  <si>
    <t>Athanase</t>
  </si>
  <si>
    <t>Adrien, Pierre, Rémy</t>
  </si>
  <si>
    <t>Paul, Raymond, Marie</t>
  </si>
  <si>
    <t>Joseph, Etienne, Jacques, Pierre</t>
  </si>
  <si>
    <t>Victor, Antoine, Martial</t>
  </si>
  <si>
    <t>Anselme</t>
  </si>
  <si>
    <t>Marie-Julien de La</t>
  </si>
  <si>
    <t>Aristide, Armand, Constant</t>
  </si>
  <si>
    <t>Georges, Pierre, Aimé</t>
  </si>
  <si>
    <t>Charles-Ferdinand de Laborie de La</t>
  </si>
  <si>
    <t>Gustave</t>
  </si>
  <si>
    <t>Charles, Joseph</t>
  </si>
  <si>
    <t>Louis, Alexandre</t>
  </si>
  <si>
    <t>Pierre, Julien, Joseph</t>
  </si>
  <si>
    <t>Pierre, Jean, Gustave</t>
  </si>
  <si>
    <t>Charles, Georges, Alfred</t>
  </si>
  <si>
    <t>Jules, Ferdinand</t>
  </si>
  <si>
    <t>Napoléon</t>
  </si>
  <si>
    <t>Jean-Marie</t>
  </si>
  <si>
    <t>Gaston</t>
  </si>
  <si>
    <t>Camille, Justin, Anatole</t>
  </si>
  <si>
    <t>Alfred, Marie, Pierre, Victor</t>
  </si>
  <si>
    <t>Elphège</t>
  </si>
  <si>
    <t>Louis, Marie, Antoine</t>
  </si>
  <si>
    <t>André, Emmanuel</t>
  </si>
  <si>
    <t>Paul, Victor</t>
  </si>
  <si>
    <t>Georges de</t>
  </si>
  <si>
    <t>Henri Savary de</t>
  </si>
  <si>
    <t>Joseph, Adolphe</t>
  </si>
  <si>
    <t>Auguste, Arthur</t>
  </si>
  <si>
    <t>Etienne, Louis</t>
  </si>
  <si>
    <t>Emile</t>
  </si>
  <si>
    <t>Joseph de</t>
  </si>
  <si>
    <t>Antoine, Dieudonné</t>
  </si>
  <si>
    <t>Henri, Louis, Jean de</t>
  </si>
  <si>
    <t>Joseph, Hippolyte</t>
  </si>
  <si>
    <t>Léopold</t>
  </si>
  <si>
    <t>Jean, Jules, Henri</t>
  </si>
  <si>
    <t>Gaston, Jean-Baptiste, François, Joseph</t>
  </si>
  <si>
    <t>Léonus</t>
  </si>
  <si>
    <t>Antoine</t>
  </si>
  <si>
    <t>Albert, Victor, Marie de</t>
  </si>
  <si>
    <t>Norbert, Marie, Solange, Guillaume de</t>
  </si>
  <si>
    <t>Jean, Eugène, Omer</t>
  </si>
  <si>
    <t>Eloi</t>
  </si>
  <si>
    <t>Martial</t>
  </si>
  <si>
    <t>Albert, Raphaël Marchais de la</t>
  </si>
  <si>
    <t>Benoît, Charles</t>
  </si>
  <si>
    <t>François, Eugène</t>
  </si>
  <si>
    <t>Georges, Paul, Louis</t>
  </si>
  <si>
    <t>Maurice, Pierre, Celestin</t>
  </si>
  <si>
    <t>Pierre, Charles</t>
  </si>
  <si>
    <t>Alphonse, Louis, Ferdinand</t>
  </si>
  <si>
    <t>Charles, Alphonse, Auguste</t>
  </si>
  <si>
    <t>Daniel, Vivien, Michel</t>
  </si>
  <si>
    <t>Claude</t>
  </si>
  <si>
    <t>Jean-Joseph</t>
  </si>
  <si>
    <t>Auguste, Joseph</t>
  </si>
  <si>
    <t>Jean, Gustave</t>
  </si>
  <si>
    <t>César, Léon, Constant</t>
  </si>
  <si>
    <t>Auguste, Marie, Joseph de</t>
  </si>
  <si>
    <t>Jean-Baptiste, Marie</t>
  </si>
  <si>
    <t>Mesmin, Florent</t>
  </si>
  <si>
    <t>Joseph, Marie</t>
  </si>
  <si>
    <t>Paul, Marie</t>
  </si>
  <si>
    <t>Raymond, Prosper, Marcellin</t>
  </si>
  <si>
    <t>Hervé, Marie Pierres de</t>
  </si>
  <si>
    <t>François, Henri, Jules Pierres de</t>
  </si>
  <si>
    <t>Achille, Joseph</t>
  </si>
  <si>
    <t>Alfred, Paul, Louis</t>
  </si>
  <si>
    <t>Georges, Jean-Baptiste, Marie</t>
  </si>
  <si>
    <t>Alfred</t>
  </si>
  <si>
    <t>Maurice, Henry</t>
  </si>
  <si>
    <t>Marie, Edouard</t>
  </si>
  <si>
    <t>Marcellin</t>
  </si>
  <si>
    <t>André, Marcel</t>
  </si>
  <si>
    <t>Louis, Jean</t>
  </si>
  <si>
    <t>Aimé, Adrien, Maxime</t>
  </si>
  <si>
    <t>Christophe, César</t>
  </si>
  <si>
    <t>André, Pierre, Marie</t>
  </si>
  <si>
    <t>Georges, Pierre, Louis, Félix</t>
  </si>
  <si>
    <t>Armand, Oscar</t>
  </si>
  <si>
    <t>Lucien, Joseph</t>
  </si>
  <si>
    <t>Paul, Charles, Alfred</t>
  </si>
  <si>
    <t>Jules, Jean, Jacques</t>
  </si>
  <si>
    <t>William</t>
  </si>
  <si>
    <t>Paul, dit Charles</t>
  </si>
  <si>
    <t>Louis, Victor</t>
  </si>
  <si>
    <t>René, Amédée, Marcel, Joseph</t>
  </si>
  <si>
    <t>Philibert, Hippolyte, Marcelin</t>
  </si>
  <si>
    <t>Paul, Louis, Gabriel</t>
  </si>
  <si>
    <t>Maxence, Bernard, Pierre, Emile</t>
  </si>
  <si>
    <t>Amédée, Pierre, Léonard</t>
  </si>
  <si>
    <t>Léon, Marie, Joseph</t>
  </si>
  <si>
    <t>Paul, Emile</t>
  </si>
  <si>
    <t>Julien, Armand</t>
  </si>
  <si>
    <t>Henri Le Loup de La</t>
  </si>
  <si>
    <t>Daniel de Folleville de</t>
  </si>
  <si>
    <t>Maurice, Charles, Henri</t>
  </si>
  <si>
    <t>Anatole, Marie, Paul, Henri</t>
  </si>
  <si>
    <t>Marie, Charles, Gabriel, Sosthène La Rochefoucauld de</t>
  </si>
  <si>
    <t>Raphaël, Louis</t>
  </si>
  <si>
    <t>Eugène, Aimé</t>
  </si>
  <si>
    <t>Eugène, Jean, Jacques</t>
  </si>
  <si>
    <t>René-Charles</t>
  </si>
  <si>
    <t>Ernest, Henri, Bernard</t>
  </si>
  <si>
    <t>Aimery, Louis, Jules</t>
  </si>
  <si>
    <t>Camille, Charles, Auguste</t>
  </si>
  <si>
    <t>Louis, Jean, Joseph, Charles</t>
  </si>
  <si>
    <t>Xavier</t>
  </si>
  <si>
    <t>Louis, Antoine</t>
  </si>
  <si>
    <t>Balthazar, Antoine</t>
  </si>
  <si>
    <t>Alcide, Louis</t>
  </si>
  <si>
    <t>François, Marie, Valentin</t>
  </si>
  <si>
    <t>Albert, Pierre, René</t>
  </si>
  <si>
    <t>Marie, Jules</t>
  </si>
  <si>
    <t>Eugène, Louis, Nazaire, Bénigne</t>
  </si>
  <si>
    <t>Antoine, Jean-Baptiste</t>
  </si>
  <si>
    <t>Aimé</t>
  </si>
  <si>
    <t>Elie, Clainville</t>
  </si>
  <si>
    <t>Edmond, Eugène, Edouard</t>
  </si>
  <si>
    <t>Edmond, Antony, Joseph</t>
  </si>
  <si>
    <t>Léon, André</t>
  </si>
  <si>
    <t>Marie-Gabriel</t>
  </si>
  <si>
    <t>Charles, Maurice, Christophe Guillo Du</t>
  </si>
  <si>
    <t>Guillaume</t>
  </si>
  <si>
    <t>Alfred, Alexandre Bansard des</t>
  </si>
  <si>
    <t>Adéodat, Emmanuel, Joseph, Jacques</t>
  </si>
  <si>
    <t>Adolphe</t>
  </si>
  <si>
    <t>Léon, Edmond</t>
  </si>
  <si>
    <t>Victor, Félix</t>
  </si>
  <si>
    <t>Joseph-Gaston Pourquery de</t>
  </si>
  <si>
    <t>Guy de Salvaing de</t>
  </si>
  <si>
    <t>René, Joseph, Casimir</t>
  </si>
  <si>
    <t>Donat, Auguste, Alexandre</t>
  </si>
  <si>
    <t>Raoul, Henri, Bertrand</t>
  </si>
  <si>
    <t>Jean, Emile</t>
  </si>
  <si>
    <t>Etienne, Alexandre</t>
  </si>
  <si>
    <t>Elie</t>
  </si>
  <si>
    <t>Jean, Julien, Léon</t>
  </si>
  <si>
    <t>Gaston, Louis</t>
  </si>
  <si>
    <t>Frédéric</t>
  </si>
  <si>
    <t>Louis, Marie, François</t>
  </si>
  <si>
    <t>Georges, Edouard, Félix</t>
  </si>
  <si>
    <t>Georges, Aguste</t>
  </si>
  <si>
    <t>Edouard, Guillaume</t>
  </si>
  <si>
    <t>Joseph-Louis</t>
  </si>
  <si>
    <t>Georges, Etienne</t>
  </si>
  <si>
    <t>Anatole, Fernand, Marie de</t>
  </si>
  <si>
    <t>Laurent, Marie, Benoît</t>
  </si>
  <si>
    <t>Auguste, Charles</t>
  </si>
  <si>
    <t>Charles, François, Xavier</t>
  </si>
  <si>
    <t>Pierre-Gabriel, Edouard</t>
  </si>
  <si>
    <t>Alexandre de Cardenau de</t>
  </si>
  <si>
    <t>Auguste, Jean, Paul, Antoine</t>
  </si>
  <si>
    <t>Emile, Louis, Alexandre</t>
  </si>
  <si>
    <t>Charles, François, Joseph</t>
  </si>
  <si>
    <t>Emile, Félix, Edouard, Justin</t>
  </si>
  <si>
    <t>Jean Le</t>
  </si>
  <si>
    <t>Ernest, Pierre</t>
  </si>
  <si>
    <t>Charles, Jean, Félix Pozzo Di</t>
  </si>
  <si>
    <t>Léon, Etienne</t>
  </si>
  <si>
    <t>Benjamin, Louis</t>
  </si>
  <si>
    <t>Charles, Marie, Joseph</t>
  </si>
  <si>
    <t>Alfred, Ferdinand</t>
  </si>
  <si>
    <t>Armand, Jean, Antoine, Henri</t>
  </si>
  <si>
    <t>Charles, François, Antoine</t>
  </si>
  <si>
    <t>Adolphe, Jacques</t>
  </si>
  <si>
    <t>Augustin, Marie</t>
  </si>
  <si>
    <t>Maurice, Albert, Alexandre</t>
  </si>
  <si>
    <t>Edmond, Louis Forgemol de</t>
  </si>
  <si>
    <t>Emile, Anatole</t>
  </si>
  <si>
    <t>Albert, Jean-Marie, Alexandre</t>
  </si>
  <si>
    <t>Henry, Hippolyte, Paul</t>
  </si>
  <si>
    <t>Georges, Alphonse, Hubert</t>
  </si>
  <si>
    <t>Paul-Emile</t>
  </si>
  <si>
    <t>Charles Le</t>
  </si>
  <si>
    <t>Georges, Jacques, Pierre</t>
  </si>
  <si>
    <t>Elie, Isidore, Jean</t>
  </si>
  <si>
    <t>Louis, Charles, François</t>
  </si>
  <si>
    <t>Jean, Pierre, Claude, Marcel</t>
  </si>
  <si>
    <t>Félix, Louis, Marie, Daniel</t>
  </si>
  <si>
    <t>Auguste, Eugène, César, Marie</t>
  </si>
  <si>
    <t>Auguste, Marie</t>
  </si>
  <si>
    <t>Yves</t>
  </si>
  <si>
    <t>Camille, Clément</t>
  </si>
  <si>
    <t>Alphonse, Lucien</t>
  </si>
  <si>
    <t>Fernand, Emile, Honoré</t>
  </si>
  <si>
    <t>Charles, Paul, Adolphe, Claudius</t>
  </si>
  <si>
    <t>Georges, Ernest, Jean-Marie</t>
  </si>
  <si>
    <t>Narcisse, Auguste, Noël</t>
  </si>
  <si>
    <t>Auguste, Henri</t>
  </si>
  <si>
    <t>Pascal, Emile</t>
  </si>
  <si>
    <t>Alexandre, Raoul, Marie Blin de</t>
  </si>
  <si>
    <t>Marie, Ferdinand, Raoul de La</t>
  </si>
  <si>
    <t>Paul, Elisée</t>
  </si>
  <si>
    <t>Jean-Baptiste Bourgeois dit</t>
  </si>
  <si>
    <t>Paul, Antoine, Charles</t>
  </si>
  <si>
    <t>Léon, Victor, Auguste</t>
  </si>
  <si>
    <t>Edmé, Alfrède</t>
  </si>
  <si>
    <t>Philippe la Beaume de</t>
  </si>
  <si>
    <t>François, Louis</t>
  </si>
  <si>
    <t>André, Ferdinand, Jules</t>
  </si>
  <si>
    <t>Charles, Nicolas</t>
  </si>
  <si>
    <t>Nicolas, Charles, Désiré, Magloire</t>
  </si>
  <si>
    <t>Jean, Michel, Justin</t>
  </si>
  <si>
    <t>Maurice, Marie, Alfred, Henri</t>
  </si>
  <si>
    <t>Charles, Ernest, Gérard Aubourg de</t>
  </si>
  <si>
    <t>Edouard, Marius</t>
  </si>
  <si>
    <t>Georges, Tony</t>
  </si>
  <si>
    <t>Henri, Adolphe Pieyre de</t>
  </si>
  <si>
    <t>Jean-Baptiste, Alexandre</t>
  </si>
  <si>
    <t>Oswald, Jean-Baptiste, Michel, Augustin</t>
  </si>
  <si>
    <t>Désiré, Alfred, Fulgence</t>
  </si>
  <si>
    <t>Charles, Alfred, Ghislain</t>
  </si>
  <si>
    <t>Georges, Casimir</t>
  </si>
  <si>
    <t>Jean, Charles, Gaspard</t>
  </si>
  <si>
    <t>Jules, Marie, François</t>
  </si>
  <si>
    <t>Gustave, Alfred, François</t>
  </si>
  <si>
    <t>Léo, Pierre, Joseph</t>
  </si>
  <si>
    <t>Germain, Alexandre</t>
  </si>
  <si>
    <t>Amédée-Pierre,Marie, Auguste, Ennemond</t>
  </si>
  <si>
    <t>Edouard, Amédée</t>
  </si>
  <si>
    <t>Ferdinand, François, Charles</t>
  </si>
  <si>
    <t>Antoine, Jean-Baptiste, dit Antide</t>
  </si>
  <si>
    <t>Edmond, Jean</t>
  </si>
  <si>
    <t>Marius, Etienne, Florent</t>
  </si>
  <si>
    <t>Jules, Pierre, Mathieu, Auguste</t>
  </si>
  <si>
    <t>Charles, Guillaume</t>
  </si>
  <si>
    <t>Paul, Honoré, Paul</t>
  </si>
  <si>
    <t>Gaston, Eugène, Elie</t>
  </si>
  <si>
    <t>Joseph, Jules, Adolphe</t>
  </si>
  <si>
    <t>Emile, Victor, Léon</t>
  </si>
  <si>
    <t>Alexandre, Marie</t>
  </si>
  <si>
    <t>Maurice, Fauste</t>
  </si>
  <si>
    <t>Georges, Jules, Louis</t>
  </si>
  <si>
    <t>Raoul, Jacques, Ernest</t>
  </si>
  <si>
    <t>ALFRED-BRARD</t>
  </si>
  <si>
    <t>Mathurin Alfred-Brard dit</t>
  </si>
  <si>
    <t>Georges, Thomas</t>
  </si>
  <si>
    <t>Ernest, Jean, François-Xavier</t>
  </si>
  <si>
    <t>Ambroise</t>
  </si>
  <si>
    <t>Emile, Claude</t>
  </si>
  <si>
    <t>René, Auguste, Louis, Paul Le</t>
  </si>
  <si>
    <t>Pierre, Eugène, Emile</t>
  </si>
  <si>
    <t>Edouard, Victor, Stanislas</t>
  </si>
  <si>
    <t>Georges, Robert, René, Léon</t>
  </si>
  <si>
    <t>Almire</t>
  </si>
  <si>
    <t>Henry, Charles, Joseph Le Tonelier de</t>
  </si>
  <si>
    <t>ANDRÉ-BRETON</t>
  </si>
  <si>
    <t>Jean-Pierre</t>
  </si>
  <si>
    <t>Jules-Louis</t>
  </si>
  <si>
    <t>André, Jules, Louis</t>
  </si>
  <si>
    <t>Aristide</t>
  </si>
  <si>
    <t>Damas, Dominique, Jules</t>
  </si>
  <si>
    <t>René, Joseph</t>
  </si>
  <si>
    <t>Ernest, François</t>
  </si>
  <si>
    <t>Jacques, Charles, Hyacinthe</t>
  </si>
  <si>
    <t>Henri, Jean-Baptiste</t>
  </si>
  <si>
    <t>Emilien</t>
  </si>
  <si>
    <t>Louis, Ernest</t>
  </si>
  <si>
    <t>Louis, Eugène, Henri</t>
  </si>
  <si>
    <t>Camille, Victor, Joseph</t>
  </si>
  <si>
    <t>Joseph, André, Paul, Benjamin</t>
  </si>
  <si>
    <t>Henri, Emile</t>
  </si>
  <si>
    <t>Maximin</t>
  </si>
  <si>
    <t>Antonin, Félix, Gabriel</t>
  </si>
  <si>
    <t>Louis, Edouard</t>
  </si>
  <si>
    <t>Louis, Alphonse, Victor de</t>
  </si>
  <si>
    <t>Médard, Jules</t>
  </si>
  <si>
    <t>Emile, Octave</t>
  </si>
  <si>
    <t>Paul, Louis, Marie</t>
  </si>
  <si>
    <t>Emmanuel, Louis, Alexis</t>
  </si>
  <si>
    <t>Eugène, Charles</t>
  </si>
  <si>
    <t>Pierre, Joseph, Louis</t>
  </si>
  <si>
    <t>Alfred, Barthélemy</t>
  </si>
  <si>
    <t>Aurélien, François, Marie, Jules</t>
  </si>
  <si>
    <t>Fernand, Jean, Alexis</t>
  </si>
  <si>
    <t>Vital</t>
  </si>
  <si>
    <t>Georges, Jean-Marie</t>
  </si>
  <si>
    <t>Arthur</t>
  </si>
  <si>
    <t>Frédéric, Antoine</t>
  </si>
  <si>
    <t>Jules, Silvère</t>
  </si>
  <si>
    <t>Auguste, Charles, Désiré, Emmanuel</t>
  </si>
  <si>
    <t>René, Jean, Alfred</t>
  </si>
  <si>
    <t>Marie, Félix</t>
  </si>
  <si>
    <t>Barthélémy</t>
  </si>
  <si>
    <t>Cécile</t>
  </si>
  <si>
    <t>Claude, Marie</t>
  </si>
  <si>
    <t>Ernest, Alexandre</t>
  </si>
  <si>
    <t>Victor, Charles, François</t>
  </si>
  <si>
    <t>Séraphin, Léopold</t>
  </si>
  <si>
    <t>Ferdinand, Edouard</t>
  </si>
  <si>
    <t>Joseph, Ambroise</t>
  </si>
  <si>
    <t>Auguste, Laurent</t>
  </si>
  <si>
    <t>Georges, Allyre, Marie, Médéric</t>
  </si>
  <si>
    <t>Gustave, Jean, Jacques</t>
  </si>
  <si>
    <t>Jules, François</t>
  </si>
  <si>
    <t>Maurice, Jean, Marie</t>
  </si>
  <si>
    <t>René, Valentin</t>
  </si>
  <si>
    <t>Jacques, Eugène, Clément</t>
  </si>
  <si>
    <t>Edouard, François</t>
  </si>
  <si>
    <t>Etienne, Eugène</t>
  </si>
  <si>
    <t>Octave, François</t>
  </si>
  <si>
    <t>Charles, Jean, Victor</t>
  </si>
  <si>
    <t>Louis, Antoine, Marie</t>
  </si>
  <si>
    <t>Pierre, Jean-Baptiste</t>
  </si>
  <si>
    <t>Louis, Alphonse Gouzillon de</t>
  </si>
  <si>
    <t>Camille, Louis</t>
  </si>
  <si>
    <t>Paul, Antoine, Théodore</t>
  </si>
  <si>
    <t>Alexandre, Octave</t>
  </si>
  <si>
    <t>Léon, Félix, Joseph, Louis</t>
  </si>
  <si>
    <t>Auguste, Bruno</t>
  </si>
  <si>
    <t>Raymond, Albert, Ernest</t>
  </si>
  <si>
    <t>Paul, Edmond</t>
  </si>
  <si>
    <t>Robert, Jean-Baptiste, Paul</t>
  </si>
  <si>
    <t>Paul, Léon, Rollin</t>
  </si>
  <si>
    <t>Gaston, Marie, Léon</t>
  </si>
  <si>
    <t>Charles, Maurice</t>
  </si>
  <si>
    <t>Jules, Albert, Pierre</t>
  </si>
  <si>
    <t>Louis-Auguste</t>
  </si>
  <si>
    <t>Marcel, Gilles</t>
  </si>
  <si>
    <t>Louis, Auguste</t>
  </si>
  <si>
    <t>Joseph, Marie, Augustin</t>
  </si>
  <si>
    <t>François, Benjamin, Pierre, Joseph</t>
  </si>
  <si>
    <t>Henri, Emile, Christian</t>
  </si>
  <si>
    <t>Jean, Louis, Maximilien</t>
  </si>
  <si>
    <t>Charles, Louis, Simon</t>
  </si>
  <si>
    <t>Paul, Augustin</t>
  </si>
  <si>
    <t>Louis, Pierre, François</t>
  </si>
  <si>
    <t>Alexis, Eugène</t>
  </si>
  <si>
    <t>Marc-Antoine</t>
  </si>
  <si>
    <t>Elie, Pierre</t>
  </si>
  <si>
    <t>Bernard-Louis</t>
  </si>
  <si>
    <t>Henri, Ferdinand, Joseph</t>
  </si>
  <si>
    <t>Gustave, François, Louis</t>
  </si>
  <si>
    <t>Jean, Jules, Godefroy</t>
  </si>
  <si>
    <t>Hippolyte, Pierre, Raymond</t>
  </si>
  <si>
    <t>Calixte, Georges</t>
  </si>
  <si>
    <t>Ernest, Jean, Louis</t>
  </si>
  <si>
    <t>Maurice, Léonce</t>
  </si>
  <si>
    <t>Jean-Baptiste-Marie</t>
  </si>
  <si>
    <t>César, Sampiero, Auguste, Napoléon, Jérôme</t>
  </si>
  <si>
    <t>Etienne, Pierre</t>
  </si>
  <si>
    <t>Zéphirin</t>
  </si>
  <si>
    <t>Emile, Ulysse</t>
  </si>
  <si>
    <t>François, Jean</t>
  </si>
  <si>
    <t>Jean dit Charles</t>
  </si>
  <si>
    <t>Eugène, Georges</t>
  </si>
  <si>
    <t>Marcel, Albert</t>
  </si>
  <si>
    <t>Albert, Marie, Ambroise</t>
  </si>
  <si>
    <t>Maurice, Georges, Ernest Riquet de</t>
  </si>
  <si>
    <t>Horace de</t>
  </si>
  <si>
    <t>Alexandre, Georges</t>
  </si>
  <si>
    <t>Albert, Alexandre</t>
  </si>
  <si>
    <t>Jules, Léon, Ferdinand</t>
  </si>
  <si>
    <t>Hubert, Joseph</t>
  </si>
  <si>
    <t>Maximilien, Antoine, Albert</t>
  </si>
  <si>
    <t>Hippolyte</t>
  </si>
  <si>
    <t>Sadi, Marie, François</t>
  </si>
  <si>
    <t>Ernest, Claude, Jean</t>
  </si>
  <si>
    <t>François, Adolphe, Léon</t>
  </si>
  <si>
    <t>Jean, Paulin, Hippolyte</t>
  </si>
  <si>
    <t>René, François</t>
  </si>
  <si>
    <t>Isidore</t>
  </si>
  <si>
    <t>Francis</t>
  </si>
  <si>
    <t>Paul, Ange, Louis, Marie Carron de la</t>
  </si>
  <si>
    <t>Hyacinthe</t>
  </si>
  <si>
    <t>René Carré dit</t>
  </si>
  <si>
    <t>Joseph Luce de</t>
  </si>
  <si>
    <t>Paul, Charles, Fortuné Perier dit</t>
  </si>
  <si>
    <t>Jean, Paul, Pierre Perier dit</t>
  </si>
  <si>
    <t>Paul, Adolphe, Marie, Prosper Granier de</t>
  </si>
  <si>
    <t>Paul, Julien Granier de</t>
  </si>
  <si>
    <t>Eugène, François, Germain</t>
  </si>
  <si>
    <t>Émile</t>
  </si>
  <si>
    <t>Jean, René</t>
  </si>
  <si>
    <t>Gabriel, Prosper</t>
  </si>
  <si>
    <t>Jean, Marcel</t>
  </si>
  <si>
    <t>Guillaume Chastenet de</t>
  </si>
  <si>
    <t>Boniface Boni de</t>
  </si>
  <si>
    <t>Jean de</t>
  </si>
  <si>
    <t>Stanislas de</t>
  </si>
  <si>
    <t>Léonce de Curières de</t>
  </si>
  <si>
    <t>Edouard, Noël, Marie, Joseph de Curières de</t>
  </si>
  <si>
    <t>Joseph, Emile, Jean-Baptiste de Curières de</t>
  </si>
  <si>
    <t>Abel-Omer</t>
  </si>
  <si>
    <t>Jacques Drake Del</t>
  </si>
  <si>
    <t>Camille, Constant</t>
  </si>
  <si>
    <t>Jacques, Mathieu, Damien</t>
  </si>
  <si>
    <t>Pierre, Adolphe, Juste</t>
  </si>
  <si>
    <t>Adolphe, Joseph</t>
  </si>
  <si>
    <t>Paul, Ladislas</t>
  </si>
  <si>
    <t>Godefroy, Jacques, Marie, Eugène</t>
  </si>
  <si>
    <t>Louis, Henri, Angeli</t>
  </si>
  <si>
    <t>Jules, Adolphe</t>
  </si>
  <si>
    <t>Antoine, Georges, Hubert</t>
  </si>
  <si>
    <t>Pierre, Théodore</t>
  </si>
  <si>
    <t>Octave</t>
  </si>
  <si>
    <t>René, André</t>
  </si>
  <si>
    <t>Edmond, Marie, Justin</t>
  </si>
  <si>
    <t>Georges, Barthélémy</t>
  </si>
  <si>
    <t>Dominique, Emile</t>
  </si>
  <si>
    <t>Paul, Jean-Baptiste</t>
  </si>
  <si>
    <t>Célestin,Marc</t>
  </si>
  <si>
    <t>Dominique, François</t>
  </si>
  <si>
    <t>René Le</t>
  </si>
  <si>
    <t>Léopold, Camille</t>
  </si>
  <si>
    <t>FABIEN-CESBRON</t>
  </si>
  <si>
    <t>Cyprien</t>
  </si>
  <si>
    <t>Paul-Amand</t>
  </si>
  <si>
    <t>Charles-Emile La</t>
  </si>
  <si>
    <t>Charles La</t>
  </si>
  <si>
    <t>Guy La</t>
  </si>
  <si>
    <t>Pierre Pineton de</t>
  </si>
  <si>
    <t>Noêl, Victor, François)</t>
  </si>
  <si>
    <t>Jacques de</t>
  </si>
  <si>
    <t>Ernest, Paul, Maurice</t>
  </si>
  <si>
    <t>John, Alexander, Edgar Dumas de</t>
  </si>
  <si>
    <t>CHANAL</t>
  </si>
  <si>
    <t>Jean, Louis, dit Eugène</t>
  </si>
  <si>
    <t>Jean, Rollin</t>
  </si>
  <si>
    <t>Amable, Jean-Baptiste</t>
  </si>
  <si>
    <t>Antonin, Pierre, Joseph</t>
  </si>
  <si>
    <t>Louis, Marc, Michel de</t>
  </si>
  <si>
    <t>Fernand</t>
  </si>
  <si>
    <t>Charles, Augustin Benoist dit</t>
  </si>
  <si>
    <t>Charles, Jean Bernard dit</t>
  </si>
  <si>
    <t>Charles Gras dit</t>
  </si>
  <si>
    <t>Charles, Jules, Théodore Roux dit</t>
  </si>
  <si>
    <t>Francis, Marie, Julien, Joseph, François</t>
  </si>
  <si>
    <t>Adolphe-Henri</t>
  </si>
  <si>
    <t>Edmond, Louis, Alfred</t>
  </si>
  <si>
    <t>Léon, Hubert</t>
  </si>
  <si>
    <t>Paul, Auguste, Pierre, Marie</t>
  </si>
  <si>
    <t>Henri-Blaise</t>
  </si>
  <si>
    <t>Eugène, Antoine</t>
  </si>
  <si>
    <t>Jean, Louis</t>
  </si>
  <si>
    <t>Alexandre, Marie Genet de</t>
  </si>
  <si>
    <t>Henri, Julien</t>
  </si>
  <si>
    <t>Georges, Gabriel, Auguste</t>
  </si>
  <si>
    <t>Georges, Jean, Albert</t>
  </si>
  <si>
    <t>Jean, Paul, Gaston, Lucien</t>
  </si>
  <si>
    <t>Albert, Léonard</t>
  </si>
  <si>
    <t>Charles, Jean, Charles</t>
  </si>
  <si>
    <t>Emile Cornudet des</t>
  </si>
  <si>
    <t>Honoré, François-Joseph Cornudet des</t>
  </si>
  <si>
    <t>Jacques, Henri, Bertrand</t>
  </si>
  <si>
    <t>Emmanuel, Jacques, Marie</t>
  </si>
  <si>
    <t>Arthur, Théophile</t>
  </si>
  <si>
    <t>Paul, Henri, Joseph</t>
  </si>
  <si>
    <t>Emile, François</t>
  </si>
  <si>
    <t>Félix, Marie</t>
  </si>
  <si>
    <t>Franck, Joseph, Charles</t>
  </si>
  <si>
    <t>Georges, Louis, Marie</t>
  </si>
  <si>
    <t>René, Auguste</t>
  </si>
  <si>
    <t>Auguste, Joseph, Marius, Léopold</t>
  </si>
  <si>
    <t>Georges, Lucien, Désir</t>
  </si>
  <si>
    <t>Emmanuel, Jean, Jules</t>
  </si>
  <si>
    <t>Jean, Ludovic dit René Picard-Chavagnes dit</t>
  </si>
  <si>
    <t>Marius</t>
  </si>
  <si>
    <t>Alexis</t>
  </si>
  <si>
    <t>SAL</t>
  </si>
  <si>
    <t>Emmanuel, Victor</t>
  </si>
  <si>
    <t>Henri, Jean, Georges, François</t>
  </si>
  <si>
    <t>André, Camille</t>
  </si>
  <si>
    <t>Amédée, François</t>
  </si>
  <si>
    <t>Octave, Pierre, Léonce</t>
  </si>
  <si>
    <t>Emile, Victor</t>
  </si>
  <si>
    <t>Arthur Le</t>
  </si>
  <si>
    <t>Joseph Le</t>
  </si>
  <si>
    <t>POL-CHEVALIER</t>
  </si>
  <si>
    <t>Ernest, Amand</t>
  </si>
  <si>
    <t>Charles, François</t>
  </si>
  <si>
    <t>Bernardin</t>
  </si>
  <si>
    <t>Emile, Louis, Augustin</t>
  </si>
  <si>
    <t>Antoine-Daniel</t>
  </si>
  <si>
    <t>Joseph, Marie, Eugène</t>
  </si>
  <si>
    <t>Jean, Charles</t>
  </si>
  <si>
    <t>Julien, Henri</t>
  </si>
  <si>
    <t>Léon, Théophile</t>
  </si>
  <si>
    <t>Jean, Marie, Charles Aymé de la</t>
  </si>
  <si>
    <t>Paul, Dominique Rameau dit</t>
  </si>
  <si>
    <t>Albert, Marc</t>
  </si>
  <si>
    <t>Prosper, Alfred, Antoine</t>
  </si>
  <si>
    <t>François, Antoine, Léon</t>
  </si>
  <si>
    <t>Horace, Eugène, Antoine de</t>
  </si>
  <si>
    <t>André, Florimond</t>
  </si>
  <si>
    <t>Pierre, Théophile</t>
  </si>
  <si>
    <t>Léon, Paul</t>
  </si>
  <si>
    <t>Joseph, Narcisse, Léon, Jean</t>
  </si>
  <si>
    <t>Armand, Pierre, Emile</t>
  </si>
  <si>
    <t>Albert, Silas, Médéric, Charles</t>
  </si>
  <si>
    <t>Jean, Michel</t>
  </si>
  <si>
    <t>Alfred, Henri</t>
  </si>
  <si>
    <t>Jean-Baptiste, Jacques</t>
  </si>
  <si>
    <t>Adolphe, François</t>
  </si>
  <si>
    <t>Alfred, Louis</t>
  </si>
  <si>
    <t>Oscar</t>
  </si>
  <si>
    <t>Victor, Jules, Dunon</t>
  </si>
  <si>
    <t>Henri, Louis, Marie de Durfort de</t>
  </si>
  <si>
    <t>Albert Gauthier de</t>
  </si>
  <si>
    <t>Jean-Jules</t>
  </si>
  <si>
    <t>Clément, Pierre, Antoine</t>
  </si>
  <si>
    <t>Louis-Edmond</t>
  </si>
  <si>
    <t>Fernand, René, Léon, Just</t>
  </si>
  <si>
    <t>Jean-Marie, Albin</t>
  </si>
  <si>
    <t>Albert-André</t>
  </si>
  <si>
    <t>Adolphe, Auguste Maynard de la</t>
  </si>
  <si>
    <t>Albert, Marie, Nicolas, Maurice Le</t>
  </si>
  <si>
    <t>Georges, Eugène, Benjamin</t>
  </si>
  <si>
    <t>Louis, Honoré, Fernand</t>
  </si>
  <si>
    <t>Henri, François, Joseph, Marius</t>
  </si>
  <si>
    <t>Louis, Constantin, Henri, François-Xavier de</t>
  </si>
  <si>
    <t>Jean, Léon</t>
  </si>
  <si>
    <t>Othenin</t>
  </si>
  <si>
    <t>Emile, Auguste, Joseph, Marie</t>
  </si>
  <si>
    <t>Pierre, Antoine, Marie Amidieu du</t>
  </si>
  <si>
    <t>Charles, Roger dit Daniel</t>
  </si>
  <si>
    <t>Gustave, Paul</t>
  </si>
  <si>
    <t>Anatole, Jean</t>
  </si>
  <si>
    <t>Louis, Géraud, Joseph</t>
  </si>
  <si>
    <t>Homère, Charles, Marie, Hidulphe</t>
  </si>
  <si>
    <t>Emile, Charles, Alfred</t>
  </si>
  <si>
    <t>Jean, Alfred, Eugène</t>
  </si>
  <si>
    <t>Philibert</t>
  </si>
  <si>
    <t>Adolphe, Louis</t>
  </si>
  <si>
    <t>Georges, Charles, Paul</t>
  </si>
  <si>
    <t>Denys, Pierre, Augustin, Marie</t>
  </si>
  <si>
    <t>Henry, Denis, Benoist, Marie</t>
  </si>
  <si>
    <t>Claude, Edouard, Denys, Marie</t>
  </si>
  <si>
    <t>Jean, Julien, Augustin</t>
  </si>
  <si>
    <t>Louis, Romain, Jean, Pierre</t>
  </si>
  <si>
    <t>Achille</t>
  </si>
  <si>
    <t>André, Pierre</t>
  </si>
  <si>
    <t>Joseph de Gouyon de</t>
  </si>
  <si>
    <t>Jean, Pierre, Louis, Jean-Baptiste de</t>
  </si>
  <si>
    <t>Jean-Claude</t>
  </si>
  <si>
    <t>Maurice, Pierre</t>
  </si>
  <si>
    <t>Albert, Léopold, Paul</t>
  </si>
  <si>
    <t>Alfred, Joseph</t>
  </si>
  <si>
    <t>Arsène</t>
  </si>
  <si>
    <t>Pierre, Augustin, Nicolas</t>
  </si>
  <si>
    <t>François, dit Gabriel</t>
  </si>
  <si>
    <t>Emery</t>
  </si>
  <si>
    <t>Adéodat, Constant, Alphonse</t>
  </si>
  <si>
    <t>Albert, Félix</t>
  </si>
  <si>
    <t>Ernest, Jean, Antoine</t>
  </si>
  <si>
    <t>Paul, André, Ferdinand</t>
  </si>
  <si>
    <t>Pierre, Léon, Edouard</t>
  </si>
  <si>
    <t>Paul d'Estournelles de</t>
  </si>
  <si>
    <t>Jean, Louis, dit Emile</t>
  </si>
  <si>
    <t>Célestin</t>
  </si>
  <si>
    <t>Joanny, Marius, dit Jean</t>
  </si>
  <si>
    <t>Ephrem</t>
  </si>
  <si>
    <t>Bernard, Gabriel, Jean, Marie de</t>
  </si>
  <si>
    <t>Jean-Maurice Le</t>
  </si>
  <si>
    <t>Anthime</t>
  </si>
  <si>
    <t>Junyen</t>
  </si>
  <si>
    <t>François, René</t>
  </si>
  <si>
    <t>Léonard</t>
  </si>
  <si>
    <t>Léon, Eugène</t>
  </si>
  <si>
    <t>Gaston, Louis, Paul</t>
  </si>
  <si>
    <t>André, Victor</t>
  </si>
  <si>
    <t>Honoré</t>
  </si>
  <si>
    <t>Henry, Jean-Baptiste</t>
  </si>
  <si>
    <t>Sélim</t>
  </si>
  <si>
    <t>Henri, Charles</t>
  </si>
  <si>
    <t>Thomas, Jean-Baptiste, François</t>
  </si>
  <si>
    <t>Pierre, Jules</t>
  </si>
  <si>
    <t>Charles, Eugène</t>
  </si>
  <si>
    <t>Amédée</t>
  </si>
  <si>
    <t>Louis, Marie, Adrien, Philippe</t>
  </si>
  <si>
    <t>Eugène Le</t>
  </si>
  <si>
    <t>de</t>
  </si>
  <si>
    <t>Philippe, Eugène, Pierre</t>
  </si>
  <si>
    <t>Charles-Henri</t>
  </si>
  <si>
    <t>Marcel</t>
  </si>
  <si>
    <t>Paul, Jean, Pierre</t>
  </si>
  <si>
    <t>Jules, François, Joseph, Marie</t>
  </si>
  <si>
    <t>Marie-Joseph</t>
  </si>
  <si>
    <t>Elie, Emile</t>
  </si>
  <si>
    <t>Georges, Lucien, Paul, Constant</t>
  </si>
  <si>
    <t>Claude Clausel de</t>
  </si>
  <si>
    <t>Jules Coutant dit</t>
  </si>
  <si>
    <t>Ernest, Clément, Désiré</t>
  </si>
  <si>
    <t>Charles, Louis</t>
  </si>
  <si>
    <t>Jean-Baptiste, Henry</t>
  </si>
  <si>
    <t>Charles, Maurice dit Maurice</t>
  </si>
  <si>
    <t>Yves Le</t>
  </si>
  <si>
    <t>Henry, Edouard</t>
  </si>
  <si>
    <t>Alexandre, Denis</t>
  </si>
  <si>
    <t>Georges, Adrien, Jules</t>
  </si>
  <si>
    <t>Jean, Joseph, Antoine</t>
  </si>
  <si>
    <t>Octave, Louis, Charles, Célestin</t>
  </si>
  <si>
    <t>Fernand, Josué</t>
  </si>
  <si>
    <t>Philippe, Eugène</t>
  </si>
  <si>
    <t>Paul, Raymond, Maxime</t>
  </si>
  <si>
    <t>Jules, Raymond, Joseph, Philippe</t>
  </si>
  <si>
    <t>Emile, Paul, Auguste</t>
  </si>
  <si>
    <t>Charles Jouffroy</t>
  </si>
  <si>
    <t>Xavier, Joseph, Frédéric, Guillaume de Magallon</t>
  </si>
  <si>
    <t>Hector, Hugues, Alphonse, Marie</t>
  </si>
  <si>
    <t>Augustin, Fernand Caillard</t>
  </si>
  <si>
    <t>Bernard, Julien, Marie</t>
  </si>
  <si>
    <t>Geoffroy, Charles, François, Marie</t>
  </si>
  <si>
    <t>Fortuné, Marie, Pierre</t>
  </si>
  <si>
    <t>François, Antoine de Boissy</t>
  </si>
  <si>
    <t>Bertrand, Marie, Joseph de Sauvan</t>
  </si>
  <si>
    <t>Auguste, Louis, Albéric</t>
  </si>
  <si>
    <t>Pierre, Gaston, Marie, Marc, de Voyer</t>
  </si>
  <si>
    <t>Paul, Eugène, Augustin Dariste dit</t>
  </si>
  <si>
    <t>Léon, Armand, Charles de Baudry</t>
  </si>
  <si>
    <t>Armand, Charles de Baudry</t>
  </si>
  <si>
    <t>Alain, Albert Leret</t>
  </si>
  <si>
    <t>Edme</t>
  </si>
  <si>
    <t>Etienne, Denis, Augustin, Marie, Gaston</t>
  </si>
  <si>
    <t>Marie-François, Guénin Harouart de Suarès</t>
  </si>
  <si>
    <t>Pierre, Guy, Marie de Blacas</t>
  </si>
  <si>
    <t>Joseph Martin</t>
  </si>
  <si>
    <t>Jean, Émile, Laurent, Michel de Bermond</t>
  </si>
  <si>
    <t>Christian, Marie, Alphonse Daliney</t>
  </si>
  <si>
    <t>Albéric</t>
  </si>
  <si>
    <t>Marie, Reimbold</t>
  </si>
  <si>
    <t>Louis d'Iriart</t>
  </si>
  <si>
    <t>Charles, Félix, Marie</t>
  </si>
  <si>
    <t>Charles, Albert de Dompierre</t>
  </si>
  <si>
    <t>Paul-Antonin</t>
  </si>
  <si>
    <t>Maurice Le Sage d'Hauteroche</t>
  </si>
  <si>
    <t>Thierry, Arno, Laurent, Baudouin d'Alsace</t>
  </si>
  <si>
    <t>Paul, Etienne Vigné dit Vigné</t>
  </si>
  <si>
    <t>Jean Hély</t>
  </si>
  <si>
    <t>Gustave Cunéo</t>
  </si>
  <si>
    <t>Charles, François, Romain</t>
  </si>
  <si>
    <t>Tanguy</t>
  </si>
  <si>
    <t>Marin, Jean-Pierre</t>
  </si>
  <si>
    <t>Albert, François, Marie</t>
  </si>
  <si>
    <t>Maurice, Joseph</t>
  </si>
  <si>
    <t>Jean-Baptiste, Fernand</t>
  </si>
  <si>
    <t>Jean-Baptiste, Guillaume</t>
  </si>
  <si>
    <t>Charles Vincent dit</t>
  </si>
  <si>
    <t>Charles, Léon, Claude</t>
  </si>
  <si>
    <t>Jules, Auguste, Joseph</t>
  </si>
  <si>
    <t>Louis, Jacques, Paul, Marie</t>
  </si>
  <si>
    <t>Henry, André, Joseph</t>
  </si>
  <si>
    <t>Adrien, Louis</t>
  </si>
  <si>
    <t>Antoine, Pierre</t>
  </si>
  <si>
    <t>Achille, Pierre, Anatole, Eugène</t>
  </si>
  <si>
    <t>Léopold, Alphonse</t>
  </si>
  <si>
    <t>Emile, Jean, Joseph, Ferdinand</t>
  </si>
  <si>
    <t>Félix, Bernard</t>
  </si>
  <si>
    <t>Augustin, Honoré</t>
  </si>
  <si>
    <t>Raymond, Pierre</t>
  </si>
  <si>
    <t>Lucien, Auguste</t>
  </si>
  <si>
    <t>Philippe, Jean, Michel</t>
  </si>
  <si>
    <t>Isidore, Bernard</t>
  </si>
  <si>
    <t>Jean, Justin, Fritz, Etienne</t>
  </si>
  <si>
    <t>Alban, Bernard</t>
  </si>
  <si>
    <t>Théophile, Timothée, Honoré</t>
  </si>
  <si>
    <t>Robert, Pierre, François</t>
  </si>
  <si>
    <t>Alfonse</t>
  </si>
  <si>
    <t>Stanislas</t>
  </si>
  <si>
    <t>COURTOT</t>
  </si>
  <si>
    <t>Patrice</t>
  </si>
  <si>
    <t>Anne</t>
  </si>
  <si>
    <t>Geoffroy</t>
  </si>
  <si>
    <t>Severiano</t>
  </si>
  <si>
    <t>Hervé</t>
  </si>
  <si>
    <t>Edgar</t>
  </si>
  <si>
    <t>Palamède</t>
  </si>
  <si>
    <t>Amaury</t>
  </si>
  <si>
    <t>Charles-André</t>
  </si>
  <si>
    <t>Léonel</t>
  </si>
  <si>
    <t>Werner</t>
  </si>
  <si>
    <t>Anatole</t>
  </si>
  <si>
    <t>Arnold</t>
  </si>
  <si>
    <t>Marie-Clément</t>
  </si>
  <si>
    <t>Olivier</t>
  </si>
  <si>
    <t>Justin</t>
  </si>
  <si>
    <t>Elisée</t>
  </si>
  <si>
    <t>Anatole, Edouard</t>
  </si>
  <si>
    <t>Désiré, Philippe, Joseph</t>
  </si>
  <si>
    <t>Ernest-Alfred</t>
  </si>
  <si>
    <t>Paul-Henry</t>
  </si>
  <si>
    <t>Jean-Charles</t>
  </si>
  <si>
    <t>Adolphe, Etienne, Marius</t>
  </si>
  <si>
    <t>Adolphe, Edouard</t>
  </si>
  <si>
    <t>Alphonse, Jean</t>
  </si>
  <si>
    <t>Henri, Charles, Louis</t>
  </si>
  <si>
    <t>Olivier, Jules, Félix, Eugène</t>
  </si>
  <si>
    <t>Jean-Charles, Eugène,Jules</t>
  </si>
  <si>
    <t>Joseph-Eleuthère</t>
  </si>
  <si>
    <t>Victor, Louis</t>
  </si>
  <si>
    <t>Joseph, Louis, Adolphe</t>
  </si>
  <si>
    <t>Dominique</t>
  </si>
  <si>
    <t>Paul, Octave, Prosper</t>
  </si>
  <si>
    <t>Eugène, Paul</t>
  </si>
  <si>
    <t>Alexis, Achille</t>
  </si>
  <si>
    <t>Raphaël, Emile, Jean</t>
  </si>
  <si>
    <t>Ernest, Pierre, Julien</t>
  </si>
  <si>
    <t>Yvon, Pierre, Stanislas</t>
  </si>
  <si>
    <t>Alfred, Marc, Louis</t>
  </si>
  <si>
    <t>Jules, André, Joseph</t>
  </si>
  <si>
    <t>Casimir</t>
  </si>
  <si>
    <t>François, Antoine</t>
  </si>
  <si>
    <t>Charles, Emile</t>
  </si>
  <si>
    <t>Arthur, Vincent</t>
  </si>
  <si>
    <t>Alcide, Jean-Baptiste, Saint-Ange</t>
  </si>
  <si>
    <t>Gabriel, Louis, Eugène, Alfred</t>
  </si>
  <si>
    <t>Maurice, Marie, Joseph</t>
  </si>
  <si>
    <t>Charles, Jean-Benoît</t>
  </si>
  <si>
    <t>Clotaire</t>
  </si>
  <si>
    <t>Louis, Jean-Baptiste</t>
  </si>
  <si>
    <t>Roger, Jean-Marie, Camille</t>
  </si>
  <si>
    <t>Léonce</t>
  </si>
  <si>
    <t>Maurice, Marc, Auguste</t>
  </si>
  <si>
    <t>Joseph, Paul, Emile, Marie</t>
  </si>
  <si>
    <t>Marie, Louis</t>
  </si>
  <si>
    <t>Théodore</t>
  </si>
  <si>
    <t>Arnaud, Elie</t>
  </si>
  <si>
    <t>Hector</t>
  </si>
  <si>
    <t>Laurent, Jules, Jean</t>
  </si>
  <si>
    <t>Joseph, Constant, Michel</t>
  </si>
  <si>
    <t>Jean, Marie, Joseph, Charles</t>
  </si>
  <si>
    <t>Jean, Louis, Camille, Emile</t>
  </si>
  <si>
    <t>Louis, Georges</t>
  </si>
  <si>
    <t>Antonin</t>
  </si>
  <si>
    <t>Alphonse, Désiré</t>
  </si>
  <si>
    <t>Augustin</t>
  </si>
  <si>
    <t>Louis, Félix</t>
  </si>
  <si>
    <t>Jean-Pierre, Eudore</t>
  </si>
  <si>
    <t>Jean, Albert</t>
  </si>
  <si>
    <t>Guillaume, Amédée</t>
  </si>
  <si>
    <t>Louis, Edouard, Joseph</t>
  </si>
  <si>
    <t>Louis, Charles, Edmond</t>
  </si>
  <si>
    <t>Félix-François</t>
  </si>
  <si>
    <t>Louis, Antonin</t>
  </si>
  <si>
    <t>Pierre, Paul</t>
  </si>
  <si>
    <t>Sulpice</t>
  </si>
  <si>
    <t>Blaise</t>
  </si>
  <si>
    <t>Louis de</t>
  </si>
  <si>
    <t>Charles, Jacques</t>
  </si>
  <si>
    <t>Jules, Philippe, Félix, Albert de</t>
  </si>
  <si>
    <t>Galandou</t>
  </si>
  <si>
    <t>Charles, Guy, Adrien</t>
  </si>
  <si>
    <t>Jacques, Amédée</t>
  </si>
  <si>
    <t>Jules, Yves</t>
  </si>
  <si>
    <t>Daniel, Georges, Claude</t>
  </si>
  <si>
    <t>Auguste Parenthou d'Ormoy dit</t>
  </si>
  <si>
    <t>Marx</t>
  </si>
  <si>
    <t>Armand Le</t>
  </si>
  <si>
    <t>Marc</t>
  </si>
  <si>
    <t>Gaston de</t>
  </si>
  <si>
    <t>Félix, Guillaume</t>
  </si>
  <si>
    <t>Pierre, Honoré</t>
  </si>
  <si>
    <t>Etienne, Hubert, Ernest</t>
  </si>
  <si>
    <t>Amaury, Pierre</t>
  </si>
  <si>
    <t>Ernest, Jean-Baptiste, André</t>
  </si>
  <si>
    <t>Césaire</t>
  </si>
  <si>
    <t>Fernand, Jean-Baptiste</t>
  </si>
  <si>
    <t>(Louis, Camille, Alexandre, Marie</t>
  </si>
  <si>
    <t>Emile, André, Désiré</t>
  </si>
  <si>
    <t>Arnauld</t>
  </si>
  <si>
    <t>André, César</t>
  </si>
  <si>
    <t>Emile, Jules</t>
  </si>
  <si>
    <t>Louis, Joseph, Marie</t>
  </si>
  <si>
    <t>Paul, Casimir, Léon</t>
  </si>
  <si>
    <t>Henri, Antonin</t>
  </si>
  <si>
    <t>Jacques, Etienne, Albert</t>
  </si>
  <si>
    <t>Louis, Noël</t>
  </si>
  <si>
    <t>Charles, Jacques, Marie, Tanneguy</t>
  </si>
  <si>
    <t>Fabien</t>
  </si>
  <si>
    <t>Pierre, Alphonse</t>
  </si>
  <si>
    <t>Antoine, Scaevola</t>
  </si>
  <si>
    <t>Joseph, Pierre, Louis, Edouard</t>
  </si>
  <si>
    <t>Hippolyte, Roc, Aristide</t>
  </si>
  <si>
    <t>Armand, Victor, Eugène, Henri, Lucien, Marie, Joseph</t>
  </si>
  <si>
    <t>Jean, François, Sigismond</t>
  </si>
  <si>
    <t>Auguste, Bertrand, François, Joseph, Marie, Désiré</t>
  </si>
  <si>
    <t>Eugène, Florentin</t>
  </si>
  <si>
    <t>Paul, Guillaume</t>
  </si>
  <si>
    <t>Paul, Marie, Joseph</t>
  </si>
  <si>
    <t>Henri, Charles, Etienne</t>
  </si>
  <si>
    <t>Paul, Charles, Eugène</t>
  </si>
  <si>
    <t>Alexandre, Gilbert</t>
  </si>
  <si>
    <t>Julien, Pierre, Paul</t>
  </si>
  <si>
    <t>Emile, Jean</t>
  </si>
  <si>
    <t>Charles, Antoine</t>
  </si>
  <si>
    <t>Louis, Marie, Edouard</t>
  </si>
  <si>
    <t>Jacques-Louis</t>
  </si>
  <si>
    <t>Lucien, Ernest, Alfred</t>
  </si>
  <si>
    <t>Léon, Jean-Marie</t>
  </si>
  <si>
    <t>Jean-Jacques, Henri, André</t>
  </si>
  <si>
    <t>Eugène, Henri</t>
  </si>
  <si>
    <t>Louis, Jean, Georges</t>
  </si>
  <si>
    <t>Eutrope</t>
  </si>
  <si>
    <t>Joseph, Théobald</t>
  </si>
  <si>
    <t>Gaston, Auguste, Adolphe</t>
  </si>
  <si>
    <t>Marie, Adolphe</t>
  </si>
  <si>
    <t>Eugène, André</t>
  </si>
  <si>
    <t>Emile, Amédée</t>
  </si>
  <si>
    <t>Léandre</t>
  </si>
  <si>
    <t>Armand, Camille</t>
  </si>
  <si>
    <t>CHARLES-DUPUY</t>
  </si>
  <si>
    <t>Ludovic</t>
  </si>
  <si>
    <t>François, Jean-Baptiste, Antoine, Paulin</t>
  </si>
  <si>
    <t>Destin</t>
  </si>
  <si>
    <t>Charles, Alexandre</t>
  </si>
  <si>
    <t>Paul, Jacques</t>
  </si>
  <si>
    <t>Osman, Philippe</t>
  </si>
  <si>
    <t>Paul, François</t>
  </si>
  <si>
    <t>François, Charles, Abel</t>
  </si>
  <si>
    <t>Léonce, Emile</t>
  </si>
  <si>
    <t>James</t>
  </si>
  <si>
    <t>Eugène, François, Joseph</t>
  </si>
  <si>
    <t>Joseph, Etienne, Denis</t>
  </si>
  <si>
    <t>Auguste, Louis, Marie</t>
  </si>
  <si>
    <t>Julien, Auguste, John, Eugène</t>
  </si>
  <si>
    <t>Octave, Léon</t>
  </si>
  <si>
    <t>Etienne, Octave</t>
  </si>
  <si>
    <t>François, Alexis, Alcide</t>
  </si>
  <si>
    <t>Paul, Antoine, François</t>
  </si>
  <si>
    <t>Louis, Frédéric, Eugène</t>
  </si>
  <si>
    <t>Silvain</t>
  </si>
  <si>
    <t>César, Joseph</t>
  </si>
  <si>
    <t>Alexandre, Henri</t>
  </si>
  <si>
    <t>Jules, Yves, Antoine</t>
  </si>
  <si>
    <t>Nicolas, Eugène</t>
  </si>
  <si>
    <t>Joannès, François, Marie</t>
  </si>
  <si>
    <t>André, Louis</t>
  </si>
  <si>
    <t>Paul, Marie, Victor</t>
  </si>
  <si>
    <t>Sully</t>
  </si>
  <si>
    <t>Antoine, Abel, Gabriel Prévot dit</t>
  </si>
  <si>
    <t>Christian</t>
  </si>
  <si>
    <t>César, Constantin</t>
  </si>
  <si>
    <t>Auguste, Alexandre</t>
  </si>
  <si>
    <t>Lazare, Henri</t>
  </si>
  <si>
    <t>Eugène, René, François</t>
  </si>
  <si>
    <t>Maurice-Henri</t>
  </si>
  <si>
    <t>Jérôme</t>
  </si>
  <si>
    <t>Sylvain</t>
  </si>
  <si>
    <t>Jules Corrard des</t>
  </si>
  <si>
    <t>Louis, Félix, Jean-Baptiste</t>
  </si>
  <si>
    <t>Jean, Joseph, Mathurin</t>
  </si>
  <si>
    <t>Jacques, Michel, Marie</t>
  </si>
  <si>
    <t>Louis, Aimé</t>
  </si>
  <si>
    <t>Amant, Joseph</t>
  </si>
  <si>
    <t>Léopold, Guillaume, Marie</t>
  </si>
  <si>
    <t>Ulysse</t>
  </si>
  <si>
    <t>Harold, Emmanuel, Jean, Agis</t>
  </si>
  <si>
    <t>Auguste, Gabriel</t>
  </si>
  <si>
    <t>Eugène, Jérôme</t>
  </si>
  <si>
    <t>Henri Provost de la</t>
  </si>
  <si>
    <t>Louis, Pierre, Marie</t>
  </si>
  <si>
    <t>Pierre, Victor, Ferdinand</t>
  </si>
  <si>
    <t>Adrien, Vital</t>
  </si>
  <si>
    <t>Maxime</t>
  </si>
  <si>
    <t>Henri, Joseph Dugué de la</t>
  </si>
  <si>
    <t>MAURICE-FAURE</t>
  </si>
  <si>
    <t>Pierre, Hippolyte</t>
  </si>
  <si>
    <t>Jean, Amédée Le</t>
  </si>
  <si>
    <t>Maurice-Louis</t>
  </si>
  <si>
    <t>Firmin</t>
  </si>
  <si>
    <t>René, André, Louis, Joseph</t>
  </si>
  <si>
    <t>Pétrus</t>
  </si>
  <si>
    <t>Justin, François</t>
  </si>
  <si>
    <t>Joseph Marion de</t>
  </si>
  <si>
    <t>Marie, Aimé, Henri Faton de</t>
  </si>
  <si>
    <t>Jean, Henri, Antoine Le</t>
  </si>
  <si>
    <t>André de</t>
  </si>
  <si>
    <t>Charles, Marius, Michel de Goyon de</t>
  </si>
  <si>
    <t>Barthélémy, Amédée</t>
  </si>
  <si>
    <t>Marie, Paul, Henry</t>
  </si>
  <si>
    <t>Lucien Gaultier de La</t>
  </si>
  <si>
    <t>Henri Ferron de La</t>
  </si>
  <si>
    <t>Henri de La</t>
  </si>
  <si>
    <t>Joannis</t>
  </si>
  <si>
    <t>Jules, François, Camille</t>
  </si>
  <si>
    <t>Albert, Joseph</t>
  </si>
  <si>
    <t>Désiré</t>
  </si>
  <si>
    <t>Henri, Jules, Albert des Lyons de</t>
  </si>
  <si>
    <t>Edmond, Charles, Philippe Ansart Rault du</t>
  </si>
  <si>
    <t>Jean, Théoxène Roque de</t>
  </si>
  <si>
    <t>Jean-Paul</t>
  </si>
  <si>
    <t>Arsène-Celestin</t>
  </si>
  <si>
    <t>Pierre, Etienne</t>
  </si>
  <si>
    <t>Charles, Frédéric</t>
  </si>
  <si>
    <t>Charles, Thomas</t>
  </si>
  <si>
    <t>Emile, Léopold</t>
  </si>
  <si>
    <t>Raymond de</t>
  </si>
  <si>
    <t>Pierre Bizot de</t>
  </si>
  <si>
    <t>Anatole de La</t>
  </si>
  <si>
    <t>Roland</t>
  </si>
  <si>
    <t>Jean, Jacques, Joseph</t>
  </si>
  <si>
    <t>Edouard-Auguste</t>
  </si>
  <si>
    <t>Charles, Félix, Michel</t>
  </si>
  <si>
    <t>Louis, Camille</t>
  </si>
  <si>
    <t>Manuel</t>
  </si>
  <si>
    <t>Jean-Urbain</t>
  </si>
  <si>
    <t>Hughes</t>
  </si>
  <si>
    <t>Gilbert, Armand</t>
  </si>
  <si>
    <t>Oscar Bardi de</t>
  </si>
  <si>
    <t>Ernest, Eugène</t>
  </si>
  <si>
    <t>Théobald</t>
  </si>
  <si>
    <t>Lucien Le</t>
  </si>
  <si>
    <t>Ernest de Framont de la</t>
  </si>
  <si>
    <t>Hippolyte, Paul, Emile</t>
  </si>
  <si>
    <t>Pierre, Isaac, Isidore Mendès</t>
  </si>
  <si>
    <t>François Albert dit</t>
  </si>
  <si>
    <t>Charles-Emile</t>
  </si>
  <si>
    <t>Joseph, Anatole Bosquillon de</t>
  </si>
  <si>
    <t>François-Marie Le</t>
  </si>
  <si>
    <t>Alcée</t>
  </si>
  <si>
    <t>Ludovic-Oscar</t>
  </si>
  <si>
    <t>Elysée</t>
  </si>
  <si>
    <t>Charles, Félix</t>
  </si>
  <si>
    <t>François, Tiburce</t>
  </si>
  <si>
    <t>Augustin, Cyrille</t>
  </si>
  <si>
    <t>Thadée</t>
  </si>
  <si>
    <t>Jules, Gabriel</t>
  </si>
  <si>
    <t>Antoine, Elie</t>
  </si>
  <si>
    <t>Wladimir, Just, Charles</t>
  </si>
  <si>
    <t>Hyacinthe de</t>
  </si>
  <si>
    <t>Auguste, Pierre, Antoine</t>
  </si>
  <si>
    <t>Charles-Eugène</t>
  </si>
  <si>
    <t>Claudius</t>
  </si>
  <si>
    <t>Jean-Baptiste, Claude</t>
  </si>
  <si>
    <t>Henri, Louis Gallichet dit</t>
  </si>
  <si>
    <t>Henri, François</t>
  </si>
  <si>
    <t>Yves, Marie Le Gallou dit</t>
  </si>
  <si>
    <t>Auguste, Léopold, Frédéric, Clément</t>
  </si>
  <si>
    <t>Léon, Michel</t>
  </si>
  <si>
    <t>Charles, Ferdinand</t>
  </si>
  <si>
    <t>Louis, Alban</t>
  </si>
  <si>
    <t>Louis, André</t>
  </si>
  <si>
    <t>Jean-Louis</t>
  </si>
  <si>
    <t>Jean-François, Emile</t>
  </si>
  <si>
    <t>Etienne, Henri</t>
  </si>
  <si>
    <t>Frédéric, Jean, François, Gustave</t>
  </si>
  <si>
    <t>Fernand, Edouard</t>
  </si>
  <si>
    <t>Lucien, Charles, Marie</t>
  </si>
  <si>
    <t>Joseph, Alexandre de</t>
  </si>
  <si>
    <t>Louis, André, Ferdinand</t>
  </si>
  <si>
    <t>Gabriel, Claude</t>
  </si>
  <si>
    <t>Baptiste</t>
  </si>
  <si>
    <t>Antoine, François, Félix</t>
  </si>
  <si>
    <t>Alfred, Nicolas</t>
  </si>
  <si>
    <t>Simon, Samuel, Edouard, Léonce</t>
  </si>
  <si>
    <t>René-François</t>
  </si>
  <si>
    <t>Jean-Fernand</t>
  </si>
  <si>
    <t>Eusèbe</t>
  </si>
  <si>
    <t>Sébastien</t>
  </si>
  <si>
    <t>Paul Le</t>
  </si>
  <si>
    <t>Alphonse, Joseph, Antoine</t>
  </si>
  <si>
    <t>Eustache</t>
  </si>
  <si>
    <t>Louis-Germain</t>
  </si>
  <si>
    <t>Henri, Antoine, Marie</t>
  </si>
  <si>
    <t>Gaston, Marie, Sidoine, Théonile</t>
  </si>
  <si>
    <t>Alfred, Mathieu</t>
  </si>
  <si>
    <t>Albini</t>
  </si>
  <si>
    <t>Claude-Joseph</t>
  </si>
  <si>
    <t>André, Pierre, Armand, Pascal</t>
  </si>
  <si>
    <t>François, Philibert</t>
  </si>
  <si>
    <t>Numa</t>
  </si>
  <si>
    <t>César, Auguste</t>
  </si>
  <si>
    <t>Alfred, Louis, Joseph</t>
  </si>
  <si>
    <t>Henri, Etienne</t>
  </si>
  <si>
    <t>Irénée</t>
  </si>
  <si>
    <t>Léon, Adolphe</t>
  </si>
  <si>
    <t>François, Jean, Amédée</t>
  </si>
  <si>
    <t>René-Marie</t>
  </si>
  <si>
    <t>Gontran</t>
  </si>
  <si>
    <t>Gontrand</t>
  </si>
  <si>
    <t>Bernard de</t>
  </si>
  <si>
    <t>André, Marie, Antoine, Louis</t>
  </si>
  <si>
    <t>Félix, Jean</t>
  </si>
  <si>
    <t>Théophile, Jean, Eloi</t>
  </si>
  <si>
    <t>Lazare</t>
  </si>
  <si>
    <t>Jean, Adrien</t>
  </si>
  <si>
    <t>Aimery de</t>
  </si>
  <si>
    <t>Antoine de</t>
  </si>
  <si>
    <t>Charles Le Cour</t>
  </si>
  <si>
    <t>Georges, Charles, Alfred, Marie Millin de</t>
  </si>
  <si>
    <t>Jean, Baptiste, Charles, René, Marie, Joseph Le Cour</t>
  </si>
  <si>
    <t>Robert Millin de</t>
  </si>
  <si>
    <t>Félix, Armand, Etienne</t>
  </si>
  <si>
    <t>Georges, Edouard</t>
  </si>
  <si>
    <t>Antoine, Giudice</t>
  </si>
  <si>
    <t>Sansimon</t>
  </si>
  <si>
    <t>Alphonse, Benjamin</t>
  </si>
  <si>
    <t>Bernard Quénault de la</t>
  </si>
  <si>
    <t>Paschal</t>
  </si>
  <si>
    <t>Nicolas, Jules</t>
  </si>
  <si>
    <t>Gilbert Le</t>
  </si>
  <si>
    <t>Victor Le</t>
  </si>
  <si>
    <t>Henri-Alfred</t>
  </si>
  <si>
    <t>Paul-François</t>
  </si>
  <si>
    <t>Jules Bazile dit</t>
  </si>
  <si>
    <t>Louis, Henri de</t>
  </si>
  <si>
    <t>Jean, Denis, Marie, Arthur</t>
  </si>
  <si>
    <t>Pierre-Paul</t>
  </si>
  <si>
    <t>Adhémar, Joseph, Louis de</t>
  </si>
  <si>
    <t>Joseph, René</t>
  </si>
  <si>
    <t>Henri, Alexandre</t>
  </si>
  <si>
    <t>Alfred-Léon</t>
  </si>
  <si>
    <t>Jules, Félix</t>
  </si>
  <si>
    <t>Alphonse, Alfred</t>
  </si>
  <si>
    <t>Stéphane</t>
  </si>
  <si>
    <t>Corentin</t>
  </si>
  <si>
    <t>Hyppolite</t>
  </si>
  <si>
    <t>Victor, François</t>
  </si>
  <si>
    <t>Morrochco</t>
  </si>
  <si>
    <t>Georges, Jean, Victor</t>
  </si>
  <si>
    <t>Eugène, Joseph</t>
  </si>
  <si>
    <t>James, Richard, Charles</t>
  </si>
  <si>
    <t>Jean, Patrick</t>
  </si>
  <si>
    <t>Gaston, Henry dit</t>
  </si>
  <si>
    <t>Urbain de</t>
  </si>
  <si>
    <t>Sylvestre</t>
  </si>
  <si>
    <t>Jules, Hippolyte, Joseph</t>
  </si>
  <si>
    <t>Alfred, Marie, Joseph</t>
  </si>
  <si>
    <t>Joseph, Laurent</t>
  </si>
  <si>
    <t>Armand, Louis</t>
  </si>
  <si>
    <t>Alphonse, Eugène, Gabriel</t>
  </si>
  <si>
    <t>André-Paul</t>
  </si>
  <si>
    <t>Jules, Nicolas, Pierre</t>
  </si>
  <si>
    <t>Auguste, Jean</t>
  </si>
  <si>
    <t>Gustave-Adolphe</t>
  </si>
  <si>
    <t>Charles-Olivier</t>
  </si>
  <si>
    <t>Antoine, Auguste</t>
  </si>
  <si>
    <t>Just, Louis, Anatole</t>
  </si>
  <si>
    <t>Clovis, Hubert</t>
  </si>
  <si>
    <t>Gaston, Pierre, Auguste</t>
  </si>
  <si>
    <t>Alphonse, Jean, Joseph</t>
  </si>
  <si>
    <t>Frédéric, Eugène, Gaston</t>
  </si>
  <si>
    <t>Max</t>
  </si>
  <si>
    <t>René, Celestin, Alfred</t>
  </si>
  <si>
    <t>Anne, Charles</t>
  </si>
  <si>
    <t>Severiano de</t>
  </si>
  <si>
    <t>Agamemnon</t>
  </si>
  <si>
    <t>Louis-Edouard</t>
  </si>
  <si>
    <t>Joseph, Marius, Victor</t>
  </si>
  <si>
    <t>François, Joseph, Hippolyte</t>
  </si>
  <si>
    <t>Eugène, Alfred</t>
  </si>
  <si>
    <t>Rémy</t>
  </si>
  <si>
    <t>Paul-Maurice</t>
  </si>
  <si>
    <t>Gustave, Louis</t>
  </si>
  <si>
    <t>Léon, Augustin</t>
  </si>
  <si>
    <t>Charles, Alfred de</t>
  </si>
  <si>
    <t>Benjamin</t>
  </si>
  <si>
    <t>Arnaud d'Elissagaray de</t>
  </si>
  <si>
    <t>Louis, Emile</t>
  </si>
  <si>
    <t>Jean, Félix</t>
  </si>
  <si>
    <t>Jean dit Renaud</t>
  </si>
  <si>
    <t>Jules, Emile</t>
  </si>
  <si>
    <t>Henri-Jean</t>
  </si>
  <si>
    <t>Irène</t>
  </si>
  <si>
    <t>Antony</t>
  </si>
  <si>
    <t>Prosper, Joseph</t>
  </si>
  <si>
    <t>Rémi, Charles, Anatole</t>
  </si>
  <si>
    <t>Louis, Charlemagne dit Georges</t>
  </si>
  <si>
    <t>Paul, Léon</t>
  </si>
  <si>
    <t>Léon, Louis, Geneviève</t>
  </si>
  <si>
    <t>Armand-Paul</t>
  </si>
  <si>
    <t>Claude, Auguste</t>
  </si>
  <si>
    <t>Paul, Hippolyte, Félicité de</t>
  </si>
  <si>
    <t>Anatole, Henri, Raoul</t>
  </si>
  <si>
    <t>Joseph, Paul</t>
  </si>
  <si>
    <t>Charles, Etienne, Gustave Leclerc de</t>
  </si>
  <si>
    <t>Philippe, Emile</t>
  </si>
  <si>
    <t>François-Henri</t>
  </si>
  <si>
    <t>Pierre Joly dit</t>
  </si>
  <si>
    <t>Maximilien</t>
  </si>
  <si>
    <t>Pierre, Henri, Ernest de</t>
  </si>
  <si>
    <t>Gustave, Yves, Marie, Ange de</t>
  </si>
  <si>
    <t>James, Marie, Antoine Monjaret de</t>
  </si>
  <si>
    <t>Emile Cillard de</t>
  </si>
  <si>
    <t>Jacques, Marie, Henri Le Cardinal de</t>
  </si>
  <si>
    <t>Emile de</t>
  </si>
  <si>
    <t>Louis-Lucien</t>
  </si>
  <si>
    <t>Hervé de</t>
  </si>
  <si>
    <t>Henri Calloc'H de</t>
  </si>
  <si>
    <t>Frédéric de</t>
  </si>
  <si>
    <t>Oswen de</t>
  </si>
  <si>
    <t>Robert, Arthur, Espérance des Acres de</t>
  </si>
  <si>
    <t>Marie, Joseph, Charles des Acres de</t>
  </si>
  <si>
    <t>Régis de</t>
  </si>
  <si>
    <t>Jules, Jean, François</t>
  </si>
  <si>
    <t>Edouard, Jean, Marc</t>
  </si>
  <si>
    <t>Porphyre, Henri</t>
  </si>
  <si>
    <t>Amédée, Simon, Gratien de</t>
  </si>
  <si>
    <t>Jean-Marie, Arthur</t>
  </si>
  <si>
    <t>Philippe, Michel</t>
  </si>
  <si>
    <t>Louis, Jacques</t>
  </si>
  <si>
    <t>Suzanne</t>
  </si>
  <si>
    <t>Michel Mielvacque de</t>
  </si>
  <si>
    <t>Auguste, Marie, Antoine, Désiré</t>
  </si>
  <si>
    <t>Pierre, Henri de</t>
  </si>
  <si>
    <t>Sigismond Krzyzanowski dit</t>
  </si>
  <si>
    <t>Etienne, Charles de</t>
  </si>
  <si>
    <t>Gabriel, Paul</t>
  </si>
  <si>
    <t>Jean, Anne, Antoine</t>
  </si>
  <si>
    <t>Ernest, Louis</t>
  </si>
  <si>
    <t>François Mayjurou Sclafer de</t>
  </si>
  <si>
    <t>Victor, Etienne</t>
  </si>
  <si>
    <t>Joseph, Samuel</t>
  </si>
  <si>
    <t>Henri, Maxime</t>
  </si>
  <si>
    <t>Julien, Charles, Marie</t>
  </si>
  <si>
    <t>Ernest de</t>
  </si>
  <si>
    <t>Charles, Ange</t>
  </si>
  <si>
    <t>Laure, Gustave de Laffitte de</t>
  </si>
  <si>
    <t>Jean-Baptiste, Ernest</t>
  </si>
  <si>
    <t>Louis, Paul</t>
  </si>
  <si>
    <t>Philippe, François, Vincent, Spartacus</t>
  </si>
  <si>
    <t>Gustave de</t>
  </si>
  <si>
    <t>Raoul, Marie, Louis Calary de</t>
  </si>
  <si>
    <t>Charles, Marius</t>
  </si>
  <si>
    <t>Paul de</t>
  </si>
  <si>
    <t>Gabriel, Guillaume</t>
  </si>
  <si>
    <t>Anatole, Bernard, Joseph de Colombet de</t>
  </si>
  <si>
    <t>David, Vincent</t>
  </si>
  <si>
    <t>Antoine, Jean-Louis de</t>
  </si>
  <si>
    <t>Amédée, Jérôme</t>
  </si>
  <si>
    <t>Paul-Henry de</t>
  </si>
  <si>
    <t>Odilon, Marc</t>
  </si>
  <si>
    <t>Jules, Jean Baillardel de</t>
  </si>
  <si>
    <t>Charles, Julien Rioust de</t>
  </si>
  <si>
    <t>Frédéric Rioust de</t>
  </si>
  <si>
    <t>Ferdinand, Marie, Auguste Baston de</t>
  </si>
  <si>
    <t>Jean, Edmond</t>
  </si>
  <si>
    <t>Edgard</t>
  </si>
  <si>
    <t>Alfred, Jean-Baptiste, Louis</t>
  </si>
  <si>
    <t>Henri du Périer de</t>
  </si>
  <si>
    <t>Jean-Robert</t>
  </si>
  <si>
    <t>Georges (Pierre dit)</t>
  </si>
  <si>
    <t>Elie Dor de</t>
  </si>
  <si>
    <t>Pierre, Bernard, Achille</t>
  </si>
  <si>
    <t>Louis Chassaignac de</t>
  </si>
  <si>
    <t>Louis Le Provost de</t>
  </si>
  <si>
    <t>Adolphe de</t>
  </si>
  <si>
    <t>Gaston, Henri, Adolphe Le Provost de</t>
  </si>
  <si>
    <t>Olivier de</t>
  </si>
  <si>
    <t>Paul, Elisée, Antonin, Eugène</t>
  </si>
  <si>
    <t>Bernard, Barthélémy, Martial</t>
  </si>
  <si>
    <t>André, Gilbert, Adolphe</t>
  </si>
  <si>
    <t>Henri de</t>
  </si>
  <si>
    <t>Jean-Baptiste, Aimé</t>
  </si>
  <si>
    <t>Philippe-Elie</t>
  </si>
  <si>
    <t>Gustave, Jean</t>
  </si>
  <si>
    <t>Louis, Alfred, Désiré</t>
  </si>
  <si>
    <t>Edmond, Lucien</t>
  </si>
  <si>
    <t>Marcel, Louis, Maurice</t>
  </si>
  <si>
    <t>Louis Legrand de</t>
  </si>
  <si>
    <t>Charles, Auguste</t>
  </si>
  <si>
    <t>Antonin, Germain</t>
  </si>
  <si>
    <t>André, Joseph</t>
  </si>
  <si>
    <t>Hégésippe, Jean</t>
  </si>
  <si>
    <t>Léon, Prosper</t>
  </si>
  <si>
    <t>GERY-LEGRAND</t>
  </si>
  <si>
    <t>Arthur, Marie, Alexis</t>
  </si>
  <si>
    <t>Louis, Désiré</t>
  </si>
  <si>
    <t>Victor, Marie, Georges</t>
  </si>
  <si>
    <t>Pierre, Louis</t>
  </si>
  <si>
    <t>Adolphe, Achille</t>
  </si>
  <si>
    <t>Philema, Jean-Baptiste</t>
  </si>
  <si>
    <t>Anatole, Jean, Louis</t>
  </si>
  <si>
    <t>John</t>
  </si>
  <si>
    <t>Marc, Léandre, Auguste</t>
  </si>
  <si>
    <t>Ferdinand-Joseph</t>
  </si>
  <si>
    <t>Edme, Charles, Philippe</t>
  </si>
  <si>
    <t>Paul, Siméon</t>
  </si>
  <si>
    <t>Modeste</t>
  </si>
  <si>
    <t>Désiré, Jules</t>
  </si>
  <si>
    <t>Alexis de</t>
  </si>
  <si>
    <t>Hubert de Bazelaire de</t>
  </si>
  <si>
    <t>Samuel de</t>
  </si>
  <si>
    <t>Valérius, Alphonse</t>
  </si>
  <si>
    <t>Arthur, Florentin</t>
  </si>
  <si>
    <t>Louis, Fernand, Gustave</t>
  </si>
  <si>
    <t>Fernand, Ernest</t>
  </si>
  <si>
    <t>Charles, Alphonse</t>
  </si>
  <si>
    <t>Georges, Jean, Angel</t>
  </si>
  <si>
    <t>Léonce, Adam</t>
  </si>
  <si>
    <t>Moïse</t>
  </si>
  <si>
    <t>Jean, Claude, Georges</t>
  </si>
  <si>
    <t>André, François, Marie, Joseph</t>
  </si>
  <si>
    <t>Léon, Henri</t>
  </si>
  <si>
    <t>Henri, Auguste, Joseph</t>
  </si>
  <si>
    <t>Désiré, Adolphe</t>
  </si>
  <si>
    <t>Edouard, Etienne Simon dit</t>
  </si>
  <si>
    <t>Jules, Benoît</t>
  </si>
  <si>
    <t>Alfred, Pierre, Victor</t>
  </si>
  <si>
    <t>Théophile, Ignace</t>
  </si>
  <si>
    <t>ZZZ</t>
  </si>
  <si>
    <t>Jacques, Philippe</t>
  </si>
  <si>
    <t>Louis Roy de</t>
  </si>
  <si>
    <t>Jules Le</t>
  </si>
  <si>
    <t>Jacques, Louis, Jean, Robert du</t>
  </si>
  <si>
    <t>Octave, Joseph</t>
  </si>
  <si>
    <t>René de</t>
  </si>
  <si>
    <t>Ferri de</t>
  </si>
  <si>
    <t>Jules Auguste Georges</t>
  </si>
  <si>
    <t>Pierre de</t>
  </si>
  <si>
    <t>Joseph, Louis de</t>
  </si>
  <si>
    <t>Amédée, Eugène, Louis de</t>
  </si>
  <si>
    <t>Hervé, Léon, Charles de</t>
  </si>
  <si>
    <t>Gabriel, Jean</t>
  </si>
  <si>
    <t>Alain, Charles, Louis de Rohan-Chabot de</t>
  </si>
  <si>
    <t>Stéphane, Gilbert</t>
  </si>
  <si>
    <t>Félix de</t>
  </si>
  <si>
    <t>Henri, Frédéric</t>
  </si>
  <si>
    <t>James-Dyer</t>
  </si>
  <si>
    <t>Frédéric, Armand de</t>
  </si>
  <si>
    <t>Clovis, Henri, Dominique</t>
  </si>
  <si>
    <t>Louis, Emile, Marir</t>
  </si>
  <si>
    <t>Gabriel, Adolphe</t>
  </si>
  <si>
    <t>Victor, Henri, Emile</t>
  </si>
  <si>
    <t>Henri, Léopold, Eugène</t>
  </si>
  <si>
    <t>François, Césaire de</t>
  </si>
  <si>
    <t>René Dupray de la</t>
  </si>
  <si>
    <t>Julien, Louis</t>
  </si>
  <si>
    <t>Pierre, Marie, Guillaume</t>
  </si>
  <si>
    <t>Armand, Urbain, Louis de la Jumellière de</t>
  </si>
  <si>
    <t>Isidore, François</t>
  </si>
  <si>
    <t>Alfred, Louis, Antoine</t>
  </si>
  <si>
    <t>Etienne, Henry</t>
  </si>
  <si>
    <t>Pierre, François, Florentin</t>
  </si>
  <si>
    <t>Jean-Toussaint</t>
  </si>
  <si>
    <t>Henri, Jean-Claude, Eugène</t>
  </si>
  <si>
    <t>Paul, Marie, Elie</t>
  </si>
  <si>
    <t>Jean-Baptiste, Vincent, Henri</t>
  </si>
  <si>
    <t>Ernest, Jean, Marie</t>
  </si>
  <si>
    <t>Louis-Jean, Paul, Marc</t>
  </si>
  <si>
    <t>Louis, Antoine, Ulysse, Miranda</t>
  </si>
  <si>
    <t>François, Adrien, Ferdinand</t>
  </si>
  <si>
    <t>René, Victor</t>
  </si>
  <si>
    <t>Emile-Jean</t>
  </si>
  <si>
    <t>Charles, François, Hervé</t>
  </si>
  <si>
    <t>Maurice, Emile, Marie</t>
  </si>
  <si>
    <t>Samuel-Maurice</t>
  </si>
  <si>
    <t>Paul, Marie, Henri, Joseph</t>
  </si>
  <si>
    <t>René, François, Marie</t>
  </si>
  <si>
    <t>Jacques, Théophile</t>
  </si>
  <si>
    <t>Emile Deshayes de</t>
  </si>
  <si>
    <t>Henri, Camille</t>
  </si>
  <si>
    <t>Guillaume, Léon</t>
  </si>
  <si>
    <t>Joannès</t>
  </si>
  <si>
    <t>Emile, Charles, Félix</t>
  </si>
  <si>
    <t>Pierre, Joseph, Henri</t>
  </si>
  <si>
    <t>Emile, Hilaire</t>
  </si>
  <si>
    <t>Félix, Paul</t>
  </si>
  <si>
    <t>Jean, Gaston</t>
  </si>
  <si>
    <t>Louis, Raoul, Edouard</t>
  </si>
  <si>
    <t>Charles-Auguste</t>
  </si>
  <si>
    <t>Edmond, Louis de</t>
  </si>
  <si>
    <t>FELIX-MARTIN</t>
  </si>
  <si>
    <t>Léon, Emmanuel</t>
  </si>
  <si>
    <t>Félix, Jean, François</t>
  </si>
  <si>
    <t>Marien, dit Marius</t>
  </si>
  <si>
    <t>Léon, Jean</t>
  </si>
  <si>
    <t>Albert, Alfred</t>
  </si>
  <si>
    <t>Edouard Tirel de La</t>
  </si>
  <si>
    <t>Honoré, Auguste</t>
  </si>
  <si>
    <t>Fernand, Jules</t>
  </si>
  <si>
    <t>Antoine, Victorin, Edouard</t>
  </si>
  <si>
    <t>Auguste, Ambroise, Joseph</t>
  </si>
  <si>
    <t>Joseph, Marie, Henri</t>
  </si>
  <si>
    <t>Joseph-Pierre</t>
  </si>
  <si>
    <t>Paul, Dominique</t>
  </si>
  <si>
    <t>Hugues, Arnaud</t>
  </si>
  <si>
    <t>Alfred, Louis, François, Pierre</t>
  </si>
  <si>
    <t>Emile, Claude, Antoine</t>
  </si>
  <si>
    <t>Edouard, Léon, Napoléon</t>
  </si>
  <si>
    <t>Joseph, Victor</t>
  </si>
  <si>
    <t>Edmond, Charles</t>
  </si>
  <si>
    <t>Pierre, Félix</t>
  </si>
  <si>
    <t>Emile, Valentin</t>
  </si>
  <si>
    <t>Hippolyte, Marie, Antoine, Eloïse</t>
  </si>
  <si>
    <t>Jacques, Hippolyte, Paul</t>
  </si>
  <si>
    <t>Auguste, Baptistin</t>
  </si>
  <si>
    <t>Maurice Faure dit</t>
  </si>
  <si>
    <t>Louis, Jules, Léon</t>
  </si>
  <si>
    <t>Louis, François</t>
  </si>
  <si>
    <t>Robert, Gilbert de</t>
  </si>
  <si>
    <t>Daniel, Henri</t>
  </si>
  <si>
    <t>Théophile Trédolat-Maymac dit</t>
  </si>
  <si>
    <t>Pierre, Marie, Auguste</t>
  </si>
  <si>
    <t>Louis, Gabriel</t>
  </si>
  <si>
    <t>Pierre, Marie</t>
  </si>
  <si>
    <t>Alfred, Jacques, Wulfrand</t>
  </si>
  <si>
    <t>Henri, Claude</t>
  </si>
  <si>
    <t>Antoine, Justin</t>
  </si>
  <si>
    <t>André, Gervais, Paul, Albert</t>
  </si>
  <si>
    <t>Nicolas, Cécile,François, Anne, Célestin dit Léo</t>
  </si>
  <si>
    <t>Fortuné, Pierre, Paul</t>
  </si>
  <si>
    <t>Guy, Henri, Victor</t>
  </si>
  <si>
    <t>Gaston, Emile, Henri</t>
  </si>
  <si>
    <t>Louis, Félix, Joseph</t>
  </si>
  <si>
    <t>Henri, Bernard, François de</t>
  </si>
  <si>
    <t>Jean, Théodose</t>
  </si>
  <si>
    <t>Jules, Marie</t>
  </si>
  <si>
    <t>Camille, Joseph, Nicéphore</t>
  </si>
  <si>
    <t>Edouard, Auguste, Bernardin du</t>
  </si>
  <si>
    <t>Paul, François, Désiré</t>
  </si>
  <si>
    <t>Albert, Jean, Baptiste</t>
  </si>
  <si>
    <t>Jean, Lucien, Victor</t>
  </si>
  <si>
    <t>HENRI-MICHEL</t>
  </si>
  <si>
    <t>Richard, Joseph, Timoléon De Roys de Lédignan Saint</t>
  </si>
  <si>
    <t>André dit Adrien</t>
  </si>
  <si>
    <t>Casimir, Laurent</t>
  </si>
  <si>
    <t>Albert, Besaleël</t>
  </si>
  <si>
    <t>François, Pierre</t>
  </si>
  <si>
    <t>Arthur, Victor, Henri</t>
  </si>
  <si>
    <t>Victor, Edouard</t>
  </si>
  <si>
    <t>Raphael</t>
  </si>
  <si>
    <t>Emile, Narcisse</t>
  </si>
  <si>
    <t>Léon, Joseph, Auguste</t>
  </si>
  <si>
    <t>Ernest, Timoléon, Gabriel</t>
  </si>
  <si>
    <t>Proper, Marie, Auguste</t>
  </si>
  <si>
    <t>Yves-Gabriel</t>
  </si>
  <si>
    <t>Eugène, Bertrand, Louis</t>
  </si>
  <si>
    <t>Henry Le</t>
  </si>
  <si>
    <t>Pierre Le</t>
  </si>
  <si>
    <t>Jean-L'Heureux</t>
  </si>
  <si>
    <t>Marc de</t>
  </si>
  <si>
    <t>Edouard, Marius, Joseph</t>
  </si>
  <si>
    <t>Adolphe (Joseph) de</t>
  </si>
  <si>
    <t>Ernest, Auguste</t>
  </si>
  <si>
    <t>Pierre, Jules, Joseph de</t>
  </si>
  <si>
    <t>Antoine, Emmanuel, Ernest</t>
  </si>
  <si>
    <t>Lucien, Henri</t>
  </si>
  <si>
    <t>Gaston, René, Léon</t>
  </si>
  <si>
    <t>Pierre, Jean-Baptiste Le</t>
  </si>
  <si>
    <t>Henri Guillemin de</t>
  </si>
  <si>
    <t>Joseph, Aimé, Pierre, Charles, Emile</t>
  </si>
  <si>
    <t>Barthelémy, Marius</t>
  </si>
  <si>
    <t>Hubert de</t>
  </si>
  <si>
    <t>Geoffroy de</t>
  </si>
  <si>
    <t>Marc, Amédée</t>
  </si>
  <si>
    <t>Bernard, Louis, Célestin</t>
  </si>
  <si>
    <t>Adrien Lannes de</t>
  </si>
  <si>
    <t>François de</t>
  </si>
  <si>
    <t>Auguste de</t>
  </si>
  <si>
    <t>Jean, Auguste</t>
  </si>
  <si>
    <t>Noël, François, Alfred Madier de</t>
  </si>
  <si>
    <t>Edgard de</t>
  </si>
  <si>
    <t>Guy de</t>
  </si>
  <si>
    <t>Maurice, Jean, Charles Colrat de</t>
  </si>
  <si>
    <t>François-Charles de</t>
  </si>
  <si>
    <t>Louis, Albert, Henri de</t>
  </si>
  <si>
    <t>Anatole de</t>
  </si>
  <si>
    <t>Armand, Albert, Hyacinthe Porteu de la</t>
  </si>
  <si>
    <t>André, Anna, Marie, Gaston Porteu de la</t>
  </si>
  <si>
    <t>JEAN-MOREL</t>
  </si>
  <si>
    <t>Jean, François</t>
  </si>
  <si>
    <t>Hippolyte, Aimé, Pierre</t>
  </si>
  <si>
    <t>Jean Paul</t>
  </si>
  <si>
    <t>Eugène Joly de</t>
  </si>
  <si>
    <t>Louis-Emile</t>
  </si>
  <si>
    <t>Vincent, Xavier, Etienne, Eugène de</t>
  </si>
  <si>
    <t>Louis, Laurent, Gabriel de</t>
  </si>
  <si>
    <t>Eugène Janvier de la</t>
  </si>
  <si>
    <t>Georges, Marie, Jacques</t>
  </si>
  <si>
    <t>Léonel, Marie, Ghislain, Alfred de</t>
  </si>
  <si>
    <t>Albert de</t>
  </si>
  <si>
    <t>Bertrand de</t>
  </si>
  <si>
    <t>Ange</t>
  </si>
  <si>
    <t>Joachim, Joseph, André</t>
  </si>
  <si>
    <t>Joachim</t>
  </si>
  <si>
    <t>Robert de La</t>
  </si>
  <si>
    <t>Paul, François, Antoine</t>
  </si>
  <si>
    <t>Joseph, Jean Louis, Bernard</t>
  </si>
  <si>
    <t>Albert, Emile</t>
  </si>
  <si>
    <t>Georges, Eugène</t>
  </si>
  <si>
    <t>Alfred, Jean, François</t>
  </si>
  <si>
    <t>Jean du Pouget de</t>
  </si>
  <si>
    <t>Jules Pomaret dit</t>
  </si>
  <si>
    <t>Louis, Marie, Pierre Le</t>
  </si>
  <si>
    <t>Robert, Gustave, Marie Poirier de</t>
  </si>
  <si>
    <t>Théophile, Nicolas</t>
  </si>
  <si>
    <t>Alphonse, Xavier</t>
  </si>
  <si>
    <t>Louis, Sylvain</t>
  </si>
  <si>
    <t>Charles-Adolphe de La</t>
  </si>
  <si>
    <t>Jean-Baptiste, Joseph, Eliacin</t>
  </si>
  <si>
    <t>Noël Parfait dit</t>
  </si>
  <si>
    <t>Jean-Jacques, Paulin</t>
  </si>
  <si>
    <t>Louis, Félix, Marie</t>
  </si>
  <si>
    <t>Dionys, Louis</t>
  </si>
  <si>
    <t>Maurice, Charles, François</t>
  </si>
  <si>
    <t>Benoît</t>
  </si>
  <si>
    <t>Auguste, Henri, Alphonse</t>
  </si>
  <si>
    <t>Constant, Jules</t>
  </si>
  <si>
    <t>Marie-Joseph Bonnet de</t>
  </si>
  <si>
    <t>François, Théophile, Agénor</t>
  </si>
  <si>
    <t>Christophe</t>
  </si>
  <si>
    <t>Jean-Baptiste, Louis</t>
  </si>
  <si>
    <t>Jules, Joseph, Louis, Hippolyte</t>
  </si>
  <si>
    <t>Eugène, Alexandre</t>
  </si>
  <si>
    <t>Edouard, Pierre, Ausone, François</t>
  </si>
  <si>
    <t>Louis, Charles, Paulin</t>
  </si>
  <si>
    <t>Ulysse, Rochilde</t>
  </si>
  <si>
    <t>Henri, Pierre</t>
  </si>
  <si>
    <t>Joseph, Marie, Anselme, Paul, Julien</t>
  </si>
  <si>
    <t>Anselme, Marie, Joseph, François, Julien, Léocade</t>
  </si>
  <si>
    <t>César, Auguste, Paulin dit</t>
  </si>
  <si>
    <t>Charles, Ernest</t>
  </si>
  <si>
    <t>Ennemond</t>
  </si>
  <si>
    <t>Emile, Louis, Mathieu</t>
  </si>
  <si>
    <t>Jacques, Laurent</t>
  </si>
  <si>
    <t>Frédéric, Gustave</t>
  </si>
  <si>
    <t>Marcellin, Eugène, Antoine</t>
  </si>
  <si>
    <t>Léon, Narcisse, Isidore</t>
  </si>
  <si>
    <t>Nicolas, Joseph</t>
  </si>
  <si>
    <t>Justin, Louis</t>
  </si>
  <si>
    <t>Camille, Antoine</t>
  </si>
  <si>
    <t>Charles, Edouard, Ernest</t>
  </si>
  <si>
    <t>Jean, Claude, Etienne, Edmond</t>
  </si>
  <si>
    <t>François-Charles</t>
  </si>
  <si>
    <t>Emile, Jean, Marie</t>
  </si>
  <si>
    <t>Jean, Isaac</t>
  </si>
  <si>
    <t>Paul, Albert</t>
  </si>
  <si>
    <t>Fernand, Clovis, Ludovic de</t>
  </si>
  <si>
    <t>Raoult, Etienne</t>
  </si>
  <si>
    <t>Gabriel, Jean, Antoine</t>
  </si>
  <si>
    <t>Emile, Georges</t>
  </si>
  <si>
    <t>Georges, Auguste, Désiré</t>
  </si>
  <si>
    <t>Joseph, Théodore</t>
  </si>
  <si>
    <t>Louis, Virgile</t>
  </si>
  <si>
    <t>Théodore, Claude</t>
  </si>
  <si>
    <t>Joseph, Constant</t>
  </si>
  <si>
    <t>Henri-Elisée</t>
  </si>
  <si>
    <t>Louis, Armand, Léon</t>
  </si>
  <si>
    <t>Auguste, François, Jules, César</t>
  </si>
  <si>
    <t>Amédée, Louis</t>
  </si>
  <si>
    <t>Jules-Victor</t>
  </si>
  <si>
    <t>Paul, Louis</t>
  </si>
  <si>
    <t>Ernest, Amans</t>
  </si>
  <si>
    <t>Edouard, Paul, Lucien</t>
  </si>
  <si>
    <t>Joseph, Jules, Pierre</t>
  </si>
  <si>
    <t>Arthur, Eugène</t>
  </si>
  <si>
    <t>Stephen</t>
  </si>
  <si>
    <t>Ernest, Charles, Eusèbe</t>
  </si>
  <si>
    <t>Louis Alype dit</t>
  </si>
  <si>
    <t>Pierre, Claude Robert dit</t>
  </si>
  <si>
    <t>Eugène, Marius</t>
  </si>
  <si>
    <t>Marius, Jérôme</t>
  </si>
  <si>
    <t>Constant, Léon, Maximilien</t>
  </si>
  <si>
    <t>Eugène, Marie</t>
  </si>
  <si>
    <t>Etienne, Pierre, Marie, Lucien</t>
  </si>
  <si>
    <t>Henri, Odon, Marie, Chantal de</t>
  </si>
  <si>
    <t>Jacques, Gustave</t>
  </si>
  <si>
    <t>Alexandre-Etienne</t>
  </si>
  <si>
    <t>Aimé, Charles</t>
  </si>
  <si>
    <t>François, Sampiero, Sébastien, Marie, Jourdan</t>
  </si>
  <si>
    <t>Louis de Maillé de</t>
  </si>
  <si>
    <t>Adrien, Charles, Félix</t>
  </si>
  <si>
    <t>François, Edouard</t>
  </si>
  <si>
    <t>Jean-Baptiste, Théodore</t>
  </si>
  <si>
    <t>Charles, Théophile de</t>
  </si>
  <si>
    <t>Ignace, Charles</t>
  </si>
  <si>
    <t>Jean, Ignace, Alexis, Winoc</t>
  </si>
  <si>
    <t>Alexandre, Joseph, Marie</t>
  </si>
  <si>
    <t>Pierre, Jacques, Alphonse</t>
  </si>
  <si>
    <t>Roger, Marie, Joseph</t>
  </si>
  <si>
    <t>Jacques, Marie, Louis</t>
  </si>
  <si>
    <t>Antoine, Just, Léon, Marie de Mouchy de Noailles de</t>
  </si>
  <si>
    <t>Angèle, Emile, Lucien</t>
  </si>
  <si>
    <t>Michel, Marie, Robert de</t>
  </si>
  <si>
    <t>Léon, Louis, Annie</t>
  </si>
  <si>
    <t>Pierre-Henri</t>
  </si>
  <si>
    <t>Paul, Jean, Baptiste</t>
  </si>
  <si>
    <t>Charles, Louis, Zephirin Thellier de</t>
  </si>
  <si>
    <t>Louis, Baptiste</t>
  </si>
  <si>
    <t>Fernand-René du Breil de</t>
  </si>
  <si>
    <t>Paul Frogier de</t>
  </si>
  <si>
    <t>Honoré, Jean, Félix</t>
  </si>
  <si>
    <t>Amédée de La</t>
  </si>
  <si>
    <t>Lucien, Henri Haudos de</t>
  </si>
  <si>
    <t>Georges, Alexandre, Louis</t>
  </si>
  <si>
    <t>Henri, Jean, Marie</t>
  </si>
  <si>
    <t>Louis, Cyprien</t>
  </si>
  <si>
    <t>Marius, Georges, Malachie, Barthélemy</t>
  </si>
  <si>
    <t>Etienne, Prosper, Ferdinand</t>
  </si>
  <si>
    <t>Charles, Paul, François</t>
  </si>
  <si>
    <t>Etienne Le</t>
  </si>
  <si>
    <t>Maurice du Halgouet de</t>
  </si>
  <si>
    <t>Victor, Paul</t>
  </si>
  <si>
    <t>Auguste, Louis Le</t>
  </si>
  <si>
    <t>Jean du Tinguy du</t>
  </si>
  <si>
    <t>Samuel</t>
  </si>
  <si>
    <t>Adrien Pozzy dit</t>
  </si>
  <si>
    <t>Laurent, Denis</t>
  </si>
  <si>
    <t>Victor, Gabriel</t>
  </si>
  <si>
    <t>Jacques, Hyacinthe, Théodore</t>
  </si>
  <si>
    <t>Léon, Théodore, Hyacinthe</t>
  </si>
  <si>
    <t>Edouard, Pierre, Michel de Cazenove de</t>
  </si>
  <si>
    <t>Christophe, Félix, Alphonse</t>
  </si>
  <si>
    <t>Aristide, Emile</t>
  </si>
  <si>
    <t>Adrien, Joseph</t>
  </si>
  <si>
    <t>Eugène, Jean, François, Pascal</t>
  </si>
  <si>
    <t>Francis, Charles de Hault de</t>
  </si>
  <si>
    <t>Leopold</t>
  </si>
  <si>
    <t>Adolphe, Charles de Partz de</t>
  </si>
  <si>
    <t>Frédéric, Alphonse, Charles</t>
  </si>
  <si>
    <t>Jules, Frédéric, Georges</t>
  </si>
  <si>
    <t>Edmond, Marie Lefebvre du</t>
  </si>
  <si>
    <t>Edmond, Joseph Lefebvre du</t>
  </si>
  <si>
    <t>Jules, Henri, Balthazar</t>
  </si>
  <si>
    <t>Louis, Adrien</t>
  </si>
  <si>
    <t>Prudent, Onésime</t>
  </si>
  <si>
    <t>Edouard, Claude, Marie, Antoine</t>
  </si>
  <si>
    <t>Bernard, Honoré</t>
  </si>
  <si>
    <t>Alexandre-Félix</t>
  </si>
  <si>
    <t>Paul, Joseph</t>
  </si>
  <si>
    <t>Auguste, Charles, Marie</t>
  </si>
  <si>
    <t>Louis, Jean, René, Gaston Poute de</t>
  </si>
  <si>
    <t>Joseph, Henri</t>
  </si>
  <si>
    <t>Adhémar</t>
  </si>
  <si>
    <t>Adolphe, Jean, Marie, Cyprien, Maurice</t>
  </si>
  <si>
    <t>Gustave, Jean, Marie</t>
  </si>
  <si>
    <t>Yvan</t>
  </si>
  <si>
    <t>Jacques, René</t>
  </si>
  <si>
    <t>Raymond, Etienne, Lucien</t>
  </si>
  <si>
    <t>Raoul, Adolphe</t>
  </si>
  <si>
    <t>Amans, Adrien, Augustin</t>
  </si>
  <si>
    <t>Georges, Charles, Frédéric, Hyacinthe</t>
  </si>
  <si>
    <t>Charles, Gilbert, Joseph</t>
  </si>
  <si>
    <t>Albert, Augustin</t>
  </si>
  <si>
    <t>Joseph, Marie Le</t>
  </si>
  <si>
    <t>Fernand, Athos</t>
  </si>
  <si>
    <t>Pierre, Amédée, Fernand</t>
  </si>
  <si>
    <t>Auguste, Valentin, Honoré</t>
  </si>
  <si>
    <t>Constant, Louis Ragot dit</t>
  </si>
  <si>
    <t>Flaminius</t>
  </si>
  <si>
    <t>Joseph, Ernest, Charles</t>
  </si>
  <si>
    <t>Louis, Jean, Philippe Briet de</t>
  </si>
  <si>
    <t>Claude, Pierre, Antoine, Joseph</t>
  </si>
  <si>
    <t>Eugène, Arsène</t>
  </si>
  <si>
    <t>Charles, Victor</t>
  </si>
  <si>
    <t>Fernand, Augustin de</t>
  </si>
  <si>
    <t>Louis, Casimir</t>
  </si>
  <si>
    <t>Edgar, Raoul</t>
  </si>
  <si>
    <t>Hémir</t>
  </si>
  <si>
    <t>Benjamin, François, Vincent</t>
  </si>
  <si>
    <t>Camille, François</t>
  </si>
  <si>
    <t>Joseph, Hector Defos du</t>
  </si>
  <si>
    <t>Eugène, Ernest</t>
  </si>
  <si>
    <t>Gustave, Joseph</t>
  </si>
  <si>
    <t>Joseph, Ferdinand</t>
  </si>
  <si>
    <t>Eugène, Jean-Jacques</t>
  </si>
  <si>
    <t>Mary</t>
  </si>
  <si>
    <t>Maurice, Etienne</t>
  </si>
  <si>
    <t>Jules-Antoine, Louis, Barthélémy</t>
  </si>
  <si>
    <t>Jules-Armand</t>
  </si>
  <si>
    <t>Eugène, Jules, Louis</t>
  </si>
  <si>
    <t>Francisque, Romain</t>
  </si>
  <si>
    <t>René, Charles</t>
  </si>
  <si>
    <t>Paul, Eugène</t>
  </si>
  <si>
    <t>Jean-Michel Tournaire dit</t>
  </si>
  <si>
    <t>Léon, Louis</t>
  </si>
  <si>
    <t>André, Marie, Jacques</t>
  </si>
  <si>
    <t>Pierre, Narcisse</t>
  </si>
  <si>
    <t>Alcime</t>
  </si>
  <si>
    <t>Amédée, Joseph, Romaire</t>
  </si>
  <si>
    <t>Armand, Marie</t>
  </si>
  <si>
    <t>René Renoult dit</t>
  </si>
  <si>
    <t>Jean, Marie, Ferréol</t>
  </si>
  <si>
    <t>Emile, Marie, Antoine</t>
  </si>
  <si>
    <t>TONY-REVILLON</t>
  </si>
  <si>
    <t>Aristide, Emile, Jules</t>
  </si>
  <si>
    <t>Emile, Maurice, Lucien, Louis</t>
  </si>
  <si>
    <t>Henri, Jean, Baptiste</t>
  </si>
  <si>
    <t>Victor, Alexis</t>
  </si>
  <si>
    <t>Henri de Monti de</t>
  </si>
  <si>
    <t>Raphaël, Alphonse, René</t>
  </si>
  <si>
    <t>Augustin, François</t>
  </si>
  <si>
    <t>Auguste Champetier de</t>
  </si>
  <si>
    <t>Alexandre, Félix, Joseph</t>
  </si>
  <si>
    <t>Louis Godet de la</t>
  </si>
  <si>
    <t>Louis, Pierre</t>
  </si>
  <si>
    <t>Joseph-Honoré</t>
  </si>
  <si>
    <t>Gaston, Gabriel, Eudoxe dit</t>
  </si>
  <si>
    <t>Georges, Louis, Marcellin</t>
  </si>
  <si>
    <t>Humbert, Joseph, Marie</t>
  </si>
  <si>
    <t>Etienne, Jean, Marcel</t>
  </si>
  <si>
    <t>Humbert, Jean, Joseph, Frédéric</t>
  </si>
  <si>
    <t>Maxime, Maxime, Lowinski</t>
  </si>
  <si>
    <t>Adrien, Barthélémy, Louis, Henri</t>
  </si>
  <si>
    <t>Camille, Guillaume</t>
  </si>
  <si>
    <t>Justin, Bernard</t>
  </si>
  <si>
    <t>Jean-Baptiste, François</t>
  </si>
  <si>
    <t>Eugène, Adolphe, Philippe</t>
  </si>
  <si>
    <t>Fernand, Etienne</t>
  </si>
  <si>
    <t>Camille, Alphonse</t>
  </si>
  <si>
    <t>Antoine, Ernest</t>
  </si>
  <si>
    <t>Louis, Emile, Célestin</t>
  </si>
  <si>
    <t>Alphonse, Jean, Marie</t>
  </si>
  <si>
    <t>Emile, Alexandre</t>
  </si>
  <si>
    <t>Yves, Hippolyte, Jean, Marie</t>
  </si>
  <si>
    <t>Jean-Baptiste, Victor</t>
  </si>
  <si>
    <t>Eugène, Daniel, Clélia</t>
  </si>
  <si>
    <t>Jules, Etienne, Louis</t>
  </si>
  <si>
    <t>Paul, Jacques, Marius</t>
  </si>
  <si>
    <t>Armand, Félix</t>
  </si>
  <si>
    <t>Albert, Marcel</t>
  </si>
  <si>
    <t>Barthélémy, Honoré, Victor, Georges</t>
  </si>
  <si>
    <t>Paul-Alexandre</t>
  </si>
  <si>
    <t>Edmond, François, Marie</t>
  </si>
  <si>
    <t>Ludovic, Marie, Alexandre</t>
  </si>
  <si>
    <t>Victor, Louis, Marie</t>
  </si>
  <si>
    <t>Pierre, Louis, Henri</t>
  </si>
  <si>
    <t>Camille, Charles, Joseph, Eugène, Roch de</t>
  </si>
  <si>
    <t>Jules, Antoine</t>
  </si>
  <si>
    <t>Ernest, Jean</t>
  </si>
  <si>
    <t>Lucien, Camille, Eugène</t>
  </si>
  <si>
    <t>Léon, Pierre, Laubanie</t>
  </si>
  <si>
    <t>Victor, Henri de</t>
  </si>
  <si>
    <t>Jean-Baptiste, Augustin Bouthier de</t>
  </si>
  <si>
    <t>Julien, Gaston du Vergier de La</t>
  </si>
  <si>
    <t>Joseph, Claude</t>
  </si>
  <si>
    <t>Georges, joseph, Marie, Eugène de La</t>
  </si>
  <si>
    <t>Ernest, Léon, Zacharie Poictevin de La</t>
  </si>
  <si>
    <t>Lucien, Armand, Henri</t>
  </si>
  <si>
    <t>Constant, Ildefonse, Benoît</t>
  </si>
  <si>
    <t>Henri, Marie, Théophile, Joseph de</t>
  </si>
  <si>
    <t>Roger dit Ballu dit</t>
  </si>
  <si>
    <t>Paul, Henri</t>
  </si>
  <si>
    <t>Josselin de</t>
  </si>
  <si>
    <t>Maxence, Jean-Baptiste</t>
  </si>
  <si>
    <t>Edouard, Antoine, Guillaume</t>
  </si>
  <si>
    <t>Jacques, Maurice</t>
  </si>
  <si>
    <t>Maurice, Pierre, Félix</t>
  </si>
  <si>
    <t>Louis, Marie, Joseph, Etienne</t>
  </si>
  <si>
    <t>Victor, Henri, Ernest</t>
  </si>
  <si>
    <t>Théophile, Victor, Marie</t>
  </si>
  <si>
    <t>Paul, Grégoire</t>
  </si>
  <si>
    <t>François, Camille</t>
  </si>
  <si>
    <t>Henri, Théodore, Clair, Jean, Denis, Louis</t>
  </si>
  <si>
    <t>Philippe, François</t>
  </si>
  <si>
    <t>Charles, Joseph du Campe de</t>
  </si>
  <si>
    <t>Alain, Marie, Raymond, Louis, Henri Lepelletier de</t>
  </si>
  <si>
    <t>Louis, Marie, Raoul Rolland Du</t>
  </si>
  <si>
    <t>Théodore, François</t>
  </si>
  <si>
    <t>Luc, Philibert, Edmond</t>
  </si>
  <si>
    <t>Maurice, Edmond, Charles de</t>
  </si>
  <si>
    <t>Eugène, Robert des</t>
  </si>
  <si>
    <t>Raoul des</t>
  </si>
  <si>
    <t>Guillaume des</t>
  </si>
  <si>
    <t>Gustave, Armand</t>
  </si>
  <si>
    <t>Hippolyte, Jean, Pierre, Bernard, Antoine</t>
  </si>
  <si>
    <t>Ferdinand, Emile, Prosper</t>
  </si>
  <si>
    <t>François, Oscar</t>
  </si>
  <si>
    <t>Alain de</t>
  </si>
  <si>
    <t>Pierre, Frédéric</t>
  </si>
  <si>
    <t>Julien, Gustave, André</t>
  </si>
  <si>
    <t>Georges, Henri</t>
  </si>
  <si>
    <t>Henry, Georges, Adrien</t>
  </si>
  <si>
    <t>Georges, Henri, Maurice, Christian</t>
  </si>
  <si>
    <t>Eugène, Nérestan</t>
  </si>
  <si>
    <t>Louis, Etienne</t>
  </si>
  <si>
    <t>Ernest, Claude</t>
  </si>
  <si>
    <t>Charles, Raphaël, Martial</t>
  </si>
  <si>
    <t>Paul, Armand</t>
  </si>
  <si>
    <t>Etienne, Pierre, Marie</t>
  </si>
  <si>
    <t>Charles Bourlon de</t>
  </si>
  <si>
    <t>Henri, Ferdinand, Bienvenu</t>
  </si>
  <si>
    <t>Pierre, Arthur</t>
  </si>
  <si>
    <t>Paul, Joseph, Marie</t>
  </si>
  <si>
    <t>Paul, Georges, Anne, Jean Le</t>
  </si>
  <si>
    <t>Eugène, Alexis Le</t>
  </si>
  <si>
    <t>Henri, Pierre, Jean-Baptiste</t>
  </si>
  <si>
    <t>Félix Le</t>
  </si>
  <si>
    <t>Edouard Le</t>
  </si>
  <si>
    <t>Alfred Le</t>
  </si>
  <si>
    <t>Eugène, Elie, Joseph</t>
  </si>
  <si>
    <t>Emmanuel, Jean</t>
  </si>
  <si>
    <t>Gabriel, Antoine</t>
  </si>
  <si>
    <t>Albin, Antoine</t>
  </si>
  <si>
    <t>Jean, Baptiste, Marie, Germain, Léon, Jules</t>
  </si>
  <si>
    <t>Anselme, Maurice</t>
  </si>
  <si>
    <t>Marc, Emile</t>
  </si>
  <si>
    <t>René, Jean-Baptiste</t>
  </si>
  <si>
    <t>Pierre, Théodore, Henri</t>
  </si>
  <si>
    <t>Charles, Félix, Henri, Marie, Anne</t>
  </si>
  <si>
    <t>Emile, Marie, Auguste</t>
  </si>
  <si>
    <t>Emile, Louis</t>
  </si>
  <si>
    <t>Joseph-Louis, Edouard, Marie</t>
  </si>
  <si>
    <t>Pierre, Charles, Joseph de</t>
  </si>
  <si>
    <t>Eugène, Michel</t>
  </si>
  <si>
    <t>Antoine, dit Tony</t>
  </si>
  <si>
    <t>Edmond, Louis, Jacques, Joseph</t>
  </si>
  <si>
    <t>Camille, Pierre, Germain, Damaze, Jean</t>
  </si>
  <si>
    <t>Simon, Pierre</t>
  </si>
  <si>
    <t>Jules, Jean, Joseph</t>
  </si>
  <si>
    <t>Pierre Dubois de la</t>
  </si>
  <si>
    <t>Gaston, Ambroise</t>
  </si>
  <si>
    <t>Robert, Charles de Lasteyrie du</t>
  </si>
  <si>
    <t>Charles de Lasteyrie du</t>
  </si>
  <si>
    <t>Albin</t>
  </si>
  <si>
    <t>Antoine, Marie, Eugène</t>
  </si>
  <si>
    <t>Marie, Maurice Desson de</t>
  </si>
  <si>
    <t>Amédée, Pierre, Ignace Martinon de</t>
  </si>
  <si>
    <t>Albert Moreau Du Breuil de</t>
  </si>
  <si>
    <t>Victor de</t>
  </si>
  <si>
    <t>Gaston Conen de</t>
  </si>
  <si>
    <t>Etienne, Marie, Aimé Vaissière de</t>
  </si>
  <si>
    <t>Louis Obissier</t>
  </si>
  <si>
    <t>Ambroise de</t>
  </si>
  <si>
    <t>Oscar, Victor,Emile Soubeyran de</t>
  </si>
  <si>
    <t>Louis Doynel de</t>
  </si>
  <si>
    <t>Auguste, Mathias</t>
  </si>
  <si>
    <t>Gabriel Vidal de</t>
  </si>
  <si>
    <t>Charles Lambert de</t>
  </si>
  <si>
    <t>Louis dit Emile</t>
  </si>
  <si>
    <t>Jean-Hugues de</t>
  </si>
  <si>
    <t>Jacques, Michel</t>
  </si>
  <si>
    <t>Louis, Edmond</t>
  </si>
  <si>
    <t>Rodolphe</t>
  </si>
  <si>
    <t>Jean, Joseph, Dominique, Hermaud</t>
  </si>
  <si>
    <t>Louis Vasse Du</t>
  </si>
  <si>
    <t>Louis, Simon</t>
  </si>
  <si>
    <t>Charles, Pierre</t>
  </si>
  <si>
    <t>Jammy</t>
  </si>
  <si>
    <t>Henri, Adolphe, Eugène</t>
  </si>
  <si>
    <t>Abraham</t>
  </si>
  <si>
    <t>Charles, André</t>
  </si>
  <si>
    <t>Auguste-Robert</t>
  </si>
  <si>
    <t>Edouard, Joseph</t>
  </si>
  <si>
    <t>Marc, Gusman</t>
  </si>
  <si>
    <t>Léon, Matthieu</t>
  </si>
  <si>
    <t>Etienne de</t>
  </si>
  <si>
    <t>Pierre Jacobé de Haut de</t>
  </si>
  <si>
    <t>Fidèle</t>
  </si>
  <si>
    <t>Marcellin, François</t>
  </si>
  <si>
    <t>Jérôme de</t>
  </si>
  <si>
    <t>Théobald de</t>
  </si>
  <si>
    <t>Edouard, Charles de</t>
  </si>
  <si>
    <t>Uriane</t>
  </si>
  <si>
    <t>Georges, Jean, Marie Girard de</t>
  </si>
  <si>
    <t>Pierre, Antoine, Alphonse</t>
  </si>
  <si>
    <t>Pierre, Jules Le</t>
  </si>
  <si>
    <t>Benoît-Martin</t>
  </si>
  <si>
    <t>Marius, Arthur</t>
  </si>
  <si>
    <t>Joseph, Nelson</t>
  </si>
  <si>
    <t>Joseph dit François-Frédéric</t>
  </si>
  <si>
    <t>SIMON</t>
  </si>
  <si>
    <t>Jean, Louis, Honoré de</t>
  </si>
  <si>
    <t>Etienne Gellibert des</t>
  </si>
  <si>
    <t>Urbain, Thomas, Marie</t>
  </si>
  <si>
    <t>Pierre, Marie, François</t>
  </si>
  <si>
    <t>Alcide</t>
  </si>
  <si>
    <t>Henri, André, Joseph</t>
  </si>
  <si>
    <t>Alfred, Pierre, Théodore</t>
  </si>
  <si>
    <t>Fernand, Paul, Jean-Baptiste, Bertrand, Germain</t>
  </si>
  <si>
    <t>Antoine, Charles</t>
  </si>
  <si>
    <t>Ernest, Hippolyte</t>
  </si>
  <si>
    <t>André, Pierre, Gabriel, Amédée</t>
  </si>
  <si>
    <t>Alfrede, Vincent</t>
  </si>
  <si>
    <t>Jean-Paul, Firmin</t>
  </si>
  <si>
    <t>Lionel de</t>
  </si>
  <si>
    <t>Jacques, Paul</t>
  </si>
  <si>
    <t>Henry, Jacques</t>
  </si>
  <si>
    <t>Louis, Paul, Arsène</t>
  </si>
  <si>
    <t>Louis Thonnard du</t>
  </si>
  <si>
    <t>Maurice, Nicolas, Dominique</t>
  </si>
  <si>
    <t>Henry, Julien, Stanislas</t>
  </si>
  <si>
    <t>Emile, Henri</t>
  </si>
  <si>
    <t>Gabriel, Dieudonné, Jean, Edouard</t>
  </si>
  <si>
    <t>Louis, Jean, Jacques</t>
  </si>
  <si>
    <t>Léonce, Pierre, Gabriel de</t>
  </si>
  <si>
    <t>François, Armand, Delphin, Jules de</t>
  </si>
  <si>
    <t>Antoine, Lucien</t>
  </si>
  <si>
    <t>Albert, Pierre, Emmanuel</t>
  </si>
  <si>
    <t>Laurent, Constant</t>
  </si>
  <si>
    <t>Albert, Alexis</t>
  </si>
  <si>
    <t>Joseph, Marie, Philippe</t>
  </si>
  <si>
    <t>Jules, Théodore</t>
  </si>
  <si>
    <t>Maurice, Antonin, Barthélémy</t>
  </si>
  <si>
    <t>Stéphen, Albert</t>
  </si>
  <si>
    <t>Christophe Tivrier dit</t>
  </si>
  <si>
    <t>Léon Tivrier dit</t>
  </si>
  <si>
    <t>Isidore, Joseph</t>
  </si>
  <si>
    <t>Thierry Delanoue dit</t>
  </si>
  <si>
    <t>Jean-Louis, Maurice, Félix</t>
  </si>
  <si>
    <t>Alfred, Jean, Jules</t>
  </si>
  <si>
    <t>Yves, Marie, Julien</t>
  </si>
  <si>
    <t>Gaston, Arnold, Marie</t>
  </si>
  <si>
    <t>Jules, Ernest</t>
  </si>
  <si>
    <t>Emile, Marie</t>
  </si>
  <si>
    <t>Jean, Marie, Charles</t>
  </si>
  <si>
    <t>Louis Bretin dit</t>
  </si>
  <si>
    <t>Eugène, Jules</t>
  </si>
  <si>
    <t>Pierre, Emmanuel</t>
  </si>
  <si>
    <t>Charles, Marie, Adrien</t>
  </si>
  <si>
    <t>Jacques, Charles, Henri</t>
  </si>
  <si>
    <t>Rodolphe, Jean-Baptiste</t>
  </si>
  <si>
    <t>Charles, Benjamin</t>
  </si>
  <si>
    <t>Jean, Henri Prévost-Sansac de</t>
  </si>
  <si>
    <t>Alfred, Stanislas</t>
  </si>
  <si>
    <t>Henri, Marie, Léon, Joseph</t>
  </si>
  <si>
    <t>Olivier de Le Gonidec de</t>
  </si>
  <si>
    <t>Charles, Amédée</t>
  </si>
  <si>
    <t>Eugène, Sylvain, Pierre</t>
  </si>
  <si>
    <t>Gaston, Pierre, Théodore</t>
  </si>
  <si>
    <t>Alcide, Marie</t>
  </si>
  <si>
    <t>Robert, François, Alfred, Marie Chrestien de</t>
  </si>
  <si>
    <t>Pierre, Albert, Jean, Martial</t>
  </si>
  <si>
    <t>Jean ,Victor, Alfred</t>
  </si>
  <si>
    <t>Eugène-Romain</t>
  </si>
  <si>
    <t>Firmin, Célestin, Marie</t>
  </si>
  <si>
    <t>Auguste, Pierre</t>
  </si>
  <si>
    <t>Georges, Marie, Denis, Gabriel</t>
  </si>
  <si>
    <t>René, Paul, Gustave</t>
  </si>
  <si>
    <t>Etienne, Pierre, Gabriel</t>
  </si>
  <si>
    <t>Charles, Adolphe</t>
  </si>
  <si>
    <t>Albert, Paul</t>
  </si>
  <si>
    <t>Pierre, Marie, Jacques, Nicolas</t>
  </si>
  <si>
    <t>Louis de La</t>
  </si>
  <si>
    <t>Henri, Eléonor, Jacques, Elisabeth de</t>
  </si>
  <si>
    <t>Jean, Placide</t>
  </si>
  <si>
    <t>Louis, Marie</t>
  </si>
  <si>
    <t>Charles, Célestin, Joseph Thoinnet de la</t>
  </si>
  <si>
    <t>Edmond, Henri</t>
  </si>
  <si>
    <t>Adolphe, Jean, Eugène</t>
  </si>
  <si>
    <t>Eugène, Pierre, Paul</t>
  </si>
  <si>
    <t>Antoine, Hippolyte</t>
  </si>
  <si>
    <t>Marcel, Jacques, Marie</t>
  </si>
  <si>
    <t>Jean-Jacques</t>
  </si>
  <si>
    <t>Henri, Louis, Hippolyte</t>
  </si>
  <si>
    <t>Joseph, Arthur, Louis</t>
  </si>
  <si>
    <t>Léon, Cléry</t>
  </si>
  <si>
    <t>Paul, Charles</t>
  </si>
  <si>
    <t>François, Maximin</t>
  </si>
  <si>
    <t>Marius, Clément</t>
  </si>
  <si>
    <t>Sabinus</t>
  </si>
  <si>
    <t>Aristide, Louis, Antoine, Maximin, Marie</t>
  </si>
  <si>
    <t>Georges, François, Edmond</t>
  </si>
  <si>
    <t>Adrien, François, Arthur, Gaétan de</t>
  </si>
  <si>
    <t>Georges, Jean, Baptiste, Joseph</t>
  </si>
  <si>
    <t>François, Laurent, Léon</t>
  </si>
  <si>
    <t>Marcel, Léon</t>
  </si>
  <si>
    <t>Alexandre, Claude</t>
  </si>
  <si>
    <t>Joseph, Bruno</t>
  </si>
  <si>
    <t>Paul-Edouard</t>
  </si>
  <si>
    <t>Alfred, Charles, Antoine, Honoré</t>
  </si>
  <si>
    <t>Henri, Marie, Jacques, Charles de</t>
  </si>
  <si>
    <t>Charles Dureau de</t>
  </si>
  <si>
    <t>Pierre, Armand, Napoléon</t>
  </si>
  <si>
    <t>Charles, Henri</t>
  </si>
  <si>
    <t>Albert, Julien, Auguste</t>
  </si>
  <si>
    <t>Georges, Arsène</t>
  </si>
  <si>
    <t>Maurice, Pierre, Marie</t>
  </si>
  <si>
    <t>François, Charles, Auguste</t>
  </si>
  <si>
    <t>Louis, Clovis</t>
  </si>
  <si>
    <t>Henri, Marie, Victor Rillard de</t>
  </si>
  <si>
    <t>Emile, Hercule</t>
  </si>
  <si>
    <t>Pierre, Michel</t>
  </si>
  <si>
    <t>Claude, Marie, Agapite</t>
  </si>
  <si>
    <t>Henri Le</t>
  </si>
  <si>
    <t>Romain</t>
  </si>
  <si>
    <t>François, Sébastien La</t>
  </si>
  <si>
    <t>Louis, Privat, Camille</t>
  </si>
  <si>
    <t>Charles Le Myre de</t>
  </si>
  <si>
    <t>André, Marie, Edouard</t>
  </si>
  <si>
    <t>Jean, Louis, Henri</t>
  </si>
  <si>
    <t>Adrien, Sylvain Gaudin de</t>
  </si>
  <si>
    <t>Christian de</t>
  </si>
  <si>
    <t>Pierre, Sébastien, Gérard Frain de La</t>
  </si>
  <si>
    <t>Emile, Léon</t>
  </si>
  <si>
    <t>Marc, Thimotée</t>
  </si>
  <si>
    <t>Clément, Gabriel</t>
  </si>
  <si>
    <t>Jean, Louis, Emile</t>
  </si>
  <si>
    <t>Christian, Henri, Marie de</t>
  </si>
  <si>
    <t>Camille, Pierre, François Guyot de</t>
  </si>
  <si>
    <t>Jean, Pierre Guyot de</t>
  </si>
  <si>
    <t>Arthur, Emmanuel, Joseph Espivent de la</t>
  </si>
  <si>
    <t>François, Emile</t>
  </si>
  <si>
    <t>François-Emile</t>
  </si>
  <si>
    <t>Jean, Balthazar, Alexandre</t>
  </si>
  <si>
    <t>Emile, Jules, Olivier</t>
  </si>
  <si>
    <t>Léon, Alfred</t>
  </si>
  <si>
    <t>Maurice, Paul</t>
  </si>
  <si>
    <t>Louis, Armand</t>
  </si>
  <si>
    <t>Melchior de</t>
  </si>
  <si>
    <t>Richard, Pendrell</t>
  </si>
  <si>
    <t>Pierre, Ernest</t>
  </si>
  <si>
    <t>Edouard de</t>
  </si>
  <si>
    <t>Achille, Alfred</t>
  </si>
  <si>
    <t>Adrien de</t>
  </si>
  <si>
    <t>Alex</t>
  </si>
  <si>
    <t>Conrad, Jacob, Dionys, Cornélis de</t>
  </si>
  <si>
    <t>Charles-Adolphe</t>
  </si>
  <si>
    <t>Alexandre Bourson dit</t>
  </si>
  <si>
    <t>1857-11-02</t>
  </si>
  <si>
    <t>1883-06-26</t>
  </si>
  <si>
    <t>1843-02-14</t>
  </si>
  <si>
    <t>1860-11-21</t>
  </si>
  <si>
    <t>1863-01-12</t>
  </si>
  <si>
    <t>1890-03-17</t>
  </si>
  <si>
    <t>1879-07-01</t>
  </si>
  <si>
    <t>1836-12-28</t>
  </si>
  <si>
    <t>1868-05-02</t>
  </si>
  <si>
    <t>1814-12-12</t>
  </si>
  <si>
    <t>1829-11-29</t>
  </si>
  <si>
    <t>1800-01-28</t>
  </si>
  <si>
    <t>1859-12-01</t>
  </si>
  <si>
    <t>1883-02-20</t>
  </si>
  <si>
    <t>1883-03-06</t>
  </si>
  <si>
    <t>1879-05-31</t>
  </si>
  <si>
    <t>1859-07-20</t>
  </si>
  <si>
    <t>1829-12-04</t>
  </si>
  <si>
    <t>1862-10-02</t>
  </si>
  <si>
    <t>1851-10-14</t>
  </si>
  <si>
    <t>1876-03-31</t>
  </si>
  <si>
    <t>1857-03-31</t>
  </si>
  <si>
    <t>1844-09-28</t>
  </si>
  <si>
    <t>1850-11-03</t>
  </si>
  <si>
    <t>1878-10-29</t>
  </si>
  <si>
    <t>1861-06-11</t>
  </si>
  <si>
    <t>1843-09-18</t>
  </si>
  <si>
    <t>1875-07-06</t>
  </si>
  <si>
    <t>1868-07-12</t>
  </si>
  <si>
    <t>1868-07-27</t>
  </si>
  <si>
    <t>1856-12-10</t>
  </si>
  <si>
    <t>1866-06-18</t>
  </si>
  <si>
    <t>1878-06-16</t>
  </si>
  <si>
    <t>1877-04-04</t>
  </si>
  <si>
    <t>1879-11-30</t>
  </si>
  <si>
    <t>1890-11-15</t>
  </si>
  <si>
    <t>1853-07-17</t>
  </si>
  <si>
    <t>1874-09-14</t>
  </si>
  <si>
    <t>1882-02-01</t>
  </si>
  <si>
    <t>1887-02-17</t>
  </si>
  <si>
    <t>1842-07-17</t>
  </si>
  <si>
    <t>1832-05-07</t>
  </si>
  <si>
    <t>1832-05-17</t>
  </si>
  <si>
    <t>1860-05-01</t>
  </si>
  <si>
    <t>1835-08-07</t>
  </si>
  <si>
    <t>1826-10-17</t>
  </si>
  <si>
    <t>1846-06-10</t>
  </si>
  <si>
    <t>1843-08-25</t>
  </si>
  <si>
    <t>1860-03-11</t>
  </si>
  <si>
    <t>1820-03-06</t>
  </si>
  <si>
    <t>1855-07-31</t>
  </si>
  <si>
    <t>1881-01-30</t>
  </si>
  <si>
    <t>1870-01-22</t>
  </si>
  <si>
    <t>1847-07-12</t>
  </si>
  <si>
    <t>1877-06-14</t>
  </si>
  <si>
    <t>1877-07-14</t>
  </si>
  <si>
    <t>1880-01-05</t>
  </si>
  <si>
    <t>1862-08-16</t>
  </si>
  <si>
    <t>1870-09-28</t>
  </si>
  <si>
    <t>1872-04-04</t>
  </si>
  <si>
    <t>1864-07-30</t>
  </si>
  <si>
    <t>1871-08-02</t>
  </si>
  <si>
    <t>1849-10-09</t>
  </si>
  <si>
    <t>1843-12-21</t>
  </si>
  <si>
    <t>1846-06-26</t>
  </si>
  <si>
    <t>1812-10-16</t>
  </si>
  <si>
    <t>1844-10-04</t>
  </si>
  <si>
    <t>1846-06-07</t>
  </si>
  <si>
    <t>1870-07-01</t>
  </si>
  <si>
    <t>1895-04-09</t>
  </si>
  <si>
    <t>1884-05-29</t>
  </si>
  <si>
    <t>1862-12-20</t>
  </si>
  <si>
    <t>1840-07-24</t>
  </si>
  <si>
    <t>1887-11-20</t>
  </si>
  <si>
    <t>1874-04-22</t>
  </si>
  <si>
    <t>1838-03-08</t>
  </si>
  <si>
    <t>1852-08-23</t>
  </si>
  <si>
    <t>1838-10-24</t>
  </si>
  <si>
    <t>1887-10-21</t>
  </si>
  <si>
    <t>1872-02-08</t>
  </si>
  <si>
    <t>1840-05-05</t>
  </si>
  <si>
    <t>1873-10-31</t>
  </si>
  <si>
    <t>1868-05-31</t>
  </si>
  <si>
    <t>1879-08-24</t>
  </si>
  <si>
    <t>1887-06-14</t>
  </si>
  <si>
    <t>1887-07-03</t>
  </si>
  <si>
    <t>1812-08-06</t>
  </si>
  <si>
    <t>1862-01-10</t>
  </si>
  <si>
    <t>1826-09-05</t>
  </si>
  <si>
    <t>1855-08-16</t>
  </si>
  <si>
    <t>1849-11-30</t>
  </si>
  <si>
    <t>1868-03-17</t>
  </si>
  <si>
    <t>1864-12-24</t>
  </si>
  <si>
    <t>1883-02-15</t>
  </si>
  <si>
    <t>1856-04-29</t>
  </si>
  <si>
    <t>1880-09-23</t>
  </si>
  <si>
    <t>1856-01-01</t>
  </si>
  <si>
    <t>1862-08-28</t>
  </si>
  <si>
    <t>1829-03-06</t>
  </si>
  <si>
    <t>1879-09-19</t>
  </si>
  <si>
    <t>1838-08-19</t>
  </si>
  <si>
    <t>1873-03-18</t>
  </si>
  <si>
    <t>1821-09-08</t>
  </si>
  <si>
    <t>1837-09-21</t>
  </si>
  <si>
    <t>1891-06-08</t>
  </si>
  <si>
    <t>1832-06-09</t>
  </si>
  <si>
    <t>1846-06-30</t>
  </si>
  <si>
    <t>1826-10-03</t>
  </si>
  <si>
    <t>1855-11-24</t>
  </si>
  <si>
    <t>1852-05-20</t>
  </si>
  <si>
    <t>1859-09-26</t>
  </si>
  <si>
    <t>1855-08-07</t>
  </si>
  <si>
    <t>1856-02-23</t>
  </si>
  <si>
    <t>1885-01-07</t>
  </si>
  <si>
    <t>1826-08-07</t>
  </si>
  <si>
    <t>1824-06-27</t>
  </si>
  <si>
    <t>1881-11-03</t>
  </si>
  <si>
    <t>1826-11-22</t>
  </si>
  <si>
    <t>1867-04-29</t>
  </si>
  <si>
    <t>1878-08-25</t>
  </si>
  <si>
    <t>1873-07-30</t>
  </si>
  <si>
    <t>1853-06-22</t>
  </si>
  <si>
    <t>1892-12-08</t>
  </si>
  <si>
    <t>1834-08-25</t>
  </si>
  <si>
    <t>1835-12-23</t>
  </si>
  <si>
    <t>1840-12-12</t>
  </si>
  <si>
    <t>1863-03-01</t>
  </si>
  <si>
    <t>1815-09-27</t>
  </si>
  <si>
    <t>1841-02-28</t>
  </si>
  <si>
    <t>1852-11-03</t>
  </si>
  <si>
    <t>1887-12-20</t>
  </si>
  <si>
    <t>1855-05-16</t>
  </si>
  <si>
    <t>1824-05-10</t>
  </si>
  <si>
    <t>1850-03-31</t>
  </si>
  <si>
    <t>1852-08-10</t>
  </si>
  <si>
    <t>1853-12-11</t>
  </si>
  <si>
    <t>1873-08-11</t>
  </si>
  <si>
    <t>1881-12-19</t>
  </si>
  <si>
    <t>1834-03-06</t>
  </si>
  <si>
    <t>1893-06-18</t>
  </si>
  <si>
    <t>1879-09-15</t>
  </si>
  <si>
    <t>1844-12-25</t>
  </si>
  <si>
    <t>1899-06-19</t>
  </si>
  <si>
    <t>1880-05-08</t>
  </si>
  <si>
    <t>1884-08-27</t>
  </si>
  <si>
    <t>1861-10-15</t>
  </si>
  <si>
    <t>1856-06-16</t>
  </si>
  <si>
    <t>1878-11-30</t>
  </si>
  <si>
    <t>1858-06-16</t>
  </si>
  <si>
    <t>1888-12-04</t>
  </si>
  <si>
    <t>1836-05-20</t>
  </si>
  <si>
    <t>1859-05-13</t>
  </si>
  <si>
    <t>1837-01-01</t>
  </si>
  <si>
    <t>1877-01-02</t>
  </si>
  <si>
    <t>1846-11-29</t>
  </si>
  <si>
    <t>1876-08-14</t>
  </si>
  <si>
    <t>1863-04-03</t>
  </si>
  <si>
    <t>1852-09-07</t>
  </si>
  <si>
    <t>1866-01-06</t>
  </si>
  <si>
    <t>1878-11-17</t>
  </si>
  <si>
    <t>1844-10-10</t>
  </si>
  <si>
    <t>1881-12-29</t>
  </si>
  <si>
    <t>1825-04-18</t>
  </si>
  <si>
    <t>1844-04-25</t>
  </si>
  <si>
    <t>1859-06-08</t>
  </si>
  <si>
    <t>1845-07-26</t>
  </si>
  <si>
    <t>1862-07-08</t>
  </si>
  <si>
    <t>1887-09-11</t>
  </si>
  <si>
    <t>1886-10-06</t>
  </si>
  <si>
    <t>1857-06-15</t>
  </si>
  <si>
    <t>1898-08-04</t>
  </si>
  <si>
    <t>1833-07-31</t>
  </si>
  <si>
    <t>1824-01-19</t>
  </si>
  <si>
    <t>1888-07-03</t>
  </si>
  <si>
    <t>1843-09-19</t>
  </si>
  <si>
    <t>1850-09-21</t>
  </si>
  <si>
    <t>1864-08-09</t>
  </si>
  <si>
    <t>1857-09-22</t>
  </si>
  <si>
    <t>1885-05-27</t>
  </si>
  <si>
    <t>1835-12-16</t>
  </si>
  <si>
    <t>1838-04-16</t>
  </si>
  <si>
    <t>1832-11-25</t>
  </si>
  <si>
    <t>1842-02-04</t>
  </si>
  <si>
    <t>1853-04-28</t>
  </si>
  <si>
    <t>1874-11-09</t>
  </si>
  <si>
    <t>1882-12-03</t>
  </si>
  <si>
    <t>1835-11-24</t>
  </si>
  <si>
    <t>1895-11-10</t>
  </si>
  <si>
    <t>1819-06-10</t>
  </si>
  <si>
    <t>1869-05-04</t>
  </si>
  <si>
    <t>1845-10-24</t>
  </si>
  <si>
    <t>1836-02-04</t>
  </si>
  <si>
    <t>1876-08-03</t>
  </si>
  <si>
    <t>1827-03-17</t>
  </si>
  <si>
    <t>1870-08-24</t>
  </si>
  <si>
    <t>1831-09-02</t>
  </si>
  <si>
    <t>1853-01-31</t>
  </si>
  <si>
    <t>1885-03-03</t>
  </si>
  <si>
    <t>1876-07-19</t>
  </si>
  <si>
    <t>1893-04-27</t>
  </si>
  <si>
    <t>1831-03-13</t>
  </si>
  <si>
    <t>1863-10-31</t>
  </si>
  <si>
    <t>1892-12-27</t>
  </si>
  <si>
    <t>1829-01-15</t>
  </si>
  <si>
    <t>1874-05-27</t>
  </si>
  <si>
    <t>1847-06-22</t>
  </si>
  <si>
    <t>1871-01-25</t>
  </si>
  <si>
    <t>1881-04-10</t>
  </si>
  <si>
    <t>1831-09-09</t>
  </si>
  <si>
    <t>1823-07-27</t>
  </si>
  <si>
    <t>1859-12-23</t>
  </si>
  <si>
    <t>1876-05-16</t>
  </si>
  <si>
    <t>1878-03-03</t>
  </si>
  <si>
    <t>1885-02-15</t>
  </si>
  <si>
    <t>1840-08-30</t>
  </si>
  <si>
    <t>1881-12-31</t>
  </si>
  <si>
    <t>1870-06-22</t>
  </si>
  <si>
    <t>1830-09-27</t>
  </si>
  <si>
    <t>1837-09-26</t>
  </si>
  <si>
    <t>1857-02-10</t>
  </si>
  <si>
    <t>1806-01-10</t>
  </si>
  <si>
    <t>1862-09-22</t>
  </si>
  <si>
    <t>1836-11-05</t>
  </si>
  <si>
    <t>1813-01-15</t>
  </si>
  <si>
    <t>1882-05-26</t>
  </si>
  <si>
    <t>1805-08-19</t>
  </si>
  <si>
    <t>1881-06-22</t>
  </si>
  <si>
    <t>1862-08-23</t>
  </si>
  <si>
    <t>1862-08-25</t>
  </si>
  <si>
    <t>1874-07-09</t>
  </si>
  <si>
    <t>1882-11-01</t>
  </si>
  <si>
    <t>1897-06-15</t>
  </si>
  <si>
    <t>1841-12-20</t>
  </si>
  <si>
    <t>1814-12-27</t>
  </si>
  <si>
    <t>1822-05-11</t>
  </si>
  <si>
    <t>1899-05-10</t>
  </si>
  <si>
    <t>1872-11-21</t>
  </si>
  <si>
    <t>1883-10-18</t>
  </si>
  <si>
    <t>1865-02-09</t>
  </si>
  <si>
    <t>1854-03-29</t>
  </si>
  <si>
    <t>1895-01-27</t>
  </si>
  <si>
    <t>1889-07-21</t>
  </si>
  <si>
    <t>1825-03-09</t>
  </si>
  <si>
    <t>1857-05-24</t>
  </si>
  <si>
    <t>1850-05-16</t>
  </si>
  <si>
    <t>1853-10-01</t>
  </si>
  <si>
    <t>1892-05-17</t>
  </si>
  <si>
    <t>1831-10-19</t>
  </si>
  <si>
    <t>1876-08-29</t>
  </si>
  <si>
    <t>1848-01-15</t>
  </si>
  <si>
    <t>1887-11-12</t>
  </si>
  <si>
    <t>1828-05-31</t>
  </si>
  <si>
    <t>1832-09-08</t>
  </si>
  <si>
    <t>1843-04-08</t>
  </si>
  <si>
    <t>1845-08-17</t>
  </si>
  <si>
    <t>1859-12-10</t>
  </si>
  <si>
    <t>1854-05-09</t>
  </si>
  <si>
    <t>1817-01-06</t>
  </si>
  <si>
    <t>1843-10-01</t>
  </si>
  <si>
    <t>1852-01-16</t>
  </si>
  <si>
    <t>1857-01-09</t>
  </si>
  <si>
    <t>1853-08-29</t>
  </si>
  <si>
    <t>1863-08-21</t>
  </si>
  <si>
    <t>1869-01-26</t>
  </si>
  <si>
    <t>1889-08-06</t>
  </si>
  <si>
    <t>1894-12-19</t>
  </si>
  <si>
    <t>1891-11-01</t>
  </si>
  <si>
    <t>1886-09-17</t>
  </si>
  <si>
    <t>1827-02-11</t>
  </si>
  <si>
    <t>1817-04-07</t>
  </si>
  <si>
    <t>1867-10-14</t>
  </si>
  <si>
    <t>1830-01-05</t>
  </si>
  <si>
    <t>1849-12-24</t>
  </si>
  <si>
    <t>1883-02-16</t>
  </si>
  <si>
    <t>1812-09-29</t>
  </si>
  <si>
    <t>1854-05-01</t>
  </si>
  <si>
    <t>1847-01-10</t>
  </si>
  <si>
    <t>1852-04-02</t>
  </si>
  <si>
    <t>1877-09-30</t>
  </si>
  <si>
    <t>1843-04-02</t>
  </si>
  <si>
    <t>1893-10-24</t>
  </si>
  <si>
    <t>1870-06-10</t>
  </si>
  <si>
    <t>1842-02-12</t>
  </si>
  <si>
    <t>1833-12-18</t>
  </si>
  <si>
    <t>1853-10-13</t>
  </si>
  <si>
    <t>1854-02-19</t>
  </si>
  <si>
    <t>1862-10-11</t>
  </si>
  <si>
    <t>1826-01-24</t>
  </si>
  <si>
    <t>1878-12-27</t>
  </si>
  <si>
    <t>1852-01-29</t>
  </si>
  <si>
    <t>1870-09-14</t>
  </si>
  <si>
    <t>1869-01-08</t>
  </si>
  <si>
    <t>1876-01-07</t>
  </si>
  <si>
    <t>1857-10-19</t>
  </si>
  <si>
    <t>1805-11-25</t>
  </si>
  <si>
    <t>1860-10-01</t>
  </si>
  <si>
    <t>1848-10-08</t>
  </si>
  <si>
    <t>1866-10-27</t>
  </si>
  <si>
    <t>1884-01-03</t>
  </si>
  <si>
    <t>1824-12-08</t>
  </si>
  <si>
    <t>1880-08-03</t>
  </si>
  <si>
    <t>1860-01-20</t>
  </si>
  <si>
    <t>1854-09-10</t>
  </si>
  <si>
    <t>1880-03-10</t>
  </si>
  <si>
    <t>1824-06-19</t>
  </si>
  <si>
    <t>1892-12-22</t>
  </si>
  <si>
    <t>1834-01-06</t>
  </si>
  <si>
    <t>1882-10-25</t>
  </si>
  <si>
    <t>1876-03-15</t>
  </si>
  <si>
    <t>1885-02-21</t>
  </si>
  <si>
    <t>1882-01-10</t>
  </si>
  <si>
    <t>1843-11-22</t>
  </si>
  <si>
    <t>1876-02-24</t>
  </si>
  <si>
    <t>1871-09-06</t>
  </si>
  <si>
    <t>1821-02-20</t>
  </si>
  <si>
    <t>1842-06-11</t>
  </si>
  <si>
    <t>1843-05-17</t>
  </si>
  <si>
    <t>1881-11-30</t>
  </si>
  <si>
    <t>1838-05-12</t>
  </si>
  <si>
    <t>1852-09-01</t>
  </si>
  <si>
    <t>1859-09-01</t>
  </si>
  <si>
    <t>1838-08-01</t>
  </si>
  <si>
    <t>1821-08-24</t>
  </si>
  <si>
    <t>1859-02-03</t>
  </si>
  <si>
    <t>1864-08-10</t>
  </si>
  <si>
    <t>1876-01-06</t>
  </si>
  <si>
    <t>1858-01-17</t>
  </si>
  <si>
    <t>1844-02-29</t>
  </si>
  <si>
    <t>1829-11-23</t>
  </si>
  <si>
    <t>1830-04-22</t>
  </si>
  <si>
    <t>1867-04-22</t>
  </si>
  <si>
    <t>1845-06-21</t>
  </si>
  <si>
    <t>1828-07-21</t>
  </si>
  <si>
    <t>1870-02-11</t>
  </si>
  <si>
    <t>1829-01-10</t>
  </si>
  <si>
    <t>1834-10-05</t>
  </si>
  <si>
    <t>1846-09-15</t>
  </si>
  <si>
    <t>1852-09-25</t>
  </si>
  <si>
    <t>1873-10-27</t>
  </si>
  <si>
    <t>1885-06-07</t>
  </si>
  <si>
    <t>1820-09-07</t>
  </si>
  <si>
    <t>1861-03-30</t>
  </si>
  <si>
    <t>1892-11-22</t>
  </si>
  <si>
    <t>1881-04-19</t>
  </si>
  <si>
    <t>1837-10-18</t>
  </si>
  <si>
    <t>1878-05-23</t>
  </si>
  <si>
    <t>1850-05-03</t>
  </si>
  <si>
    <t>1876-12-13</t>
  </si>
  <si>
    <t>1831-11-01</t>
  </si>
  <si>
    <t>1824-12-01</t>
  </si>
  <si>
    <t>1831-07-30</t>
  </si>
  <si>
    <t>1836-11-11</t>
  </si>
  <si>
    <t>1862-05-31</t>
  </si>
  <si>
    <t>1875-12-12</t>
  </si>
  <si>
    <t>1877-05-05</t>
  </si>
  <si>
    <t>1886-01-26</t>
  </si>
  <si>
    <t>1850-11-15</t>
  </si>
  <si>
    <t>1856-10-14</t>
  </si>
  <si>
    <t>1893-10-26</t>
  </si>
  <si>
    <t>1809-01-28</t>
  </si>
  <si>
    <t>1864-04-12</t>
  </si>
  <si>
    <t>1866-07-10</t>
  </si>
  <si>
    <t>1868-07-10</t>
  </si>
  <si>
    <t>1855-05-14</t>
  </si>
  <si>
    <t>1839-02-03</t>
  </si>
  <si>
    <t>1842-01-08</t>
  </si>
  <si>
    <t>1842-06-10</t>
  </si>
  <si>
    <t>1860-08-26</t>
  </si>
  <si>
    <t>1855-03-08</t>
  </si>
  <si>
    <t>1857-01-22</t>
  </si>
  <si>
    <t>1833-10-17</t>
  </si>
  <si>
    <t>1833-10-19</t>
  </si>
  <si>
    <t>1812-06-09</t>
  </si>
  <si>
    <t>1852-06-03</t>
  </si>
  <si>
    <t>1877-06-21</t>
  </si>
  <si>
    <t>1827-10-25</t>
  </si>
  <si>
    <t>1862-05-20</t>
  </si>
  <si>
    <t>1857-08-22</t>
  </si>
  <si>
    <t>1861-09-29</t>
  </si>
  <si>
    <t>1878-08-09</t>
  </si>
  <si>
    <t>1818-01-18</t>
  </si>
  <si>
    <t>1860-10-06</t>
  </si>
  <si>
    <t>1882-07-21</t>
  </si>
  <si>
    <t>1859-08-16</t>
  </si>
  <si>
    <t>1871-01-30</t>
  </si>
  <si>
    <t>1859-03-12</t>
  </si>
  <si>
    <t>1808-09-18</t>
  </si>
  <si>
    <t>1847-10-09</t>
  </si>
  <si>
    <t>1847-12-11</t>
  </si>
  <si>
    <t>1864-01-19</t>
  </si>
  <si>
    <t>1881-11-09</t>
  </si>
  <si>
    <t>1884-05-26</t>
  </si>
  <si>
    <t>1873-05-13</t>
  </si>
  <si>
    <t>1833-10-11</t>
  </si>
  <si>
    <t>1858-06-06</t>
  </si>
  <si>
    <t>1879-04-12</t>
  </si>
  <si>
    <t>1891-02-20</t>
  </si>
  <si>
    <t>1892-01-04</t>
  </si>
  <si>
    <t>1898-06-06</t>
  </si>
  <si>
    <t>1880-05-19</t>
  </si>
  <si>
    <t>1874-04-18</t>
  </si>
  <si>
    <t>1833-10-12</t>
  </si>
  <si>
    <t>1871-10-25</t>
  </si>
  <si>
    <t>1825-01-25</t>
  </si>
  <si>
    <t>1854-06-11</t>
  </si>
  <si>
    <t>1891-01-11</t>
  </si>
  <si>
    <t>1848-11-26</t>
  </si>
  <si>
    <t>1851-03-15</t>
  </si>
  <si>
    <t>1843-02-26</t>
  </si>
  <si>
    <t>1847-07-22</t>
  </si>
  <si>
    <t>1835-11-19</t>
  </si>
  <si>
    <t>1858-04-14</t>
  </si>
  <si>
    <t>1831-01-18</t>
  </si>
  <si>
    <t>1879-10-17</t>
  </si>
  <si>
    <t>1836-03-22</t>
  </si>
  <si>
    <t>1873-07-01</t>
  </si>
  <si>
    <t>1828-08-15</t>
  </si>
  <si>
    <t>1842-01-05</t>
  </si>
  <si>
    <t>1816-03-21</t>
  </si>
  <si>
    <t>1857-03-21</t>
  </si>
  <si>
    <t>1880-05-04</t>
  </si>
  <si>
    <t>1826-09-29</t>
  </si>
  <si>
    <t>1863-10-22</t>
  </si>
  <si>
    <t>1825-09-14</t>
  </si>
  <si>
    <t>1823-07-22</t>
  </si>
  <si>
    <t>1833-04-23</t>
  </si>
  <si>
    <t>1836-01-25</t>
  </si>
  <si>
    <t>1836-07-25</t>
  </si>
  <si>
    <t>1875-11-07</t>
  </si>
  <si>
    <t>1825-08-29</t>
  </si>
  <si>
    <t>1855-01-05</t>
  </si>
  <si>
    <t>1826-06-10</t>
  </si>
  <si>
    <t>1872-05-09</t>
  </si>
  <si>
    <t>1861-09-13</t>
  </si>
  <si>
    <t>1837-05-03</t>
  </si>
  <si>
    <t>1898-08-21</t>
  </si>
  <si>
    <t>1871-12-20</t>
  </si>
  <si>
    <t>1881-01-19</t>
  </si>
  <si>
    <t>1806-06-20</t>
  </si>
  <si>
    <t>1811-10-29</t>
  </si>
  <si>
    <t>1817-08-05</t>
  </si>
  <si>
    <t>1832-11-11</t>
  </si>
  <si>
    <t>1838-04-14</t>
  </si>
  <si>
    <t>1848-07-23</t>
  </si>
  <si>
    <t>1856-02-22</t>
  </si>
  <si>
    <t>1858-01-07</t>
  </si>
  <si>
    <t>1858-05-12</t>
  </si>
  <si>
    <t>1863-06-19</t>
  </si>
  <si>
    <t>1873-06-21</t>
  </si>
  <si>
    <t>1852-01-10</t>
  </si>
  <si>
    <t>1862-04-25</t>
  </si>
  <si>
    <t>1850-09-03</t>
  </si>
  <si>
    <t>1893-06-28</t>
  </si>
  <si>
    <t>1834-12-11</t>
  </si>
  <si>
    <t>1830-07-28</t>
  </si>
  <si>
    <t>1841-08-01</t>
  </si>
  <si>
    <t>1827-08-21</t>
  </si>
  <si>
    <t>1896-05-05</t>
  </si>
  <si>
    <t>1877-04-29</t>
  </si>
  <si>
    <t>1876-12-10</t>
  </si>
  <si>
    <t>1872-04-09</t>
  </si>
  <si>
    <t>1861-04-10</t>
  </si>
  <si>
    <t>1891-07-29</t>
  </si>
  <si>
    <t>1869-04-21</t>
  </si>
  <si>
    <t>1811-02-16</t>
  </si>
  <si>
    <t>1827-05-23</t>
  </si>
  <si>
    <t>1847-05-30</t>
  </si>
  <si>
    <t>1817-08-27</t>
  </si>
  <si>
    <t>1848-04-29</t>
  </si>
  <si>
    <t>1849-09-28</t>
  </si>
  <si>
    <t>1870-12-11</t>
  </si>
  <si>
    <t>1810-09-16</t>
  </si>
  <si>
    <t>1864-04-10</t>
  </si>
  <si>
    <t>1840-01-14</t>
  </si>
  <si>
    <t>1852-06-08</t>
  </si>
  <si>
    <t>1834-11-23</t>
  </si>
  <si>
    <t>1871-05-26</t>
  </si>
  <si>
    <t>1869-01-15</t>
  </si>
  <si>
    <t>1846-02-19</t>
  </si>
  <si>
    <t>1854-06-21</t>
  </si>
  <si>
    <t>1887-08-12</t>
  </si>
  <si>
    <t>1879-08-31</t>
  </si>
  <si>
    <t>1851-10-02</t>
  </si>
  <si>
    <t>1854-05-17</t>
  </si>
  <si>
    <t>1860-12-17</t>
  </si>
  <si>
    <t>1872-10-18</t>
  </si>
  <si>
    <t>1875-07-27</t>
  </si>
  <si>
    <t>1855-03-31</t>
  </si>
  <si>
    <t>1879-08-26</t>
  </si>
  <si>
    <t>1852-11-13</t>
  </si>
  <si>
    <t>1886-01-21</t>
  </si>
  <si>
    <t>1841-12-14</t>
  </si>
  <si>
    <t>1859-09-07</t>
  </si>
  <si>
    <t>1867-11-30</t>
  </si>
  <si>
    <t>1845-06-17</t>
  </si>
  <si>
    <t>1838-05-31</t>
  </si>
  <si>
    <t>1867-09-11</t>
  </si>
  <si>
    <t>1815-10-06</t>
  </si>
  <si>
    <t>1824-09-13</t>
  </si>
  <si>
    <t>1856-06-01</t>
  </si>
  <si>
    <t>1889-07-23</t>
  </si>
  <si>
    <t>1838-11-05</t>
  </si>
  <si>
    <t>1870-07-18</t>
  </si>
  <si>
    <t>1870-07-28</t>
  </si>
  <si>
    <t>1855-04-03</t>
  </si>
  <si>
    <t>1853-06-02</t>
  </si>
  <si>
    <t>1840-04-22</t>
  </si>
  <si>
    <t>1846-12-13</t>
  </si>
  <si>
    <t>1853-07-14</t>
  </si>
  <si>
    <t>1847-12-15</t>
  </si>
  <si>
    <t>1823-10-28</t>
  </si>
  <si>
    <t>1861-08-21</t>
  </si>
  <si>
    <t>1815-05-20</t>
  </si>
  <si>
    <t>1829-04-07</t>
  </si>
  <si>
    <t>1855-01-28</t>
  </si>
  <si>
    <t>1825-10-20</t>
  </si>
  <si>
    <t>1871-01-07</t>
  </si>
  <si>
    <t>1872-08-18</t>
  </si>
  <si>
    <t>1876-02-01</t>
  </si>
  <si>
    <t>1844-09-01</t>
  </si>
  <si>
    <t>1846-02-03</t>
  </si>
  <si>
    <t>1858-02-27</t>
  </si>
  <si>
    <t>1843-03-21</t>
  </si>
  <si>
    <t>1852-02-15</t>
  </si>
  <si>
    <t>1850-02-01</t>
  </si>
  <si>
    <t>1878-11-22</t>
  </si>
  <si>
    <t>1841-02-17</t>
  </si>
  <si>
    <t>1844-07-08</t>
  </si>
  <si>
    <t>1862-02-01</t>
  </si>
  <si>
    <t>1875-09-18</t>
  </si>
  <si>
    <t>1840-05-13</t>
  </si>
  <si>
    <t>1872-08-31</t>
  </si>
  <si>
    <t>1851-11-20</t>
  </si>
  <si>
    <t>1822-09-12</t>
  </si>
  <si>
    <t>1873-03-31</t>
  </si>
  <si>
    <t>1826-12-26</t>
  </si>
  <si>
    <t>1836-05-17</t>
  </si>
  <si>
    <t>1829-09-23</t>
  </si>
  <si>
    <t>1847-09-19</t>
  </si>
  <si>
    <t>1880-12-25</t>
  </si>
  <si>
    <t>1840-12-28</t>
  </si>
  <si>
    <t>1868-06-08</t>
  </si>
  <si>
    <t>1855-06-29</t>
  </si>
  <si>
    <t>1852-02-04</t>
  </si>
  <si>
    <t>1855-05-02</t>
  </si>
  <si>
    <t>1874-09-10</t>
  </si>
  <si>
    <t>1824-09-23</t>
  </si>
  <si>
    <t>1860-05-25</t>
  </si>
  <si>
    <t>1860-01-16</t>
  </si>
  <si>
    <t>1855-04-21</t>
  </si>
  <si>
    <t>1835-08-13</t>
  </si>
  <si>
    <t>1853-06-23</t>
  </si>
  <si>
    <t>1868-07-26</t>
  </si>
  <si>
    <t>1850-02-10</t>
  </si>
  <si>
    <t>1882-07-20</t>
  </si>
  <si>
    <t>1848-03-07</t>
  </si>
  <si>
    <t>1876-08-20</t>
  </si>
  <si>
    <t>1864-12-14</t>
  </si>
  <si>
    <t>1873-11-23</t>
  </si>
  <si>
    <t>1855-02-03</t>
  </si>
  <si>
    <t>1815-01-01</t>
  </si>
  <si>
    <t>1839-01-23</t>
  </si>
  <si>
    <t>1875-04-10</t>
  </si>
  <si>
    <t>1874-06-16</t>
  </si>
  <si>
    <t>1880-07-30</t>
  </si>
  <si>
    <t>1831-01-12</t>
  </si>
  <si>
    <t>1831-10-12</t>
  </si>
  <si>
    <t>1837-04-29</t>
  </si>
  <si>
    <t>1854-01-14</t>
  </si>
  <si>
    <t>1850-03-30</t>
  </si>
  <si>
    <t>1825-04-03</t>
  </si>
  <si>
    <t>1889-07-14</t>
  </si>
  <si>
    <t>1866-11-22</t>
  </si>
  <si>
    <t>1825-05-16</t>
  </si>
  <si>
    <t>1877-02-20</t>
  </si>
  <si>
    <t>1872-03-01</t>
  </si>
  <si>
    <t>1829-10-01</t>
  </si>
  <si>
    <t>1869-05-02</t>
  </si>
  <si>
    <t>1837-05-20</t>
  </si>
  <si>
    <t>1837-05-12</t>
  </si>
  <si>
    <t>1867-12-08</t>
  </si>
  <si>
    <t>1850-02-18</t>
  </si>
  <si>
    <t>1840-11-09</t>
  </si>
  <si>
    <t>1831-02-19</t>
  </si>
  <si>
    <t>1827-03-06</t>
  </si>
  <si>
    <t>1851-05-29</t>
  </si>
  <si>
    <t>1857-02-21</t>
  </si>
  <si>
    <t>1872-08-20</t>
  </si>
  <si>
    <t>1836-05-27</t>
  </si>
  <si>
    <t>1827-10-22</t>
  </si>
  <si>
    <t>1879-08-04</t>
  </si>
  <si>
    <t>1876-05-22</t>
  </si>
  <si>
    <t>1830-04-05</t>
  </si>
  <si>
    <t>1893-06-09</t>
  </si>
  <si>
    <t>1840-10-21</t>
  </si>
  <si>
    <t>1859-12-12</t>
  </si>
  <si>
    <t>1840-11-08</t>
  </si>
  <si>
    <t>1853-09-15</t>
  </si>
  <si>
    <t>1857-10-14</t>
  </si>
  <si>
    <t>1889-02-19</t>
  </si>
  <si>
    <t>1839-04-20</t>
  </si>
  <si>
    <t>1879-07-08</t>
  </si>
  <si>
    <t>1876-07-25</t>
  </si>
  <si>
    <t>1848-08-27</t>
  </si>
  <si>
    <t>1862-07-23</t>
  </si>
  <si>
    <t>1866-03-19</t>
  </si>
  <si>
    <t>1825-11-13</t>
  </si>
  <si>
    <t>1880-11-08</t>
  </si>
  <si>
    <t>1865-06-17</t>
  </si>
  <si>
    <t>1844-11-03</t>
  </si>
  <si>
    <t>1883-12-10</t>
  </si>
  <si>
    <t>1864-07-03</t>
  </si>
  <si>
    <t>1843-09-09</t>
  </si>
  <si>
    <t>1865-07-18</t>
  </si>
  <si>
    <t>1855-10-31</t>
  </si>
  <si>
    <t>1854-09-01</t>
  </si>
  <si>
    <t>1872-12-02</t>
  </si>
  <si>
    <t>1852-01-18</t>
  </si>
  <si>
    <t>1870-12-30</t>
  </si>
  <si>
    <t>1837-03-27</t>
  </si>
  <si>
    <t>1883-04-28</t>
  </si>
  <si>
    <t>1823-10-12</t>
  </si>
  <si>
    <t>1850-10-26</t>
  </si>
  <si>
    <t>1882-11-22</t>
  </si>
  <si>
    <t>1887-11-07</t>
  </si>
  <si>
    <t>1888-12-15</t>
  </si>
  <si>
    <t>1817-04-29</t>
  </si>
  <si>
    <t>1825-10-28</t>
  </si>
  <si>
    <t>1853-07-16</t>
  </si>
  <si>
    <t>1891-07-16</t>
  </si>
  <si>
    <t>1887-04-29</t>
  </si>
  <si>
    <t>1862-06-16</t>
  </si>
  <si>
    <t>1863-09-16</t>
  </si>
  <si>
    <t>1893-04-09</t>
  </si>
  <si>
    <t>1839-08-16</t>
  </si>
  <si>
    <t>1878-03-24</t>
  </si>
  <si>
    <t>1876-07-23</t>
  </si>
  <si>
    <t>1867-07-23</t>
  </si>
  <si>
    <t>1859-03-07</t>
  </si>
  <si>
    <t>1879-09-21</t>
  </si>
  <si>
    <t>1846-08-11</t>
  </si>
  <si>
    <t>1820-06-30</t>
  </si>
  <si>
    <t>1873-11-15</t>
  </si>
  <si>
    <t>1876-03-13</t>
  </si>
  <si>
    <t>1817-12-07</t>
  </si>
  <si>
    <t>1876-04-23</t>
  </si>
  <si>
    <t>1826-06-27</t>
  </si>
  <si>
    <t>1885-09-21</t>
  </si>
  <si>
    <t>1862-05-28</t>
  </si>
  <si>
    <t>1848-09-17</t>
  </si>
  <si>
    <t>1897-04-01</t>
  </si>
  <si>
    <t>1841-04-19</t>
  </si>
  <si>
    <t>1865-03-24</t>
  </si>
  <si>
    <t>1872-04-01</t>
  </si>
  <si>
    <t>1897-04-03</t>
  </si>
  <si>
    <t>1833-02-14</t>
  </si>
  <si>
    <t>1862-03-28</t>
  </si>
  <si>
    <t>1830-10-28</t>
  </si>
  <si>
    <t>1839-06-23</t>
  </si>
  <si>
    <t>1818-01-14</t>
  </si>
  <si>
    <t>1857-07-30</t>
  </si>
  <si>
    <t>1886-09-15</t>
  </si>
  <si>
    <t>1842-03-11</t>
  </si>
  <si>
    <t>1856-12-21</t>
  </si>
  <si>
    <t>1872-08-03</t>
  </si>
  <si>
    <t>1875-11-04</t>
  </si>
  <si>
    <t>1835-07-31</t>
  </si>
  <si>
    <t>1837-08-09</t>
  </si>
  <si>
    <t>1857-03-28</t>
  </si>
  <si>
    <t>1878-05-16</t>
  </si>
  <si>
    <t>1873-12-13</t>
  </si>
  <si>
    <t>1860-12-23</t>
  </si>
  <si>
    <t>1885-11-14</t>
  </si>
  <si>
    <t>1892-03-31</t>
  </si>
  <si>
    <t>1846-10-31</t>
  </si>
  <si>
    <t>1878-04-29</t>
  </si>
  <si>
    <t>1881-10-10</t>
  </si>
  <si>
    <t>1839-03-09</t>
  </si>
  <si>
    <t>1819-03-16</t>
  </si>
  <si>
    <t>1855-06-20</t>
  </si>
  <si>
    <t>1844-01-24</t>
  </si>
  <si>
    <t>1850-09-25</t>
  </si>
  <si>
    <t>1866-08-23</t>
  </si>
  <si>
    <t>1834-04-19</t>
  </si>
  <si>
    <t>1845-03-19</t>
  </si>
  <si>
    <t>1840-05-10</t>
  </si>
  <si>
    <t>1827-05-11</t>
  </si>
  <si>
    <t>1884-03-16</t>
  </si>
  <si>
    <t>1841-09-17</t>
  </si>
  <si>
    <t>1821-11-22</t>
  </si>
  <si>
    <t>1822-06-02</t>
  </si>
  <si>
    <t>1849-04-24</t>
  </si>
  <si>
    <t>1867-10-02</t>
  </si>
  <si>
    <t>1837-05-06</t>
  </si>
  <si>
    <t>1835-04-01</t>
  </si>
  <si>
    <t>1835-01-03</t>
  </si>
  <si>
    <t>1838-04-01</t>
  </si>
  <si>
    <t>1871-03-08</t>
  </si>
  <si>
    <t>1829-03-04</t>
  </si>
  <si>
    <t>1845-05-18</t>
  </si>
  <si>
    <t>1847-07-23</t>
  </si>
  <si>
    <t>1868-10-21</t>
  </si>
  <si>
    <t>1870-02-23</t>
  </si>
  <si>
    <t>1872-04-29</t>
  </si>
  <si>
    <t>1878-01-04</t>
  </si>
  <si>
    <t>1882-11-13</t>
  </si>
  <si>
    <t>1841-10-26</t>
  </si>
  <si>
    <t>1836-05-08</t>
  </si>
  <si>
    <t>1877-07-19</t>
  </si>
  <si>
    <t>1839-03-07</t>
  </si>
  <si>
    <t>1880-02-27</t>
  </si>
  <si>
    <t>1818-10-26</t>
  </si>
  <si>
    <t>1859-12-29</t>
  </si>
  <si>
    <t>1881-05-03</t>
  </si>
  <si>
    <t>1822-02-08</t>
  </si>
  <si>
    <t>1869-10-30</t>
  </si>
  <si>
    <t>1851-09-10</t>
  </si>
  <si>
    <t>1870-01-31</t>
  </si>
  <si>
    <t>1876-01-31</t>
  </si>
  <si>
    <t>1878-02-06</t>
  </si>
  <si>
    <t>1863-11-06</t>
  </si>
  <si>
    <t>1882-03-08</t>
  </si>
  <si>
    <t>1892-03-28</t>
  </si>
  <si>
    <t>1844-08-07</t>
  </si>
  <si>
    <t>1863-08-30</t>
  </si>
  <si>
    <t>1858-11-01</t>
  </si>
  <si>
    <t>1853-07-01</t>
  </si>
  <si>
    <t>1860-01-27</t>
  </si>
  <si>
    <t>1860-12-14</t>
  </si>
  <si>
    <t>1845-01-31</t>
  </si>
  <si>
    <t>1823-01-01</t>
  </si>
  <si>
    <t>1831-07-08</t>
  </si>
  <si>
    <t>1875-01-26</t>
  </si>
  <si>
    <t>1861-11-09</t>
  </si>
  <si>
    <t>1870-06-24</t>
  </si>
  <si>
    <t>1887-02-25</t>
  </si>
  <si>
    <t>1852-04-06</t>
  </si>
  <si>
    <t>1834-05-10</t>
  </si>
  <si>
    <t>1829-10-29</t>
  </si>
  <si>
    <t>1886-04-03</t>
  </si>
  <si>
    <t>1896-01-01</t>
  </si>
  <si>
    <t>1882-05-05</t>
  </si>
  <si>
    <t>1831-10-13</t>
  </si>
  <si>
    <t>1840-01-28</t>
  </si>
  <si>
    <t>1892-11-09</t>
  </si>
  <si>
    <t>1882-08-12</t>
  </si>
  <si>
    <t>1846-06-24</t>
  </si>
  <si>
    <t>1886-01-09</t>
  </si>
  <si>
    <t>1871-06-08</t>
  </si>
  <si>
    <t>1850-04-21</t>
  </si>
  <si>
    <t>1869-09-20</t>
  </si>
  <si>
    <t>1853-01-02</t>
  </si>
  <si>
    <t>1821-03-23</t>
  </si>
  <si>
    <t>1886-09-05</t>
  </si>
  <si>
    <t>1876-12-15</t>
  </si>
  <si>
    <t>1887-02-13</t>
  </si>
  <si>
    <t>1864-04-22</t>
  </si>
  <si>
    <t>1818-09-13</t>
  </si>
  <si>
    <t>1855-02-05</t>
  </si>
  <si>
    <t>1880-09-12</t>
  </si>
  <si>
    <t>1874-10-02</t>
  </si>
  <si>
    <t>1822-09-08</t>
  </si>
  <si>
    <t>1863-03-30</t>
  </si>
  <si>
    <t>1879-07-07</t>
  </si>
  <si>
    <t>1840-12-05</t>
  </si>
  <si>
    <t>1820-10-30</t>
  </si>
  <si>
    <t>1870-03-26</t>
  </si>
  <si>
    <t>1871-04-07</t>
  </si>
  <si>
    <t>1815-03-03</t>
  </si>
  <si>
    <t>1897-07-14</t>
  </si>
  <si>
    <t>1853-07-31</t>
  </si>
  <si>
    <t>1802-02-28</t>
  </si>
  <si>
    <t>1853-11-12</t>
  </si>
  <si>
    <t>1843-11-16</t>
  </si>
  <si>
    <t>1889-02-25</t>
  </si>
  <si>
    <t>1849-06-24</t>
  </si>
  <si>
    <t>1828-07-24</t>
  </si>
  <si>
    <t>1844-09-26</t>
  </si>
  <si>
    <t>1883-08-26</t>
  </si>
  <si>
    <t>1863-08-31</t>
  </si>
  <si>
    <t>1838-09-23</t>
  </si>
  <si>
    <t>1884-06-15</t>
  </si>
  <si>
    <t>1832-11-29</t>
  </si>
  <si>
    <t>1819-05-04</t>
  </si>
  <si>
    <t>1882-05-04</t>
  </si>
  <si>
    <t>1867-06-10</t>
  </si>
  <si>
    <t>1840-09-14</t>
  </si>
  <si>
    <t>1877-12-01</t>
  </si>
  <si>
    <t>1884-06-16</t>
  </si>
  <si>
    <t>1873-12-18</t>
  </si>
  <si>
    <t>1837-03-07</t>
  </si>
  <si>
    <t>1858-12-21</t>
  </si>
  <si>
    <t>1809-06-27</t>
  </si>
  <si>
    <t>1810-06-27</t>
  </si>
  <si>
    <t>1882-04-23</t>
  </si>
  <si>
    <t>1864-09-11</t>
  </si>
  <si>
    <t>1862-11-12</t>
  </si>
  <si>
    <t>1873-03-23</t>
  </si>
  <si>
    <t>1854-08-23</t>
  </si>
  <si>
    <t>1896-03-24</t>
  </si>
  <si>
    <t>1867-08-18</t>
  </si>
  <si>
    <t>1831-03-12</t>
  </si>
  <si>
    <t>1845-04-10</t>
  </si>
  <si>
    <t>1891-03-01</t>
  </si>
  <si>
    <t>1856-03-02</t>
  </si>
  <si>
    <t>1860-09-27</t>
  </si>
  <si>
    <t>1841-04-23</t>
  </si>
  <si>
    <t>1878-12-09</t>
  </si>
  <si>
    <t>1859-04-29</t>
  </si>
  <si>
    <t>1879-04-25</t>
  </si>
  <si>
    <t>1863-07-06</t>
  </si>
  <si>
    <t>1801-08-06</t>
  </si>
  <si>
    <t>1837-08-11</t>
  </si>
  <si>
    <t>1866-12-26</t>
  </si>
  <si>
    <t>1872-02-22</t>
  </si>
  <si>
    <t>1881-07-13</t>
  </si>
  <si>
    <t>1861-07-08</t>
  </si>
  <si>
    <t>1842-09-12</t>
  </si>
  <si>
    <t>1862-05-11</t>
  </si>
  <si>
    <t>1810-10-22</t>
  </si>
  <si>
    <t>1845-10-12</t>
  </si>
  <si>
    <t>1875-08-11</t>
  </si>
  <si>
    <t>1877-07-27</t>
  </si>
  <si>
    <t>1880-09-29</t>
  </si>
  <si>
    <t>1844-01-10</t>
  </si>
  <si>
    <t>1834-09-28</t>
  </si>
  <si>
    <t>1852-07-22</t>
  </si>
  <si>
    <t>1839-09-13</t>
  </si>
  <si>
    <t>1847-11-27</t>
  </si>
  <si>
    <t>1812-12-10</t>
  </si>
  <si>
    <t>1812-12-18</t>
  </si>
  <si>
    <t>1847-11-08</t>
  </si>
  <si>
    <t>1854-06-04</t>
  </si>
  <si>
    <t>1842-12-02</t>
  </si>
  <si>
    <t>1880-04-12</t>
  </si>
  <si>
    <t>1837-09-22</t>
  </si>
  <si>
    <t>1871-07-23</t>
  </si>
  <si>
    <t>1827-05-31</t>
  </si>
  <si>
    <t>1886-03-24</t>
  </si>
  <si>
    <t>1858-07-05</t>
  </si>
  <si>
    <t>1884-03-22</t>
  </si>
  <si>
    <t>1871-02-07</t>
  </si>
  <si>
    <t>1867-02-14</t>
  </si>
  <si>
    <t>1868-04-24</t>
  </si>
  <si>
    <t>1875-10-15</t>
  </si>
  <si>
    <t>1845-06-10</t>
  </si>
  <si>
    <t>1851-12-24</t>
  </si>
  <si>
    <t>1879-01-04</t>
  </si>
  <si>
    <t>1842-04-23</t>
  </si>
  <si>
    <t>1847-09-03</t>
  </si>
  <si>
    <t>1855-02-01</t>
  </si>
  <si>
    <t>1889-02-10</t>
  </si>
  <si>
    <t>1856-09-27</t>
  </si>
  <si>
    <t>1888-09-22</t>
  </si>
  <si>
    <t>1870-12-26</t>
  </si>
  <si>
    <t>1878-10-11</t>
  </si>
  <si>
    <t>1839-10-22</t>
  </si>
  <si>
    <t>1868-03-02</t>
  </si>
  <si>
    <t>1838-09-18</t>
  </si>
  <si>
    <t>1879-02-04</t>
  </si>
  <si>
    <t>1843-07-24</t>
  </si>
  <si>
    <t>1853-05-21</t>
  </si>
  <si>
    <t>1831-03-04</t>
  </si>
  <si>
    <t>1875-08-06</t>
  </si>
  <si>
    <t>1840-04-05</t>
  </si>
  <si>
    <t>1885-04-23</t>
  </si>
  <si>
    <t>1813-09-01</t>
  </si>
  <si>
    <t>1886-01-11</t>
  </si>
  <si>
    <t>1853-11-05</t>
  </si>
  <si>
    <t>1861-12-24</t>
  </si>
  <si>
    <t>1862-03-08</t>
  </si>
  <si>
    <t>1858-03-08</t>
  </si>
  <si>
    <t>1834-05-04</t>
  </si>
  <si>
    <t>1859-07-26</t>
  </si>
  <si>
    <t>1839-09-16</t>
  </si>
  <si>
    <t>1861-04-23</t>
  </si>
  <si>
    <t>1835-12-12</t>
  </si>
  <si>
    <t>1860-08-31</t>
  </si>
  <si>
    <t>1861-07-03</t>
  </si>
  <si>
    <t>1821-02-11</t>
  </si>
  <si>
    <t>1865-01-12</t>
  </si>
  <si>
    <t>1833-02-02</t>
  </si>
  <si>
    <t>1876-12-25</t>
  </si>
  <si>
    <t>1860-11-19</t>
  </si>
  <si>
    <t>1865-11-18</t>
  </si>
  <si>
    <t>1878-10-19</t>
  </si>
  <si>
    <t>1846-11-21</t>
  </si>
  <si>
    <t>1831-01-28</t>
  </si>
  <si>
    <t>1862-01-13</t>
  </si>
  <si>
    <t>1852-12-16</t>
  </si>
  <si>
    <t>1855-08-03</t>
  </si>
  <si>
    <t>1880-12-14</t>
  </si>
  <si>
    <t>1866-03-12</t>
  </si>
  <si>
    <t>1821-11-11</t>
  </si>
  <si>
    <t>1822-12-19</t>
  </si>
  <si>
    <t>1849-09-16</t>
  </si>
  <si>
    <t>1827-05-19</t>
  </si>
  <si>
    <t>1853-01-21</t>
  </si>
  <si>
    <t>1888-05-06</t>
  </si>
  <si>
    <t>1816-10-25</t>
  </si>
  <si>
    <t>1861-11-07</t>
  </si>
  <si>
    <t>1898-06-05</t>
  </si>
  <si>
    <t>1865-06-11</t>
  </si>
  <si>
    <t>1841-11-28</t>
  </si>
  <si>
    <t>1888-06-01</t>
  </si>
  <si>
    <t>1882-07-30</t>
  </si>
  <si>
    <t>1871-11-12</t>
  </si>
  <si>
    <t>1826-04-19</t>
  </si>
  <si>
    <t>1868-07-28</t>
  </si>
  <si>
    <t>1849-03-21</t>
  </si>
  <si>
    <t>1835-12-18</t>
  </si>
  <si>
    <t>1855-09-13</t>
  </si>
  <si>
    <t>1863-03-31</t>
  </si>
  <si>
    <t>1822-04-14</t>
  </si>
  <si>
    <t>1847-05-24</t>
  </si>
  <si>
    <t>1827-04-23</t>
  </si>
  <si>
    <t>1823-03-18</t>
  </si>
  <si>
    <t>1876-06-21</t>
  </si>
  <si>
    <t>1862-03-10</t>
  </si>
  <si>
    <t>1851-01-12</t>
  </si>
  <si>
    <t>1870-07-14</t>
  </si>
  <si>
    <t>1828-10-04</t>
  </si>
  <si>
    <t>1847-05-31</t>
  </si>
  <si>
    <t>1861-01-31</t>
  </si>
  <si>
    <t>1856-06-14</t>
  </si>
  <si>
    <t>1850-10-04</t>
  </si>
  <si>
    <t>1841-11-14</t>
  </si>
  <si>
    <t>1865-09-27</t>
  </si>
  <si>
    <t>1848-04-21</t>
  </si>
  <si>
    <t>1848-11-21</t>
  </si>
  <si>
    <t>1870-02-15</t>
  </si>
  <si>
    <t>1858-12-20</t>
  </si>
  <si>
    <t>1859-08-22</t>
  </si>
  <si>
    <t>1807-05-11</t>
  </si>
  <si>
    <t>1855-08-02</t>
  </si>
  <si>
    <t>1855-12-15</t>
  </si>
  <si>
    <t>1876-07-07</t>
  </si>
  <si>
    <t>1882-11-19</t>
  </si>
  <si>
    <t>1839-09-03</t>
  </si>
  <si>
    <t>1879-06-14</t>
  </si>
  <si>
    <t>1861-04-13</t>
  </si>
  <si>
    <t>1857-05-23</t>
  </si>
  <si>
    <t>1858-06-28</t>
  </si>
  <si>
    <t>1848-06-11</t>
  </si>
  <si>
    <t>1884-12-08</t>
  </si>
  <si>
    <t>1868-02-23</t>
  </si>
  <si>
    <t>1856-01-10</t>
  </si>
  <si>
    <t>1866-02-21</t>
  </si>
  <si>
    <t>1855-02-19</t>
  </si>
  <si>
    <t>1861-03-20</t>
  </si>
  <si>
    <t>1849-03-17</t>
  </si>
  <si>
    <t>1880-02-21</t>
  </si>
  <si>
    <t>1877-08-10</t>
  </si>
  <si>
    <t>1890-08-15</t>
  </si>
  <si>
    <t>1828-10-02</t>
  </si>
  <si>
    <t>1835-06-07</t>
  </si>
  <si>
    <t>1880-01-18</t>
  </si>
  <si>
    <t>1862-05-06</t>
  </si>
  <si>
    <t>1850-05-02</t>
  </si>
  <si>
    <t>1860-10-18</t>
  </si>
  <si>
    <t>1877-08-14</t>
  </si>
  <si>
    <t>1885-02-01</t>
  </si>
  <si>
    <t>1846-09-01</t>
  </si>
  <si>
    <t>1861-08-22</t>
  </si>
  <si>
    <t>1860-03-23</t>
  </si>
  <si>
    <t>1869-02-12</t>
  </si>
  <si>
    <t>1870-08-27</t>
  </si>
  <si>
    <t>1885-11-16</t>
  </si>
  <si>
    <t>1850-08-13</t>
  </si>
  <si>
    <t>1883-10-10</t>
  </si>
  <si>
    <t>1817-02-18</t>
  </si>
  <si>
    <t>1824-10-11</t>
  </si>
  <si>
    <t>1814-10-16</t>
  </si>
  <si>
    <t>1833-09-30</t>
  </si>
  <si>
    <t>1844-03-23</t>
  </si>
  <si>
    <t>1844-01-28</t>
  </si>
  <si>
    <t>1881-08-21</t>
  </si>
  <si>
    <t>1875-03-27</t>
  </si>
  <si>
    <t>1872-09-19</t>
  </si>
  <si>
    <t>1852-09-02</t>
  </si>
  <si>
    <t>1855-07-15</t>
  </si>
  <si>
    <t>1861-06-28</t>
  </si>
  <si>
    <t>1847-10-23</t>
  </si>
  <si>
    <t>1822-09-09</t>
  </si>
  <si>
    <t>1867-05-11</t>
  </si>
  <si>
    <t>1813-03-08</t>
  </si>
  <si>
    <t>1874-10-10</t>
  </si>
  <si>
    <t>1820-04-14</t>
  </si>
  <si>
    <t>1861-10-12</t>
  </si>
  <si>
    <t>1820-08-14</t>
  </si>
  <si>
    <t>1844-05-17</t>
  </si>
  <si>
    <t>1848-08-09</t>
  </si>
  <si>
    <t>1816-08-15</t>
  </si>
  <si>
    <t>1851-12-21</t>
  </si>
  <si>
    <t>1822-05-27</t>
  </si>
  <si>
    <t>1879-01-12</t>
  </si>
  <si>
    <t>1838-02-03</t>
  </si>
  <si>
    <t>1823-04-27</t>
  </si>
  <si>
    <t>1858-03-09</t>
  </si>
  <si>
    <t>1836-08-05</t>
  </si>
  <si>
    <t>1876-09-21</t>
  </si>
  <si>
    <t>1853-05-28</t>
  </si>
  <si>
    <t>1888-10-12</t>
  </si>
  <si>
    <t>1854-09-09</t>
  </si>
  <si>
    <t>1848-09-23</t>
  </si>
  <si>
    <t>1839-12-13</t>
  </si>
  <si>
    <t>1837-02-23</t>
  </si>
  <si>
    <t>1830-11-20</t>
  </si>
  <si>
    <t>1876-06-30</t>
  </si>
  <si>
    <t>1863-05-11</t>
  </si>
  <si>
    <t>1869-03-06</t>
  </si>
  <si>
    <t>1869-11-23</t>
  </si>
  <si>
    <t>1847-04-26</t>
  </si>
  <si>
    <t>1875-02-23</t>
  </si>
  <si>
    <t>1895-03-04</t>
  </si>
  <si>
    <t>1831-11-26</t>
  </si>
  <si>
    <t>1830-07-13</t>
  </si>
  <si>
    <t>1851-11-21</t>
  </si>
  <si>
    <t>1845-05-02</t>
  </si>
  <si>
    <t>1835-02-05</t>
  </si>
  <si>
    <t>1873-03-27</t>
  </si>
  <si>
    <t>1841-05-11</t>
  </si>
  <si>
    <t>1823-04-16</t>
  </si>
  <si>
    <t>1812-07-26</t>
  </si>
  <si>
    <t>1829-12-01</t>
  </si>
  <si>
    <t>1853-09-14</t>
  </si>
  <si>
    <t>1827-03-29</t>
  </si>
  <si>
    <t>1879-07-27</t>
  </si>
  <si>
    <t>1851-02-17</t>
  </si>
  <si>
    <t>1850-05-19</t>
  </si>
  <si>
    <t>1825-03-17</t>
  </si>
  <si>
    <t>1860-12-06</t>
  </si>
  <si>
    <t>1896-06-10</t>
  </si>
  <si>
    <t>1849-02-07</t>
  </si>
  <si>
    <t>1874-10-12</t>
  </si>
  <si>
    <t>1842-06-17</t>
  </si>
  <si>
    <t>1865-01-01</t>
  </si>
  <si>
    <t>1845-06-29</t>
  </si>
  <si>
    <t>1857-04-10</t>
  </si>
  <si>
    <t>1850-05-09</t>
  </si>
  <si>
    <t>1841-09-28</t>
  </si>
  <si>
    <t>1829-10-30</t>
  </si>
  <si>
    <t>1864-03-29</t>
  </si>
  <si>
    <t>1856-01-15</t>
  </si>
  <si>
    <t>1857-01-15</t>
  </si>
  <si>
    <t>1881-12-22</t>
  </si>
  <si>
    <t>1837-12-24</t>
  </si>
  <si>
    <t>1837-12-11</t>
  </si>
  <si>
    <t>1810-05-27</t>
  </si>
  <si>
    <t>1858-01-06</t>
  </si>
  <si>
    <t>1881-09-16</t>
  </si>
  <si>
    <t>1862-01-22</t>
  </si>
  <si>
    <t>1823-06-13</t>
  </si>
  <si>
    <t>1887-06-19</t>
  </si>
  <si>
    <t>1879-12-15</t>
  </si>
  <si>
    <t>1841-05-25</t>
  </si>
  <si>
    <t>1852-07-12</t>
  </si>
  <si>
    <t>1857-05-08</t>
  </si>
  <si>
    <t>1890-06-24</t>
  </si>
  <si>
    <t>1876-12-12</t>
  </si>
  <si>
    <t>1819-08-26</t>
  </si>
  <si>
    <t>1855-03-20</t>
  </si>
  <si>
    <t>1867-07-20</t>
  </si>
  <si>
    <t>1851-09-01</t>
  </si>
  <si>
    <t>1854-01-31</t>
  </si>
  <si>
    <t>1883-11-17</t>
  </si>
  <si>
    <t>1843-11-24</t>
  </si>
  <si>
    <t>1852-07-24</t>
  </si>
  <si>
    <t>1863-05-27</t>
  </si>
  <si>
    <t>1876-10-09</t>
  </si>
  <si>
    <t>1829-06-19</t>
  </si>
  <si>
    <t>1855-05-13</t>
  </si>
  <si>
    <t>1832-08-11</t>
  </si>
  <si>
    <t>1888-05-28</t>
  </si>
  <si>
    <t>1872-02-10</t>
  </si>
  <si>
    <t>1843-08-06</t>
  </si>
  <si>
    <t>1820-12-01</t>
  </si>
  <si>
    <t>1859-01-11</t>
  </si>
  <si>
    <t>1859-01-19</t>
  </si>
  <si>
    <t>1865-02-05</t>
  </si>
  <si>
    <t>1860-02-03</t>
  </si>
  <si>
    <t>1847-06-29</t>
  </si>
  <si>
    <t>1848-12-01</t>
  </si>
  <si>
    <t>1852-04-30</t>
  </si>
  <si>
    <t>1853-07-27</t>
  </si>
  <si>
    <t>1844-03-17</t>
  </si>
  <si>
    <t>1858-02-10</t>
  </si>
  <si>
    <t>1883-07-22</t>
  </si>
  <si>
    <t>1871-09-29</t>
  </si>
  <si>
    <t>1875-10-27</t>
  </si>
  <si>
    <t>1835-09-06</t>
  </si>
  <si>
    <t>1819-01-15</t>
  </si>
  <si>
    <t>1865-06-07</t>
  </si>
  <si>
    <t>1843-01-02</t>
  </si>
  <si>
    <t>1851-03-21</t>
  </si>
  <si>
    <t>1877-11-23</t>
  </si>
  <si>
    <t>1872-10-05</t>
  </si>
  <si>
    <t>1853-08-05</t>
  </si>
  <si>
    <t>1875-07-17</t>
  </si>
  <si>
    <t>1873-12-12</t>
  </si>
  <si>
    <t>1833-05-03</t>
  </si>
  <si>
    <t>1857-09-08</t>
  </si>
  <si>
    <t>1873-03-26</t>
  </si>
  <si>
    <t>1852-11-22</t>
  </si>
  <si>
    <t>1861-07-20</t>
  </si>
  <si>
    <t>1869-03-24</t>
  </si>
  <si>
    <t>1855-07-13</t>
  </si>
  <si>
    <t>1886-08-05</t>
  </si>
  <si>
    <t>1893-11-22</t>
  </si>
  <si>
    <t>1864-07-05</t>
  </si>
  <si>
    <t>1879-11-11</t>
  </si>
  <si>
    <t>1859-09-14</t>
  </si>
  <si>
    <t>1808-12-23</t>
  </si>
  <si>
    <t>1834-01-17</t>
  </si>
  <si>
    <t>1871-07-01</t>
  </si>
  <si>
    <t>1849-03-30</t>
  </si>
  <si>
    <t>1820-02-27</t>
  </si>
  <si>
    <t>1844-01-16</t>
  </si>
  <si>
    <t>1863-11-12</t>
  </si>
  <si>
    <t>1844-06-07</t>
  </si>
  <si>
    <t>1876-07-14</t>
  </si>
  <si>
    <t>1894-06-27</t>
  </si>
  <si>
    <t>1802-08-28</t>
  </si>
  <si>
    <t>1826-08-19</t>
  </si>
  <si>
    <t>1865-03-01</t>
  </si>
  <si>
    <t>1837-06-17</t>
  </si>
  <si>
    <t>1892-06-27</t>
  </si>
  <si>
    <t>1861-03-21</t>
  </si>
  <si>
    <t>1825-10-08</t>
  </si>
  <si>
    <t>1881-08-03</t>
  </si>
  <si>
    <t>1840-02-29</t>
  </si>
  <si>
    <t>1856-10-04</t>
  </si>
  <si>
    <t>1869-07-14</t>
  </si>
  <si>
    <t>1833-08-28</t>
  </si>
  <si>
    <t>1813-01-09</t>
  </si>
  <si>
    <t>1838-10-02</t>
  </si>
  <si>
    <t>1845-07-01</t>
  </si>
  <si>
    <t>1895-11-20</t>
  </si>
  <si>
    <t>1876-08-28</t>
  </si>
  <si>
    <t>1874-05-03</t>
  </si>
  <si>
    <t>1882-03-20</t>
  </si>
  <si>
    <t>1848-07-19</t>
  </si>
  <si>
    <t>1879-10-18</t>
  </si>
  <si>
    <t>1852-06-02</t>
  </si>
  <si>
    <t>1887-07-28</t>
  </si>
  <si>
    <t>1837-02-26</t>
  </si>
  <si>
    <t>1850-11-07</t>
  </si>
  <si>
    <t>1889-06-24</t>
  </si>
  <si>
    <t>1863-01-04</t>
  </si>
  <si>
    <t>1857-06-01</t>
  </si>
  <si>
    <t>1857-11-01</t>
  </si>
  <si>
    <t>1860-06-17</t>
  </si>
  <si>
    <t>1835-07-30</t>
  </si>
  <si>
    <t>1849-03-26</t>
  </si>
  <si>
    <t>1817-02-15</t>
  </si>
  <si>
    <t>1876-07-09</t>
  </si>
  <si>
    <t>1873-06-29</t>
  </si>
  <si>
    <t>1849-04-25</t>
  </si>
  <si>
    <t>1872-06-06</t>
  </si>
  <si>
    <t>1883-10-21</t>
  </si>
  <si>
    <t>1879-03-18</t>
  </si>
  <si>
    <t>1866-03-18</t>
  </si>
  <si>
    <t>1874-03-24</t>
  </si>
  <si>
    <t>1878-03-29</t>
  </si>
  <si>
    <t>1847-07-31</t>
  </si>
  <si>
    <t>1886-08-21</t>
  </si>
  <si>
    <t>1831-12-03</t>
  </si>
  <si>
    <t>1833-01-16</t>
  </si>
  <si>
    <t>1854-05-21</t>
  </si>
  <si>
    <t>1868-04-14</t>
  </si>
  <si>
    <t>1886-03-22</t>
  </si>
  <si>
    <t>1835-12-17</t>
  </si>
  <si>
    <t>1881-11-20</t>
  </si>
  <si>
    <t>1871-12-10</t>
  </si>
  <si>
    <t>1832-04-21</t>
  </si>
  <si>
    <t>1813-07-15</t>
  </si>
  <si>
    <t>1813-07-16</t>
  </si>
  <si>
    <t>1829-05-02</t>
  </si>
  <si>
    <t>1866-01-01</t>
  </si>
  <si>
    <t>1865-11-11</t>
  </si>
  <si>
    <t>1898-01-28</t>
  </si>
  <si>
    <t>1884-12-21</t>
  </si>
  <si>
    <t>1857-12-15</t>
  </si>
  <si>
    <t>1842-06-08</t>
  </si>
  <si>
    <t>1867-05-17</t>
  </si>
  <si>
    <t>1845-01-21</t>
  </si>
  <si>
    <t>1895-06-15</t>
  </si>
  <si>
    <t>1861-04-30</t>
  </si>
  <si>
    <t>1855-05-10</t>
  </si>
  <si>
    <t>1837-04-22</t>
  </si>
  <si>
    <t>1855-05-22</t>
  </si>
  <si>
    <t>1879-12-04</t>
  </si>
  <si>
    <t>1856-04-16</t>
  </si>
  <si>
    <t>1835-09-24</t>
  </si>
  <si>
    <t>1863-10-28</t>
  </si>
  <si>
    <t>1872-11-19</t>
  </si>
  <si>
    <t>1865-12-11</t>
  </si>
  <si>
    <t>1864-05-28</t>
  </si>
  <si>
    <t>1864-06-28</t>
  </si>
  <si>
    <t>1871-09-23</t>
  </si>
  <si>
    <t>1875-05-24</t>
  </si>
  <si>
    <t>1837-06-01</t>
  </si>
  <si>
    <t>1863-03-13</t>
  </si>
  <si>
    <t>1820-04-20</t>
  </si>
  <si>
    <t>1866-04-02</t>
  </si>
  <si>
    <t>1860-05-09</t>
  </si>
  <si>
    <t>1817-10-15</t>
  </si>
  <si>
    <t>1849-01-31</t>
  </si>
  <si>
    <t>1895-06-09</t>
  </si>
  <si>
    <t>1829-03-09</t>
  </si>
  <si>
    <t>1821-11-10</t>
  </si>
  <si>
    <t>1858-02-11</t>
  </si>
  <si>
    <t>1868-12-11</t>
  </si>
  <si>
    <t>1868-06-07</t>
  </si>
  <si>
    <t>1824-01-01</t>
  </si>
  <si>
    <t>1876-02-14</t>
  </si>
  <si>
    <t>1837-09-15</t>
  </si>
  <si>
    <t>1877-03-09</t>
  </si>
  <si>
    <t>1845-10-13</t>
  </si>
  <si>
    <t>1836-06-15</t>
  </si>
  <si>
    <t>1862-10-26</t>
  </si>
  <si>
    <t>1823-10-21</t>
  </si>
  <si>
    <t>1882-03-15</t>
  </si>
  <si>
    <t>1864-06-07</t>
  </si>
  <si>
    <t>1853-05-27</t>
  </si>
  <si>
    <t>1840-10-04</t>
  </si>
  <si>
    <t>1832-10-04</t>
  </si>
  <si>
    <t>1855-09-29</t>
  </si>
  <si>
    <t>1840-11-12</t>
  </si>
  <si>
    <t>1841-01-16</t>
  </si>
  <si>
    <t>1852-01-22</t>
  </si>
  <si>
    <t>1859-07-24</t>
  </si>
  <si>
    <t>1870-04-18</t>
  </si>
  <si>
    <t>1816-02-24</t>
  </si>
  <si>
    <t>1859-09-12</t>
  </si>
  <si>
    <t>1841-10-01</t>
  </si>
  <si>
    <t>1833-02-15</t>
  </si>
  <si>
    <t>1845-11-15</t>
  </si>
  <si>
    <t>1827-08-19</t>
  </si>
  <si>
    <t>1862-07-01</t>
  </si>
  <si>
    <t>1826-10-20</t>
  </si>
  <si>
    <t>1801-07-09</t>
  </si>
  <si>
    <t>1883-07-21</t>
  </si>
  <si>
    <t>1879-01-19</t>
  </si>
  <si>
    <t>1884-06-18</t>
  </si>
  <si>
    <t>1876-06-23</t>
  </si>
  <si>
    <t>1875-02-20</t>
  </si>
  <si>
    <t>1860-09-10</t>
  </si>
  <si>
    <t>1846-10-15</t>
  </si>
  <si>
    <t>1873-03-25</t>
  </si>
  <si>
    <t>1826-09-16</t>
  </si>
  <si>
    <t>1812-03-06</t>
  </si>
  <si>
    <t>1874-03-31</t>
  </si>
  <si>
    <t>1854-11-26</t>
  </si>
  <si>
    <t>1878-07-13</t>
  </si>
  <si>
    <t>1857-09-17</t>
  </si>
  <si>
    <t>1864-12-07</t>
  </si>
  <si>
    <t>1851-09-17</t>
  </si>
  <si>
    <t>1841-09-08</t>
  </si>
  <si>
    <t>1875-06-20</t>
  </si>
  <si>
    <t>1868-06-14</t>
  </si>
  <si>
    <t>1848-06-10</t>
  </si>
  <si>
    <t>1881-08-07</t>
  </si>
  <si>
    <t>1868-05-08</t>
  </si>
  <si>
    <t>1803-09-06</t>
  </si>
  <si>
    <t>1866-07-25</t>
  </si>
  <si>
    <t>1870-12-09</t>
  </si>
  <si>
    <t>1860-01-25</t>
  </si>
  <si>
    <t>1872-08-14</t>
  </si>
  <si>
    <t>1804-03-31</t>
  </si>
  <si>
    <t>1867-11-16</t>
  </si>
  <si>
    <t>1862-01-17</t>
  </si>
  <si>
    <t>1826-05-25</t>
  </si>
  <si>
    <t>1836-08-15</t>
  </si>
  <si>
    <t>1827-08-28</t>
  </si>
  <si>
    <t>1821-01-24</t>
  </si>
  <si>
    <t>1813-03-22</t>
  </si>
  <si>
    <t>1866-09-03</t>
  </si>
  <si>
    <t>1866-11-13</t>
  </si>
  <si>
    <t>1875-08-01</t>
  </si>
  <si>
    <t>1826-05-21</t>
  </si>
  <si>
    <t>1829-05-21</t>
  </si>
  <si>
    <t>1880-09-16</t>
  </si>
  <si>
    <t>1860-08-01</t>
  </si>
  <si>
    <t>1862-05-26</t>
  </si>
  <si>
    <t>1862-05-27</t>
  </si>
  <si>
    <t>1805-05-07</t>
  </si>
  <si>
    <t>1834-07-06</t>
  </si>
  <si>
    <t>1837-10-19</t>
  </si>
  <si>
    <t>1851-10-11</t>
  </si>
  <si>
    <t>1856-05-31</t>
  </si>
  <si>
    <t>1857-04-18</t>
  </si>
  <si>
    <t>1869-10-18</t>
  </si>
  <si>
    <t>1873-11-05</t>
  </si>
  <si>
    <t>1838-06-01</t>
  </si>
  <si>
    <t>1816-08-27</t>
  </si>
  <si>
    <t>1820-04-01</t>
  </si>
  <si>
    <t>1840-06-30</t>
  </si>
  <si>
    <t>1880-02-18</t>
  </si>
  <si>
    <t>1877-10-31</t>
  </si>
  <si>
    <t>1849-01-01</t>
  </si>
  <si>
    <t>1880-02-15</t>
  </si>
  <si>
    <t>1802-04-23</t>
  </si>
  <si>
    <t>1831-02-22</t>
  </si>
  <si>
    <t>1848-11-09</t>
  </si>
  <si>
    <t>1810-03-19</t>
  </si>
  <si>
    <t>1821-06-13</t>
  </si>
  <si>
    <t>1821-09-17</t>
  </si>
  <si>
    <t>1824-04-10</t>
  </si>
  <si>
    <t>1806-09-12</t>
  </si>
  <si>
    <t>1804-01-26</t>
  </si>
  <si>
    <t>1806-01-05</t>
  </si>
  <si>
    <t>1830-03-12</t>
  </si>
  <si>
    <t>1831-06-17</t>
  </si>
  <si>
    <t>1818-02-16</t>
  </si>
  <si>
    <t>1810-12-23</t>
  </si>
  <si>
    <t>1812-09-23</t>
  </si>
  <si>
    <t>1809-07-17</t>
  </si>
  <si>
    <t>1824-09-15</t>
  </si>
  <si>
    <t>1878-11-28</t>
  </si>
  <si>
    <t>1834-07-28</t>
  </si>
  <si>
    <t>1832-01-28</t>
  </si>
  <si>
    <t>1856-03-09</t>
  </si>
  <si>
    <t>1811-04-21</t>
  </si>
  <si>
    <t>1817-10-27</t>
  </si>
  <si>
    <t>1859-05-30</t>
  </si>
  <si>
    <t>1836-01-03</t>
  </si>
  <si>
    <t>1828-11-14</t>
  </si>
  <si>
    <t>1831-01-23</t>
  </si>
  <si>
    <t>1890-11-22</t>
  </si>
  <si>
    <t>1823-12-02</t>
  </si>
  <si>
    <t>1817-11-09</t>
  </si>
  <si>
    <t>1851-06-29</t>
  </si>
  <si>
    <t>1844-08-16</t>
  </si>
  <si>
    <t>1865-05-14</t>
  </si>
  <si>
    <t>1834-07-27</t>
  </si>
  <si>
    <t>1836-11-08</t>
  </si>
  <si>
    <t>1876-04-02</t>
  </si>
  <si>
    <t>1874-02-16</t>
  </si>
  <si>
    <t>1861-10-22</t>
  </si>
  <si>
    <t>1884-12-26</t>
  </si>
  <si>
    <t>1868-05-18</t>
  </si>
  <si>
    <t>1858-05-06</t>
  </si>
  <si>
    <t>1828-03-03</t>
  </si>
  <si>
    <t>1881-01-01</t>
  </si>
  <si>
    <t>1888-03-31</t>
  </si>
  <si>
    <t>1824-04-15</t>
  </si>
  <si>
    <t>1836-01-07</t>
  </si>
  <si>
    <t>1812-02-03</t>
  </si>
  <si>
    <t>1848-06-20</t>
  </si>
  <si>
    <t>1829-01-29</t>
  </si>
  <si>
    <t>1808-02-17</t>
  </si>
  <si>
    <t>1852-08-04</t>
  </si>
  <si>
    <t>1856-04-14</t>
  </si>
  <si>
    <t>1843-07-13</t>
  </si>
  <si>
    <t>1805-08-20</t>
  </si>
  <si>
    <t>1854-04-02</t>
  </si>
  <si>
    <t>1877-08-27</t>
  </si>
  <si>
    <t>1810-09-06</t>
  </si>
  <si>
    <t>1805-09-02</t>
  </si>
  <si>
    <t>1850-07-15</t>
  </si>
  <si>
    <t>1814-02-03</t>
  </si>
  <si>
    <t>1877-02-06</t>
  </si>
  <si>
    <t>1811-05-24</t>
  </si>
  <si>
    <t>1878-01-20</t>
  </si>
  <si>
    <t>1864-05-10</t>
  </si>
  <si>
    <t>1808-12-11</t>
  </si>
  <si>
    <t>1830-07-22</t>
  </si>
  <si>
    <t>1816-07-01</t>
  </si>
  <si>
    <t>1868-11-25</t>
  </si>
  <si>
    <t>1816-01-13</t>
  </si>
  <si>
    <t>1811-03-14</t>
  </si>
  <si>
    <t>1844-03-11</t>
  </si>
  <si>
    <t>1840-02-03</t>
  </si>
  <si>
    <t>1874-10-19</t>
  </si>
  <si>
    <t>1876-11-22</t>
  </si>
  <si>
    <t>1878-06-06</t>
  </si>
  <si>
    <t>1850-02-16</t>
  </si>
  <si>
    <t>1815-04-13</t>
  </si>
  <si>
    <t>1889-10-17</t>
  </si>
  <si>
    <t>1865-02-10</t>
  </si>
  <si>
    <t>1860-02-06</t>
  </si>
  <si>
    <t>1819-07-17</t>
  </si>
  <si>
    <t>1828-03-15</t>
  </si>
  <si>
    <t>1827-10-04</t>
  </si>
  <si>
    <t>1831-11-17</t>
  </si>
  <si>
    <t>1881-05-19</t>
  </si>
  <si>
    <t>1862-01-15</t>
  </si>
  <si>
    <t>1820-05-03</t>
  </si>
  <si>
    <t>1833-06-20</t>
  </si>
  <si>
    <t>1810-03-14</t>
  </si>
  <si>
    <t>1833-09-12</t>
  </si>
  <si>
    <t>1833-04-05</t>
  </si>
  <si>
    <t>1819-10-11</t>
  </si>
  <si>
    <t>1815-09-13</t>
  </si>
  <si>
    <t>1860-11-03</t>
  </si>
  <si>
    <t>1821-09-01</t>
  </si>
  <si>
    <t>1826-07-08</t>
  </si>
  <si>
    <t>1820-01-01</t>
  </si>
  <si>
    <t>1841-05-18</t>
  </si>
  <si>
    <t>1813-05-17</t>
  </si>
  <si>
    <t>1874-05-05</t>
  </si>
  <si>
    <t>1878-04-22</t>
  </si>
  <si>
    <t>1838-06-21</t>
  </si>
  <si>
    <t>1838-06-20</t>
  </si>
  <si>
    <t>1840-10-29</t>
  </si>
  <si>
    <t>1844-08-31</t>
  </si>
  <si>
    <t>1853-10-31</t>
  </si>
  <si>
    <t>1882-02-23</t>
  </si>
  <si>
    <t>1823-10-07</t>
  </si>
  <si>
    <t>1847-02-08</t>
  </si>
  <si>
    <t>1837-08-13</t>
  </si>
  <si>
    <t>1876-05-21</t>
  </si>
  <si>
    <t>1863-09-27</t>
  </si>
  <si>
    <t>1878-07-12</t>
  </si>
  <si>
    <t>1838-12-18</t>
  </si>
  <si>
    <t>1814-12-17</t>
  </si>
  <si>
    <t>1810-05-07</t>
  </si>
  <si>
    <t>1869-05-01</t>
  </si>
  <si>
    <t>1899-12-21</t>
  </si>
  <si>
    <t>1836-08-22</t>
  </si>
  <si>
    <t>1827-02-06</t>
  </si>
  <si>
    <t>1858-08-12</t>
  </si>
  <si>
    <t>1866-12-25</t>
  </si>
  <si>
    <t>1855-01-20</t>
  </si>
  <si>
    <t>1844-01-14</t>
  </si>
  <si>
    <t>1831-09-20</t>
  </si>
  <si>
    <t>1871-01-21</t>
  </si>
  <si>
    <t>1894-10-26</t>
  </si>
  <si>
    <t>1823-06-21</t>
  </si>
  <si>
    <t>1851-03-03</t>
  </si>
  <si>
    <t>1840-06-10</t>
  </si>
  <si>
    <t>1859-07-11</t>
  </si>
  <si>
    <t>1850-12-28</t>
  </si>
  <si>
    <t>1887-11-06</t>
  </si>
  <si>
    <t>1887-08-20</t>
  </si>
  <si>
    <t>1881-08-12</t>
  </si>
  <si>
    <t>1807-11-05</t>
  </si>
  <si>
    <t>1841-03-02</t>
  </si>
  <si>
    <t>1843-08-18</t>
  </si>
  <si>
    <t>1860-03-19</t>
  </si>
  <si>
    <t>1848-12-05</t>
  </si>
  <si>
    <t>1851-05-05</t>
  </si>
  <si>
    <t>1877-05-14</t>
  </si>
  <si>
    <t>1838-01-27</t>
  </si>
  <si>
    <t>1866-05-05</t>
  </si>
  <si>
    <t>1878-11-10</t>
  </si>
  <si>
    <t>1864-04-04</t>
  </si>
  <si>
    <t>1846-03-14</t>
  </si>
  <si>
    <t>1830-01-03</t>
  </si>
  <si>
    <t>1838-01-22</t>
  </si>
  <si>
    <t>1854-05-24</t>
  </si>
  <si>
    <t>1870-04-09</t>
  </si>
  <si>
    <t>1855-10-13</t>
  </si>
  <si>
    <t>1855-02-14</t>
  </si>
  <si>
    <t>1831-11-09</t>
  </si>
  <si>
    <t>1885-05-07</t>
  </si>
  <si>
    <t>1807-07-25</t>
  </si>
  <si>
    <t>1841-01-18</t>
  </si>
  <si>
    <t>1852-03-01</t>
  </si>
  <si>
    <t>1857-01-18</t>
  </si>
  <si>
    <t>1889-10-10</t>
  </si>
  <si>
    <t>1844-04-09</t>
  </si>
  <si>
    <t>1861-10-27</t>
  </si>
  <si>
    <t>1843-03-30</t>
  </si>
  <si>
    <t>1827-06-03</t>
  </si>
  <si>
    <t>1886-04-15</t>
  </si>
  <si>
    <t>1844-05-08</t>
  </si>
  <si>
    <t>1861-12-22</t>
  </si>
  <si>
    <t>1855-11-10</t>
  </si>
  <si>
    <t>1861-10-07</t>
  </si>
  <si>
    <t>1876-05-03</t>
  </si>
  <si>
    <t>1851-12-31</t>
  </si>
  <si>
    <t>1840-03-31</t>
  </si>
  <si>
    <t>1834-03-27</t>
  </si>
  <si>
    <t>1885-07-26</t>
  </si>
  <si>
    <t>1876-02-05</t>
  </si>
  <si>
    <t>1834-09-02</t>
  </si>
  <si>
    <t>1860-01-12</t>
  </si>
  <si>
    <t>1898-09-17</t>
  </si>
  <si>
    <t>1848-03-18</t>
  </si>
  <si>
    <t>1837-11-21</t>
  </si>
  <si>
    <t>1856-08-14</t>
  </si>
  <si>
    <t>1866-01-27</t>
  </si>
  <si>
    <t>1808-02-21</t>
  </si>
  <si>
    <t>1865-03-09</t>
  </si>
  <si>
    <t>1857-09-10</t>
  </si>
  <si>
    <t>1877-01-14</t>
  </si>
  <si>
    <t>1848-02-25</t>
  </si>
  <si>
    <t>1834-09-08</t>
  </si>
  <si>
    <t>1846-12-22</t>
  </si>
  <si>
    <t>1860-07-24</t>
  </si>
  <si>
    <t>1859-05-24</t>
  </si>
  <si>
    <t>1840-11-04</t>
  </si>
  <si>
    <t>1866-09-24</t>
  </si>
  <si>
    <t>1888-04-05</t>
  </si>
  <si>
    <t>1883-12-08</t>
  </si>
  <si>
    <t>1827-10-27</t>
  </si>
  <si>
    <t>1870-03-09</t>
  </si>
  <si>
    <t>1847-10-05</t>
  </si>
  <si>
    <t>1869-05-11</t>
  </si>
  <si>
    <t>1845-06-05</t>
  </si>
  <si>
    <t>1856-06-11</t>
  </si>
  <si>
    <t>1835-10-26</t>
  </si>
  <si>
    <t>1862-04-07</t>
  </si>
  <si>
    <t>1876-10-10</t>
  </si>
  <si>
    <t>1829-10-15</t>
  </si>
  <si>
    <t>1828-03-22</t>
  </si>
  <si>
    <t>1833-11-15</t>
  </si>
  <si>
    <t>1880-11-06</t>
  </si>
  <si>
    <t>1848-05-17</t>
  </si>
  <si>
    <t>1834-02-01</t>
  </si>
  <si>
    <t>1833-08-20</t>
  </si>
  <si>
    <t>1853-11-23</t>
  </si>
  <si>
    <t>1858-05-14</t>
  </si>
  <si>
    <t>1866-01-12</t>
  </si>
  <si>
    <t>1868-10-28</t>
  </si>
  <si>
    <t>1863-05-19</t>
  </si>
  <si>
    <t>1830-04-04</t>
  </si>
  <si>
    <t>1848-06-29</t>
  </si>
  <si>
    <t>1821-08-16</t>
  </si>
  <si>
    <t>1861-10-20</t>
  </si>
  <si>
    <t>1845-05-13</t>
  </si>
  <si>
    <t>1842-12-14</t>
  </si>
  <si>
    <t>1888-03-15</t>
  </si>
  <si>
    <t>1826-03-07</t>
  </si>
  <si>
    <t>1850-08-05</t>
  </si>
  <si>
    <t>1863-01-27</t>
  </si>
  <si>
    <t>1848-10-28</t>
  </si>
  <si>
    <t>1865-02-15</t>
  </si>
  <si>
    <t>1824-09-24</t>
  </si>
  <si>
    <t>1857-07-23</t>
  </si>
  <si>
    <t>1855-01-16</t>
  </si>
  <si>
    <t>1888-07-01</t>
  </si>
  <si>
    <t>1833-01-29</t>
  </si>
  <si>
    <t>1891-02-01</t>
  </si>
  <si>
    <t>1832-10-13</t>
  </si>
  <si>
    <t>1848-05-11</t>
  </si>
  <si>
    <t>1861-01-05</t>
  </si>
  <si>
    <t>1878-12-23</t>
  </si>
  <si>
    <t>1819-11-19</t>
  </si>
  <si>
    <t>1855-02-13</t>
  </si>
  <si>
    <t>1897-12-15</t>
  </si>
  <si>
    <t>1853-01-29</t>
  </si>
  <si>
    <t>1887-03-02</t>
  </si>
  <si>
    <t>1851-08-12</t>
  </si>
  <si>
    <t>1854-10-05</t>
  </si>
  <si>
    <t>1888-08-24</t>
  </si>
  <si>
    <t>1857-09-07</t>
  </si>
  <si>
    <t>1874-01-12</t>
  </si>
  <si>
    <t>1854-09-26</t>
  </si>
  <si>
    <t>1828-03-16</t>
  </si>
  <si>
    <t>1833-01-15</t>
  </si>
  <si>
    <t>1867-11-15</t>
  </si>
  <si>
    <t>1840-05-21</t>
  </si>
  <si>
    <t>1845-09-23</t>
  </si>
  <si>
    <t>1878-12-24</t>
  </si>
  <si>
    <t>1828-05-14</t>
  </si>
  <si>
    <t>1806-11-16</t>
  </si>
  <si>
    <t>1832-10-14</t>
  </si>
  <si>
    <t>1810-01-30</t>
  </si>
  <si>
    <t>1873-07-26</t>
  </si>
  <si>
    <t>1856-01-30</t>
  </si>
  <si>
    <t>1887-09-26</t>
  </si>
  <si>
    <t>1834-04-12</t>
  </si>
  <si>
    <t>1890-01-25</t>
  </si>
  <si>
    <t>1869-02-15</t>
  </si>
  <si>
    <t>1845-02-02</t>
  </si>
  <si>
    <t>1828-03-17</t>
  </si>
  <si>
    <t>1855-01-11</t>
  </si>
  <si>
    <t>1834-06-30</t>
  </si>
  <si>
    <t>1842-10-04</t>
  </si>
  <si>
    <t>1819-04-18</t>
  </si>
  <si>
    <t>1889-06-10</t>
  </si>
  <si>
    <t>1896-04-03</t>
  </si>
  <si>
    <t>1818-01-11</t>
  </si>
  <si>
    <t>1896-05-15</t>
  </si>
  <si>
    <t>1819-11-23</t>
  </si>
  <si>
    <t>1831-04-06</t>
  </si>
  <si>
    <t>1845-04-12</t>
  </si>
  <si>
    <t>1845-08-12</t>
  </si>
  <si>
    <t>1837-11-03</t>
  </si>
  <si>
    <t>1836-10-03</t>
  </si>
  <si>
    <t>1841-03-14</t>
  </si>
  <si>
    <t>1854-03-08</t>
  </si>
  <si>
    <t>1863-05-21</t>
  </si>
  <si>
    <t>1875-10-30</t>
  </si>
  <si>
    <t>1879-12-07</t>
  </si>
  <si>
    <t>1865-03-31</t>
  </si>
  <si>
    <t>1872-10-13</t>
  </si>
  <si>
    <t>1825-10-05</t>
  </si>
  <si>
    <t>1839-04-04</t>
  </si>
  <si>
    <t>1807-04-12</t>
  </si>
  <si>
    <t>1862-04-15</t>
  </si>
  <si>
    <t>1893-08-31</t>
  </si>
  <si>
    <t>1826-11-13</t>
  </si>
  <si>
    <t>1842-01-14</t>
  </si>
  <si>
    <t>1809-02-10</t>
  </si>
  <si>
    <t>1876-01-13</t>
  </si>
  <si>
    <t>1834-05-18</t>
  </si>
  <si>
    <t>1841-12-24</t>
  </si>
  <si>
    <t>1856-03-10</t>
  </si>
  <si>
    <t>1867-07-04</t>
  </si>
  <si>
    <t>1875-09-14</t>
  </si>
  <si>
    <t>1853-03-30</t>
  </si>
  <si>
    <t>1862-02-14</t>
  </si>
  <si>
    <t>1890-02-24</t>
  </si>
  <si>
    <t>1869-01-03</t>
  </si>
  <si>
    <t>1882-07-18</t>
  </si>
  <si>
    <t>1852-12-22</t>
  </si>
  <si>
    <t>1888-12-18</t>
  </si>
  <si>
    <t>1875-06-13</t>
  </si>
  <si>
    <t>1831-01-10</t>
  </si>
  <si>
    <t>1827-10-15</t>
  </si>
  <si>
    <t>1879-06-12</t>
  </si>
  <si>
    <t>1852-04-12</t>
  </si>
  <si>
    <t>1855-06-02</t>
  </si>
  <si>
    <t>1898-09-26</t>
  </si>
  <si>
    <t>1867-05-05</t>
  </si>
  <si>
    <t>1881-04-20</t>
  </si>
  <si>
    <t>1862-02-17</t>
  </si>
  <si>
    <t>1888-08-01</t>
  </si>
  <si>
    <t>1884-03-24</t>
  </si>
  <si>
    <t>1857-03-22</t>
  </si>
  <si>
    <t>1863-08-01</t>
  </si>
  <si>
    <t>1872-05-01</t>
  </si>
  <si>
    <t>1871-06-16</t>
  </si>
  <si>
    <t>1835-08-06</t>
  </si>
  <si>
    <t>1861-03-15</t>
  </si>
  <si>
    <t>1829-04-22</t>
  </si>
  <si>
    <t>1849-05-05</t>
  </si>
  <si>
    <t>1851-08-19</t>
  </si>
  <si>
    <t>1857-12-14</t>
  </si>
  <si>
    <t>1855-09-11</t>
  </si>
  <si>
    <t>1863-09-01</t>
  </si>
  <si>
    <t>1856-10-21</t>
  </si>
  <si>
    <t>1817-04-04</t>
  </si>
  <si>
    <t>1833-07-16</t>
  </si>
  <si>
    <t>1876-02-10</t>
  </si>
  <si>
    <t>1844-01-25</t>
  </si>
  <si>
    <t>1844-05-03</t>
  </si>
  <si>
    <t>1829-12-07</t>
  </si>
  <si>
    <t>1829-07-01</t>
  </si>
  <si>
    <t>1833-06-14</t>
  </si>
  <si>
    <t>1822-05-19</t>
  </si>
  <si>
    <t>1881-10-16</t>
  </si>
  <si>
    <t>1850-10-14</t>
  </si>
  <si>
    <t>1864-01-21</t>
  </si>
  <si>
    <t>1852-11-26</t>
  </si>
  <si>
    <t>1878-09-17</t>
  </si>
  <si>
    <t>1879-09-17</t>
  </si>
  <si>
    <t>1814-03-28</t>
  </si>
  <si>
    <t>1837-12-04</t>
  </si>
  <si>
    <t>1839-08-21</t>
  </si>
  <si>
    <t>1842-01-23</t>
  </si>
  <si>
    <t>1849-10-16</t>
  </si>
  <si>
    <t>1853-12-28</t>
  </si>
  <si>
    <t>1859-06-10</t>
  </si>
  <si>
    <t>1867-02-22</t>
  </si>
  <si>
    <t>1894-09-11</t>
  </si>
  <si>
    <t>1874-03-07</t>
  </si>
  <si>
    <t>1842-04-06</t>
  </si>
  <si>
    <t>1844-04-06</t>
  </si>
  <si>
    <t>1808-08-15</t>
  </si>
  <si>
    <t>1837-04-07</t>
  </si>
  <si>
    <t>1873-05-17</t>
  </si>
  <si>
    <t>1873-12-30</t>
  </si>
  <si>
    <t>1821-11-26</t>
  </si>
  <si>
    <t>1859-10-13</t>
  </si>
  <si>
    <t>1877-09-04</t>
  </si>
  <si>
    <t>1814-01-20</t>
  </si>
  <si>
    <t>1838-10-19</t>
  </si>
  <si>
    <t>1832-10-21</t>
  </si>
  <si>
    <t>1845-05-20</t>
  </si>
  <si>
    <t>1880-08-01</t>
  </si>
  <si>
    <t>1851-08-21</t>
  </si>
  <si>
    <t>1843-06-08</t>
  </si>
  <si>
    <t>1824-04-08</t>
  </si>
  <si>
    <t>1848-07-30</t>
  </si>
  <si>
    <t>1848-07-31</t>
  </si>
  <si>
    <t>1812-11-09</t>
  </si>
  <si>
    <t>1896-10-02</t>
  </si>
  <si>
    <t>1833-10-14</t>
  </si>
  <si>
    <t>1881-10-04</t>
  </si>
  <si>
    <t>1842-08-19</t>
  </si>
  <si>
    <t>1820-05-21</t>
  </si>
  <si>
    <t>1851-10-24</t>
  </si>
  <si>
    <t>1846-08-17</t>
  </si>
  <si>
    <t>1851-11-27</t>
  </si>
  <si>
    <t>1815-06-24</t>
  </si>
  <si>
    <t>1853-02-24</t>
  </si>
  <si>
    <t>1824-04-03</t>
  </si>
  <si>
    <t>1844-03-30</t>
  </si>
  <si>
    <t>1846-02-23</t>
  </si>
  <si>
    <t>1850-01-02</t>
  </si>
  <si>
    <t>1808-08-30</t>
  </si>
  <si>
    <t>1843-07-10</t>
  </si>
  <si>
    <t>1822-04-28</t>
  </si>
  <si>
    <t>1809-03-28</t>
  </si>
  <si>
    <t>1864-01-13</t>
  </si>
  <si>
    <t>1877-09-17</t>
  </si>
  <si>
    <t>1852-09-20</t>
  </si>
  <si>
    <t>1852-12-29</t>
  </si>
  <si>
    <t>1834-10-18</t>
  </si>
  <si>
    <t>1857-07-26</t>
  </si>
  <si>
    <t>1877-06-22</t>
  </si>
  <si>
    <t>1852-08-07</t>
  </si>
  <si>
    <t>1857-10-01</t>
  </si>
  <si>
    <t>1873-11-18</t>
  </si>
  <si>
    <t>1841-09-10</t>
  </si>
  <si>
    <t>1879-01-24</t>
  </si>
  <si>
    <t>1820-09-20</t>
  </si>
  <si>
    <t>1865-04-16</t>
  </si>
  <si>
    <t>1867-08-31</t>
  </si>
  <si>
    <t>1867-12-23</t>
  </si>
  <si>
    <t>1853-08-28</t>
  </si>
  <si>
    <t>1892-06-24</t>
  </si>
  <si>
    <t>1855-10-11</t>
  </si>
  <si>
    <t>1864-02-04</t>
  </si>
  <si>
    <t>1874-03-04</t>
  </si>
  <si>
    <t>1823-04-20</t>
  </si>
  <si>
    <t>1811-03-21</t>
  </si>
  <si>
    <t>1848-02-28</t>
  </si>
  <si>
    <t>1872-01-13</t>
  </si>
  <si>
    <t>1862-01-26</t>
  </si>
  <si>
    <t>1814-02-17</t>
  </si>
  <si>
    <t>1848-02-14</t>
  </si>
  <si>
    <t>1859-04-08</t>
  </si>
  <si>
    <t>1825-07-01</t>
  </si>
  <si>
    <t>1811-01-10</t>
  </si>
  <si>
    <t>1864-10-16</t>
  </si>
  <si>
    <t>1871-01-20</t>
  </si>
  <si>
    <t>1891-08-16</t>
  </si>
  <si>
    <t>1851-11-05</t>
  </si>
  <si>
    <t>1816-10-15</t>
  </si>
  <si>
    <t>1847-01-05</t>
  </si>
  <si>
    <t>1844-10-01</t>
  </si>
  <si>
    <t>1846-07-08</t>
  </si>
  <si>
    <t>1848-10-15</t>
  </si>
  <si>
    <t>1878-06-28</t>
  </si>
  <si>
    <t>1863-09-09</t>
  </si>
  <si>
    <t>1859-02-12</t>
  </si>
  <si>
    <t>1846-01-07</t>
  </si>
  <si>
    <t>1860-08-29</t>
  </si>
  <si>
    <t>1876-08-12</t>
  </si>
  <si>
    <t>1886-04-12</t>
  </si>
  <si>
    <t>1847-02-14</t>
  </si>
  <si>
    <t>1849-12-11</t>
  </si>
  <si>
    <t>1838-04-13</t>
  </si>
  <si>
    <t>1843-12-22</t>
  </si>
  <si>
    <t>1849-05-08</t>
  </si>
  <si>
    <t>1865-01-08</t>
  </si>
  <si>
    <t>1874-03-23</t>
  </si>
  <si>
    <t>1874-05-25</t>
  </si>
  <si>
    <t>1868-10-18</t>
  </si>
  <si>
    <t>1878-10-15</t>
  </si>
  <si>
    <t>1867-09-15</t>
  </si>
  <si>
    <t>1840-10-05</t>
  </si>
  <si>
    <t>1881-04-11</t>
  </si>
  <si>
    <t>1836-09-21</t>
  </si>
  <si>
    <t>1820-09-05</t>
  </si>
  <si>
    <t>1860-01-06</t>
  </si>
  <si>
    <t>1858-10-10</t>
  </si>
  <si>
    <t>1847-08-02</t>
  </si>
  <si>
    <t>1883-06-15</t>
  </si>
  <si>
    <t>1837-03-15</t>
  </si>
  <si>
    <t>1875-07-13</t>
  </si>
  <si>
    <t>1848-02-10</t>
  </si>
  <si>
    <t>1863-08-06</t>
  </si>
  <si>
    <t>1818-01-13</t>
  </si>
  <si>
    <t>1841-01-20</t>
  </si>
  <si>
    <t>1875-05-30</t>
  </si>
  <si>
    <t>1855-03-05</t>
  </si>
  <si>
    <t>1827-05-21</t>
  </si>
  <si>
    <t>1833-08-21</t>
  </si>
  <si>
    <t>1817-08-10</t>
  </si>
  <si>
    <t>1855-09-18</t>
  </si>
  <si>
    <t>1894-03-07</t>
  </si>
  <si>
    <t>1864-08-12</t>
  </si>
  <si>
    <t>1875-01-23</t>
  </si>
  <si>
    <t>1850-09-17</t>
  </si>
  <si>
    <t>1846-09-02</t>
  </si>
  <si>
    <t>1867-09-02</t>
  </si>
  <si>
    <t>1875-03-06</t>
  </si>
  <si>
    <t>1857-11-25</t>
  </si>
  <si>
    <t>1894-07-15</t>
  </si>
  <si>
    <t>1879-12-16</t>
  </si>
  <si>
    <t>1843-12-04</t>
  </si>
  <si>
    <t>1877-08-11</t>
  </si>
  <si>
    <t>1886-03-29</t>
  </si>
  <si>
    <t>1891-01-04</t>
  </si>
  <si>
    <t>1867-04-15</t>
  </si>
  <si>
    <t>1854-05-30</t>
  </si>
  <si>
    <t>1877-08-23</t>
  </si>
  <si>
    <t>1884-04-07</t>
  </si>
  <si>
    <t>1852-06-22</t>
  </si>
  <si>
    <t>1847-08-13</t>
  </si>
  <si>
    <t>1879-05-10</t>
  </si>
  <si>
    <t>1833-05-15</t>
  </si>
  <si>
    <t>1816-03-23</t>
  </si>
  <si>
    <t>1872-11-02</t>
  </si>
  <si>
    <t>1823-07-25</t>
  </si>
  <si>
    <t>1877-07-31</t>
  </si>
  <si>
    <t>1886-05-20</t>
  </si>
  <si>
    <t>1881-12-28</t>
  </si>
  <si>
    <t>1858-03-15</t>
  </si>
  <si>
    <t>1812-06-16</t>
  </si>
  <si>
    <t>1810-09-04</t>
  </si>
  <si>
    <t>1813-03-30</t>
  </si>
  <si>
    <t>1865-03-06</t>
  </si>
  <si>
    <t>1853-02-22</t>
  </si>
  <si>
    <t>1844-12-15</t>
  </si>
  <si>
    <t>1842-05-20</t>
  </si>
  <si>
    <t>1864-01-16</t>
  </si>
  <si>
    <t>1813-03-11</t>
  </si>
  <si>
    <t>1834-09-29</t>
  </si>
  <si>
    <t>1884-05-06</t>
  </si>
  <si>
    <t>1855-12-04</t>
  </si>
  <si>
    <t>1879-06-03</t>
  </si>
  <si>
    <t>1845-01-05</t>
  </si>
  <si>
    <t>1816-01-03</t>
  </si>
  <si>
    <t>1862-06-07</t>
  </si>
  <si>
    <t>1886-10-04</t>
  </si>
  <si>
    <t>1874-08-04</t>
  </si>
  <si>
    <t>1834-05-27</t>
  </si>
  <si>
    <t>1842-12-10</t>
  </si>
  <si>
    <t>1851-11-29</t>
  </si>
  <si>
    <t>1871-01-11</t>
  </si>
  <si>
    <t>1879-02-12</t>
  </si>
  <si>
    <t>1876-06-06</t>
  </si>
  <si>
    <t>1846-04-26</t>
  </si>
  <si>
    <t>1861-07-25</t>
  </si>
  <si>
    <t>1831-01-01</t>
  </si>
  <si>
    <t>1858-11-10</t>
  </si>
  <si>
    <t>1818-06-03</t>
  </si>
  <si>
    <t>1851-10-26</t>
  </si>
  <si>
    <t>1824-03-01</t>
  </si>
  <si>
    <t>1847-07-28</t>
  </si>
  <si>
    <t>1876-12-31</t>
  </si>
  <si>
    <t>1884-11-07</t>
  </si>
  <si>
    <t>1841-11-06</t>
  </si>
  <si>
    <t>1875-09-30</t>
  </si>
  <si>
    <t>1827-01-19</t>
  </si>
  <si>
    <t>1830-03-19</t>
  </si>
  <si>
    <t>1897-05-12</t>
  </si>
  <si>
    <t>1858-10-12</t>
  </si>
  <si>
    <t>1825-02-16</t>
  </si>
  <si>
    <t>1832-09-01</t>
  </si>
  <si>
    <t>1841-12-19</t>
  </si>
  <si>
    <t>1850-01-25</t>
  </si>
  <si>
    <t>1876-03-27</t>
  </si>
  <si>
    <t>1848-07-04</t>
  </si>
  <si>
    <t>1816-05-05</t>
  </si>
  <si>
    <t>1894-03-04</t>
  </si>
  <si>
    <t>1835-05-11</t>
  </si>
  <si>
    <t>1869-12-27</t>
  </si>
  <si>
    <t>1850-01-19</t>
  </si>
  <si>
    <t>1816-08-26</t>
  </si>
  <si>
    <t>1838-10-20</t>
  </si>
  <si>
    <t>1841-01-30</t>
  </si>
  <si>
    <t>1841-01-31</t>
  </si>
  <si>
    <t>1850-01-07</t>
  </si>
  <si>
    <t>1850-08-20</t>
  </si>
  <si>
    <t>1853-03-16</t>
  </si>
  <si>
    <t>1864-07-28</t>
  </si>
  <si>
    <t>1873-02-16</t>
  </si>
  <si>
    <t>1875-08-08</t>
  </si>
  <si>
    <t>1878-02-03</t>
  </si>
  <si>
    <t>1880-04-26</t>
  </si>
  <si>
    <t>1882-05-22</t>
  </si>
  <si>
    <t>1890-07-21</t>
  </si>
  <si>
    <t>1891-10-11</t>
  </si>
  <si>
    <t>1840-01-03</t>
  </si>
  <si>
    <t>1829-12-17</t>
  </si>
  <si>
    <t>1827-03-09</t>
  </si>
  <si>
    <t>1869-02-27</t>
  </si>
  <si>
    <t>1816-04-02</t>
  </si>
  <si>
    <t>1828-11-16</t>
  </si>
  <si>
    <t>1815-02-16</t>
  </si>
  <si>
    <t>1867-03-07</t>
  </si>
  <si>
    <t>1867-03-08</t>
  </si>
  <si>
    <t>1870-03-13</t>
  </si>
  <si>
    <t>1855-12-08</t>
  </si>
  <si>
    <t>1897-11-14</t>
  </si>
  <si>
    <t>1869-02-17</t>
  </si>
  <si>
    <t>1890-01-27</t>
  </si>
  <si>
    <t>1844-09-14</t>
  </si>
  <si>
    <t>1851-09-12</t>
  </si>
  <si>
    <t>1868-08-17</t>
  </si>
  <si>
    <t>1830-12-13</t>
  </si>
  <si>
    <t>1804-05-29</t>
  </si>
  <si>
    <t>1889-05-15</t>
  </si>
  <si>
    <t>1844-05-10</t>
  </si>
  <si>
    <t>1864-08-15</t>
  </si>
  <si>
    <t>1892-01-10</t>
  </si>
  <si>
    <t>1886-12-28</t>
  </si>
  <si>
    <t>1827-04-27</t>
  </si>
  <si>
    <t>1859-12-25</t>
  </si>
  <si>
    <t>1851-09-02</t>
  </si>
  <si>
    <t>1869-07-13</t>
  </si>
  <si>
    <t>1842-06-14</t>
  </si>
  <si>
    <t>1838-03-17</t>
  </si>
  <si>
    <t>1830-09-19</t>
  </si>
  <si>
    <t>1842-09-15</t>
  </si>
  <si>
    <t>1876-04-08</t>
  </si>
  <si>
    <t>1820-05-04</t>
  </si>
  <si>
    <t>1853-12-13</t>
  </si>
  <si>
    <t>1821-01-07</t>
  </si>
  <si>
    <t>1832-04-05</t>
  </si>
  <si>
    <t>1833-02-27</t>
  </si>
  <si>
    <t>1834-05-23</t>
  </si>
  <si>
    <t>1881-05-26</t>
  </si>
  <si>
    <t>1886-10-26</t>
  </si>
  <si>
    <t>1873-12-08</t>
  </si>
  <si>
    <t>1851-05-13</t>
  </si>
  <si>
    <t>1844-02-11</t>
  </si>
  <si>
    <t>1868-08-28</t>
  </si>
  <si>
    <t>1883-01-12</t>
  </si>
  <si>
    <t>1867-08-07</t>
  </si>
  <si>
    <t>1881-10-25</t>
  </si>
  <si>
    <t>1827-11-14</t>
  </si>
  <si>
    <t>1879-11-07</t>
  </si>
  <si>
    <t>1817-03-26</t>
  </si>
  <si>
    <t>1866-12-16</t>
  </si>
  <si>
    <t>1824-04-11</t>
  </si>
  <si>
    <t>1889-07-08</t>
  </si>
  <si>
    <t>1874-05-23</t>
  </si>
  <si>
    <t>1881-02-20</t>
  </si>
  <si>
    <t>1841-04-08</t>
  </si>
  <si>
    <t>1854-09-23</t>
  </si>
  <si>
    <t>1845-04-30</t>
  </si>
  <si>
    <t>1869-10-31</t>
  </si>
  <si>
    <t>1867-02-17</t>
  </si>
  <si>
    <t>1851-03-25</t>
  </si>
  <si>
    <t>1853-04-01</t>
  </si>
  <si>
    <t>1868-06-19</t>
  </si>
  <si>
    <t>1889-04-12</t>
  </si>
  <si>
    <t>1857-04-25</t>
  </si>
  <si>
    <t>1865-01-30</t>
  </si>
  <si>
    <t>1861-04-27</t>
  </si>
  <si>
    <t>1874-12-20</t>
  </si>
  <si>
    <t>1861-04-21</t>
  </si>
  <si>
    <t>1861-04-24</t>
  </si>
  <si>
    <t>1819-02-19</t>
  </si>
  <si>
    <t>1839-11-30</t>
  </si>
  <si>
    <t>1879-08-06</t>
  </si>
  <si>
    <t>1821-03-26</t>
  </si>
  <si>
    <t>1849-02-04</t>
  </si>
  <si>
    <t>1841-04-26</t>
  </si>
  <si>
    <t>1841-04-27</t>
  </si>
  <si>
    <t>1838-03-18</t>
  </si>
  <si>
    <t>1846-06-29</t>
  </si>
  <si>
    <t>1894-03-26</t>
  </si>
  <si>
    <t>1880-02-16</t>
  </si>
  <si>
    <t>1858-11-21</t>
  </si>
  <si>
    <t>1887-05-11</t>
  </si>
  <si>
    <t>1838-04-06</t>
  </si>
  <si>
    <t>1813-11-20</t>
  </si>
  <si>
    <t>1827-08-03</t>
  </si>
  <si>
    <t>1852-09-13</t>
  </si>
  <si>
    <t>1821-04-01</t>
  </si>
  <si>
    <t>1888-03-10</t>
  </si>
  <si>
    <t>1848-11-17</t>
  </si>
  <si>
    <t>1889-03-06</t>
  </si>
  <si>
    <t>1838-09-17</t>
  </si>
  <si>
    <t>1829-02-13</t>
  </si>
  <si>
    <t>1853-09-01</t>
  </si>
  <si>
    <t>1825-04-16</t>
  </si>
  <si>
    <t>1836-08-18</t>
  </si>
  <si>
    <t>1858-03-31</t>
  </si>
  <si>
    <t>1812-05-21</t>
  </si>
  <si>
    <t>1826-03-01</t>
  </si>
  <si>
    <t>1862-02-05</t>
  </si>
  <si>
    <t>1858-09-18</t>
  </si>
  <si>
    <t>1843-04-09</t>
  </si>
  <si>
    <t>1871-01-04</t>
  </si>
  <si>
    <t>1882-06-04</t>
  </si>
  <si>
    <t>1870-10-08</t>
  </si>
  <si>
    <t>1861-08-10</t>
  </si>
  <si>
    <t>1890-09-19</t>
  </si>
  <si>
    <t>1858-08-29</t>
  </si>
  <si>
    <t>1886-09-16</t>
  </si>
  <si>
    <t>1825-11-10</t>
  </si>
  <si>
    <t>1841-01-13</t>
  </si>
  <si>
    <t>1838-09-01</t>
  </si>
  <si>
    <t>1862-08-05</t>
  </si>
  <si>
    <t>1806-10-10</t>
  </si>
  <si>
    <t>1809-01-10</t>
  </si>
  <si>
    <t>1869-01-14</t>
  </si>
  <si>
    <t>1821-07-29</t>
  </si>
  <si>
    <t>1826-02-19</t>
  </si>
  <si>
    <t>1830-09-01</t>
  </si>
  <si>
    <t>1866-08-14</t>
  </si>
  <si>
    <t>1857-05-31</t>
  </si>
  <si>
    <t>1842-09-25</t>
  </si>
  <si>
    <t>1834-03-10</t>
  </si>
  <si>
    <t>1879-02-09</t>
  </si>
  <si>
    <t>1830-07-24</t>
  </si>
  <si>
    <t>1866-03-08</t>
  </si>
  <si>
    <t>1872-06-29</t>
  </si>
  <si>
    <t>1841-01-10</t>
  </si>
  <si>
    <t>1872-07-12</t>
  </si>
  <si>
    <t>1886-06-05</t>
  </si>
  <si>
    <t>1825-02-02</t>
  </si>
  <si>
    <t>1876-12-08</t>
  </si>
  <si>
    <t>1874-03-16</t>
  </si>
  <si>
    <t>1869-12-19</t>
  </si>
  <si>
    <t>1845-01-15</t>
  </si>
  <si>
    <t>1847-07-03</t>
  </si>
  <si>
    <t>1870-09-03</t>
  </si>
  <si>
    <t>1821-12-29</t>
  </si>
  <si>
    <t>1887-06-13</t>
  </si>
  <si>
    <t>1833-12-27</t>
  </si>
  <si>
    <t>1842-07-01</t>
  </si>
  <si>
    <t>1874-12-14</t>
  </si>
  <si>
    <t>1871-04-08</t>
  </si>
  <si>
    <t>1813-02-01</t>
  </si>
  <si>
    <t>1827-06-01</t>
  </si>
  <si>
    <t>1846-11-26</t>
  </si>
  <si>
    <t>1823-02-23</t>
  </si>
  <si>
    <t>1823-01-05</t>
  </si>
  <si>
    <t>1888-02-26</t>
  </si>
  <si>
    <t>1837-04-02</t>
  </si>
  <si>
    <t>1857-05-13</t>
  </si>
  <si>
    <t>1872-03-31</t>
  </si>
  <si>
    <t>1880-03-20</t>
  </si>
  <si>
    <t>1827-07-03</t>
  </si>
  <si>
    <t>1823-06-16</t>
  </si>
  <si>
    <t>1838-09-14</t>
  </si>
  <si>
    <t>1884-03-13</t>
  </si>
  <si>
    <t>1889-03-05</t>
  </si>
  <si>
    <t>1893-10-02</t>
  </si>
  <si>
    <t>1883-08-05</t>
  </si>
  <si>
    <t>1851-03-20</t>
  </si>
  <si>
    <t>1865-11-04</t>
  </si>
  <si>
    <t>1839-04-14</t>
  </si>
  <si>
    <t>1825-03-07</t>
  </si>
  <si>
    <t>1877-09-27</t>
  </si>
  <si>
    <t>1852-06-07</t>
  </si>
  <si>
    <t>1885-12-03</t>
  </si>
  <si>
    <t>1821-08-18</t>
  </si>
  <si>
    <t>1871-07-16</t>
  </si>
  <si>
    <t>1845-06-22</t>
  </si>
  <si>
    <t>1885-11-30</t>
  </si>
  <si>
    <t>1861-12-16</t>
  </si>
  <si>
    <t>1867-06-07</t>
  </si>
  <si>
    <t>1848-09-14</t>
  </si>
  <si>
    <t>1856-08-07</t>
  </si>
  <si>
    <t>1856-08-08</t>
  </si>
  <si>
    <t>1889-01-21</t>
  </si>
  <si>
    <t>1847-10-08</t>
  </si>
  <si>
    <t>1875-03-22</t>
  </si>
  <si>
    <t>1860-03-10</t>
  </si>
  <si>
    <t>1861-10-17</t>
  </si>
  <si>
    <t>1807-08-09</t>
  </si>
  <si>
    <t>1849-11-01</t>
  </si>
  <si>
    <t>1836-06-19</t>
  </si>
  <si>
    <t>1839-06-21</t>
  </si>
  <si>
    <t>1843-11-19</t>
  </si>
  <si>
    <t>1847-04-10</t>
  </si>
  <si>
    <t>1824-07-02</t>
  </si>
  <si>
    <t>1874-11-12</t>
  </si>
  <si>
    <t>1875-11-26</t>
  </si>
  <si>
    <t>1847-03-22</t>
  </si>
  <si>
    <t>1853-11-16</t>
  </si>
  <si>
    <t>1860-10-12</t>
  </si>
  <si>
    <t>1838-10-15</t>
  </si>
  <si>
    <t>1815-01-20</t>
  </si>
  <si>
    <t>1845-01-03</t>
  </si>
  <si>
    <t>1853-07-10</t>
  </si>
  <si>
    <t>1879-06-01</t>
  </si>
  <si>
    <t>1839-02-15</t>
  </si>
  <si>
    <t>1832-02-23</t>
  </si>
  <si>
    <t>1841-01-09</t>
  </si>
  <si>
    <t>1853-07-15</t>
  </si>
  <si>
    <t>1850-07-20</t>
  </si>
  <si>
    <t>1837-10-30</t>
  </si>
  <si>
    <t>1879-10-21</t>
  </si>
  <si>
    <t>1838-04-02</t>
  </si>
  <si>
    <t>1820-03-19</t>
  </si>
  <si>
    <t>1831-05-17</t>
  </si>
  <si>
    <t>1868-03-12</t>
  </si>
  <si>
    <t>1819-08-12</t>
  </si>
  <si>
    <t>1815-02-26</t>
  </si>
  <si>
    <t>1872-12-31</t>
  </si>
  <si>
    <t>1872-01-01</t>
  </si>
  <si>
    <t>1882-11-21</t>
  </si>
  <si>
    <t>1879-09-25</t>
  </si>
  <si>
    <t>1829-01-21</t>
  </si>
  <si>
    <t>1819-12-24</t>
  </si>
  <si>
    <t>1822-04-27</t>
  </si>
  <si>
    <t>1836-02-24</t>
  </si>
  <si>
    <t>1870-03-24</t>
  </si>
  <si>
    <t>1838-01-30</t>
  </si>
  <si>
    <t>1852-12-05</t>
  </si>
  <si>
    <t>1839-01-25</t>
  </si>
  <si>
    <t>1884-07-19</t>
  </si>
  <si>
    <t>1820-02-28</t>
  </si>
  <si>
    <t>1842-11-22</t>
  </si>
  <si>
    <t>1879-06-21</t>
  </si>
  <si>
    <t>1853-07-05</t>
  </si>
  <si>
    <t>1868-02-18</t>
  </si>
  <si>
    <t>1865-04-11</t>
  </si>
  <si>
    <t>1834-09-11</t>
  </si>
  <si>
    <t>1834-09-21</t>
  </si>
  <si>
    <t>1839-07-11</t>
  </si>
  <si>
    <t>1830-01-01</t>
  </si>
  <si>
    <t>1811-08-30</t>
  </si>
  <si>
    <t>1828-07-13</t>
  </si>
  <si>
    <t>1873-07-21</t>
  </si>
  <si>
    <t>1852-12-12</t>
  </si>
  <si>
    <t>1825-02-07</t>
  </si>
  <si>
    <t>1858-06-23</t>
  </si>
  <si>
    <t>1817-05-24</t>
  </si>
  <si>
    <t>1832-05-03</t>
  </si>
  <si>
    <t>1829-11-10</t>
  </si>
  <si>
    <t>1792-12-08</t>
  </si>
  <si>
    <t>1880-11-09</t>
  </si>
  <si>
    <t>1841-07-29</t>
  </si>
  <si>
    <t>1857-12-07</t>
  </si>
  <si>
    <t>1880-03-29</t>
  </si>
  <si>
    <t>1850-09-28</t>
  </si>
  <si>
    <t>1835-07-25</t>
  </si>
  <si>
    <t>1850-09-20</t>
  </si>
  <si>
    <t>1848-07-08</t>
  </si>
  <si>
    <t>1851-04-25</t>
  </si>
  <si>
    <t>1870-01-25</t>
  </si>
  <si>
    <t>1881-12-30</t>
  </si>
  <si>
    <t>1862-01-05</t>
  </si>
  <si>
    <t>1892-01-07</t>
  </si>
  <si>
    <t>1852-11-29</t>
  </si>
  <si>
    <t>1820-10-08</t>
  </si>
  <si>
    <t>1856-07-24</t>
  </si>
  <si>
    <t>1858-12-16</t>
  </si>
  <si>
    <t>1832-02-28</t>
  </si>
  <si>
    <t>1848-06-26</t>
  </si>
  <si>
    <t>1855-11-30</t>
  </si>
  <si>
    <t>1861-03-18</t>
  </si>
  <si>
    <t>1874-10-13</t>
  </si>
  <si>
    <t>1834-02-02</t>
  </si>
  <si>
    <t>1856-08-13</t>
  </si>
  <si>
    <t>1815-04-11</t>
  </si>
  <si>
    <t>1862-02-09</t>
  </si>
  <si>
    <t>1883-04-14</t>
  </si>
  <si>
    <t>1885-08-12</t>
  </si>
  <si>
    <t>1845-10-25</t>
  </si>
  <si>
    <t>1840-07-22</t>
  </si>
  <si>
    <t>1850-04-20</t>
  </si>
  <si>
    <t>1852-02-10</t>
  </si>
  <si>
    <t>1880-11-02</t>
  </si>
  <si>
    <t>1854-06-12</t>
  </si>
  <si>
    <t>1813-10-27</t>
  </si>
  <si>
    <t>1848-12-29</t>
  </si>
  <si>
    <t>1848-12-30</t>
  </si>
  <si>
    <t>1856-10-18</t>
  </si>
  <si>
    <t>1876-09-27</t>
  </si>
  <si>
    <t>1887-04-30</t>
  </si>
  <si>
    <t>1868-08-12</t>
  </si>
  <si>
    <t>1830-10-03</t>
  </si>
  <si>
    <t>1893-07-09</t>
  </si>
  <si>
    <t>1861-04-26</t>
  </si>
  <si>
    <t>1835-04-17</t>
  </si>
  <si>
    <t>1881-03-19</t>
  </si>
  <si>
    <t>1851-07-29</t>
  </si>
  <si>
    <t>1872-11-07</t>
  </si>
  <si>
    <t>1824-02-19</t>
  </si>
  <si>
    <t>1839-06-16</t>
  </si>
  <si>
    <t>1858-11-20</t>
  </si>
  <si>
    <t>1851-02-28</t>
  </si>
  <si>
    <t>1857-12-06</t>
  </si>
  <si>
    <t>1857-02-15</t>
  </si>
  <si>
    <t>1863-08-27</t>
  </si>
  <si>
    <t>1870-01-06</t>
  </si>
  <si>
    <t>1846-09-14</t>
  </si>
  <si>
    <t>1896-03-18</t>
  </si>
  <si>
    <t>1871-09-28</t>
  </si>
  <si>
    <t>1846-08-08</t>
  </si>
  <si>
    <t>1844-12-26</t>
  </si>
  <si>
    <t>1890-11-29</t>
  </si>
  <si>
    <t>1867-12-09</t>
  </si>
  <si>
    <t>1834-01-13</t>
  </si>
  <si>
    <t>1819-05-29</t>
  </si>
  <si>
    <t>1878-03-31</t>
  </si>
  <si>
    <t>1845-08-05</t>
  </si>
  <si>
    <t>1846-10-16</t>
  </si>
  <si>
    <t>1822-06-20</t>
  </si>
  <si>
    <t>1834-08-06</t>
  </si>
  <si>
    <t>1828-04-20</t>
  </si>
  <si>
    <t>1868-02-24</t>
  </si>
  <si>
    <t>1864-10-07</t>
  </si>
  <si>
    <t>1863-08-18</t>
  </si>
  <si>
    <t>1882-01-03</t>
  </si>
  <si>
    <t>1826-12-04</t>
  </si>
  <si>
    <t>1851-01-14</t>
  </si>
  <si>
    <t>1864-10-15</t>
  </si>
  <si>
    <t>1898-11-16</t>
  </si>
  <si>
    <t>1830-02-03</t>
  </si>
  <si>
    <t>1814-05-22</t>
  </si>
  <si>
    <t>1865-09-07</t>
  </si>
  <si>
    <t>1882-10-29</t>
  </si>
  <si>
    <t>1825-10-11</t>
  </si>
  <si>
    <t>1852-09-21</t>
  </si>
  <si>
    <t>1866-10-13</t>
  </si>
  <si>
    <t>1849-10-30</t>
  </si>
  <si>
    <t>1856-01-19</t>
  </si>
  <si>
    <t>1872-08-13</t>
  </si>
  <si>
    <t>1849-03-23</t>
  </si>
  <si>
    <t>1832-03-18</t>
  </si>
  <si>
    <t>1832-04-18</t>
  </si>
  <si>
    <t>1860-09-15</t>
  </si>
  <si>
    <t>1811-01-03</t>
  </si>
  <si>
    <t>1870-05-18</t>
  </si>
  <si>
    <t>1828-09-26</t>
  </si>
  <si>
    <t>1828-11-26</t>
  </si>
  <si>
    <t>1846-06-15</t>
  </si>
  <si>
    <t>1871-11-26</t>
  </si>
  <si>
    <t>1850-09-06</t>
  </si>
  <si>
    <t>1844-03-14</t>
  </si>
  <si>
    <t>1830-05-12</t>
  </si>
  <si>
    <t>1847-04-27</t>
  </si>
  <si>
    <t>1845-01-07</t>
  </si>
  <si>
    <t>1879-04-03</t>
  </si>
  <si>
    <t>1837-10-12</t>
  </si>
  <si>
    <t>1838-10-12</t>
  </si>
  <si>
    <t>1872-06-10</t>
  </si>
  <si>
    <t>1815-01-25</t>
  </si>
  <si>
    <t>1878-06-08</t>
  </si>
  <si>
    <t>1854-07-30</t>
  </si>
  <si>
    <t>1872-09-24</t>
  </si>
  <si>
    <t>1849-05-11</t>
  </si>
  <si>
    <t>1870-03-20</t>
  </si>
  <si>
    <t>1869-11-03</t>
  </si>
  <si>
    <t>1827-11-15</t>
  </si>
  <si>
    <t>1884-10-04</t>
  </si>
  <si>
    <t>1845-02-22</t>
  </si>
  <si>
    <t>1835-12-01</t>
  </si>
  <si>
    <t>1840-04-29</t>
  </si>
  <si>
    <t>1854-05-22</t>
  </si>
  <si>
    <t>1869-07-23</t>
  </si>
  <si>
    <t>1875-08-31</t>
  </si>
  <si>
    <t>1898-06-18</t>
  </si>
  <si>
    <t>1882-07-11</t>
  </si>
  <si>
    <t>1850-09-07</t>
  </si>
  <si>
    <t>1883-02-19</t>
  </si>
  <si>
    <t>1870-05-12</t>
  </si>
  <si>
    <t>1847-11-11</t>
  </si>
  <si>
    <t>1845-03-29</t>
  </si>
  <si>
    <t>1862-12-02</t>
  </si>
  <si>
    <t>1859-01-10</t>
  </si>
  <si>
    <t>1876-11-09</t>
  </si>
  <si>
    <t>1847-10-15</t>
  </si>
  <si>
    <t>1804-11-21</t>
  </si>
  <si>
    <t>1875-12-19</t>
  </si>
  <si>
    <t>1855-01-04</t>
  </si>
  <si>
    <t>1833-03-18</t>
  </si>
  <si>
    <t>1853-08-18</t>
  </si>
  <si>
    <t>1892-10-16</t>
  </si>
  <si>
    <t>1847-03-13</t>
  </si>
  <si>
    <t>1818-09-18</t>
  </si>
  <si>
    <t>1889-05-29</t>
  </si>
  <si>
    <t>1860-12-19</t>
  </si>
  <si>
    <t>1874-09-03</t>
  </si>
  <si>
    <t>1874-10-24</t>
  </si>
  <si>
    <t>1848-02-12</t>
  </si>
  <si>
    <t>1883-03-15</t>
  </si>
  <si>
    <t>1818-01-26</t>
  </si>
  <si>
    <t>1849-07-29</t>
  </si>
  <si>
    <t>1844-04-20</t>
  </si>
  <si>
    <t>1806-04-27</t>
  </si>
  <si>
    <t>1847-03-02</t>
  </si>
  <si>
    <t>1852-03-20</t>
  </si>
  <si>
    <t>1878-10-22</t>
  </si>
  <si>
    <t>1843-02-15</t>
  </si>
  <si>
    <t>1845-10-19</t>
  </si>
  <si>
    <t>1820-06-02</t>
  </si>
  <si>
    <t>1884-05-28</t>
  </si>
  <si>
    <t>1878-12-08</t>
  </si>
  <si>
    <t>1848-12-25</t>
  </si>
  <si>
    <t>1865-08-14</t>
  </si>
  <si>
    <t>1810-01-08</t>
  </si>
  <si>
    <t>1819-02-09</t>
  </si>
  <si>
    <t>1823-08-24</t>
  </si>
  <si>
    <t>1825-10-18</t>
  </si>
  <si>
    <t>1875-09-06</t>
  </si>
  <si>
    <t>1836-04-09</t>
  </si>
  <si>
    <t>1888-12-01</t>
  </si>
  <si>
    <t>1866-12-20</t>
  </si>
  <si>
    <t>1841-12-06</t>
  </si>
  <si>
    <t>1829-07-30</t>
  </si>
  <si>
    <t>1853-05-04</t>
  </si>
  <si>
    <t>1807-03-25</t>
  </si>
  <si>
    <t>1838-01-17</t>
  </si>
  <si>
    <t>1873-10-28</t>
  </si>
  <si>
    <t>1881-01-11</t>
  </si>
  <si>
    <t>1846-01-14</t>
  </si>
  <si>
    <t>1851-07-02</t>
  </si>
  <si>
    <t>1865-07-23</t>
  </si>
  <si>
    <t>1851-06-17</t>
  </si>
  <si>
    <t>1843-10-20</t>
  </si>
  <si>
    <t>1844-04-07</t>
  </si>
  <si>
    <t>1863-08-16</t>
  </si>
  <si>
    <t>1820-12-28</t>
  </si>
  <si>
    <t>1844-08-02</t>
  </si>
  <si>
    <t>1882-01-05</t>
  </si>
  <si>
    <t>1884-01-06</t>
  </si>
  <si>
    <t>1886-04-02</t>
  </si>
  <si>
    <t>1839-05-12</t>
  </si>
  <si>
    <t>1881-05-04</t>
  </si>
  <si>
    <t>1849-02-11</t>
  </si>
  <si>
    <t>1847-12-19</t>
  </si>
  <si>
    <t>1849-07-27</t>
  </si>
  <si>
    <t>1873-10-20</t>
  </si>
  <si>
    <t>1870-04-26</t>
  </si>
  <si>
    <t>1876-11-02</t>
  </si>
  <si>
    <t>1845-11-11</t>
  </si>
  <si>
    <t>1856-11-30</t>
  </si>
  <si>
    <t>1809-11-22</t>
  </si>
  <si>
    <t>1859-12-11</t>
  </si>
  <si>
    <t>1843-01-08</t>
  </si>
  <si>
    <t>1803-08-18</t>
  </si>
  <si>
    <t>1827-12-10</t>
  </si>
  <si>
    <t>1866-06-13</t>
  </si>
  <si>
    <t>1845-09-07</t>
  </si>
  <si>
    <t>1827-12-16</t>
  </si>
  <si>
    <t>1829-09-16</t>
  </si>
  <si>
    <t>1876-06-25</t>
  </si>
  <si>
    <t>1874-09-29</t>
  </si>
  <si>
    <t>1844-02-07</t>
  </si>
  <si>
    <t>1834-04-17</t>
  </si>
  <si>
    <t>1806-09-18</t>
  </si>
  <si>
    <t>1842-08-21</t>
  </si>
  <si>
    <t>1851-05-25</t>
  </si>
  <si>
    <t>1828-12-19</t>
  </si>
  <si>
    <t>1859-12-09</t>
  </si>
  <si>
    <t>1869-04-25</t>
  </si>
  <si>
    <t>1852-10-07</t>
  </si>
  <si>
    <t>1872-02-23</t>
  </si>
  <si>
    <t>1885-09-13</t>
  </si>
  <si>
    <t>1887-08-25</t>
  </si>
  <si>
    <t>1844-11-07</t>
  </si>
  <si>
    <t>1865-09-30</t>
  </si>
  <si>
    <t>1819-04-06</t>
  </si>
  <si>
    <t>1834-01-16</t>
  </si>
  <si>
    <t>1845-03-15</t>
  </si>
  <si>
    <t>1827-10-17</t>
  </si>
  <si>
    <t>1857-06-04</t>
  </si>
  <si>
    <t>1855-11-18</t>
  </si>
  <si>
    <t>1863-09-22</t>
  </si>
  <si>
    <t>1868-01-23</t>
  </si>
  <si>
    <t>1846-02-18</t>
  </si>
  <si>
    <t>1887-03-07</t>
  </si>
  <si>
    <t>1833-12-25</t>
  </si>
  <si>
    <t>1833-12-26</t>
  </si>
  <si>
    <t>1827-07-15</t>
  </si>
  <si>
    <t>1830-03-13</t>
  </si>
  <si>
    <t>1843-09-06</t>
  </si>
  <si>
    <t>1832-11-04</t>
  </si>
  <si>
    <t>1853-07-13</t>
  </si>
  <si>
    <t>1856-08-30</t>
  </si>
  <si>
    <t>1874-03-27</t>
  </si>
  <si>
    <t>1841-05-21</t>
  </si>
  <si>
    <t>1886-08-16</t>
  </si>
  <si>
    <t>1870-09-08</t>
  </si>
  <si>
    <t>1868-09-01</t>
  </si>
  <si>
    <t>1860-08-20</t>
  </si>
  <si>
    <t>1818-03-22</t>
  </si>
  <si>
    <t>1853-10-04</t>
  </si>
  <si>
    <t>1861-02-08</t>
  </si>
  <si>
    <t>1878-04-30</t>
  </si>
  <si>
    <t>1880-12-31</t>
  </si>
  <si>
    <t>1860-10-11</t>
  </si>
  <si>
    <t>1897-07-25</t>
  </si>
  <si>
    <t>1826-06-06</t>
  </si>
  <si>
    <t>1862-09-20</t>
  </si>
  <si>
    <t>1886-03-26</t>
  </si>
  <si>
    <t>1871-06-30</t>
  </si>
  <si>
    <t>1824-06-11</t>
  </si>
  <si>
    <t>1849-04-13</t>
  </si>
  <si>
    <t>1835-02-09</t>
  </si>
  <si>
    <t>1828-04-08</t>
  </si>
  <si>
    <t>1839-02-16</t>
  </si>
  <si>
    <t>1832-12-10</t>
  </si>
  <si>
    <t>1819-05-11</t>
  </si>
  <si>
    <t>1891-11-13</t>
  </si>
  <si>
    <t>1826-07-02</t>
  </si>
  <si>
    <t>1874-08-02</t>
  </si>
  <si>
    <t>1812-09-03</t>
  </si>
  <si>
    <t>1874-11-18</t>
  </si>
  <si>
    <t>1853-11-19</t>
  </si>
  <si>
    <t>1879-06-10</t>
  </si>
  <si>
    <t>1817-07-15</t>
  </si>
  <si>
    <t>1849-10-08</t>
  </si>
  <si>
    <t>1897-01-23</t>
  </si>
  <si>
    <t>1891-11-26</t>
  </si>
  <si>
    <t>1870-09-25</t>
  </si>
  <si>
    <t>1858-02-07</t>
  </si>
  <si>
    <t>1867-08-05</t>
  </si>
  <si>
    <t>1841-12-18</t>
  </si>
  <si>
    <t>1822-10-02</t>
  </si>
  <si>
    <t>1896-01-25</t>
  </si>
  <si>
    <t>1847-07-13</t>
  </si>
  <si>
    <t>1867-12-12</t>
  </si>
  <si>
    <t>1859-10-22</t>
  </si>
  <si>
    <t>1844-09-13</t>
  </si>
  <si>
    <t>1834-01-01</t>
  </si>
  <si>
    <t>1841-02-21</t>
  </si>
  <si>
    <t>1874-01-06</t>
  </si>
  <si>
    <t>1844-02-21</t>
  </si>
  <si>
    <t>1847-03-27</t>
  </si>
  <si>
    <t>1867-07-26</t>
  </si>
  <si>
    <t>1874-04-26</t>
  </si>
  <si>
    <t>1866-03-23</t>
  </si>
  <si>
    <t>1835-09-18</t>
  </si>
  <si>
    <t>1889-01-07</t>
  </si>
  <si>
    <t>1846-07-31</t>
  </si>
  <si>
    <t>1890-02-06</t>
  </si>
  <si>
    <t>1839-08-30</t>
  </si>
  <si>
    <t>1861-11-03</t>
  </si>
  <si>
    <t>1835-07-23</t>
  </si>
  <si>
    <t>1846-08-27</t>
  </si>
  <si>
    <t>1861-05-01</t>
  </si>
  <si>
    <t>1835-08-02</t>
  </si>
  <si>
    <t>1876-07-31</t>
  </si>
  <si>
    <t>1834-12-14</t>
  </si>
  <si>
    <t>1828-10-16</t>
  </si>
  <si>
    <t>1872-07-05</t>
  </si>
  <si>
    <t>1855-11-12</t>
  </si>
  <si>
    <t>1829-06-15</t>
  </si>
  <si>
    <t>1893-05-20</t>
  </si>
  <si>
    <t>1863-12-25</t>
  </si>
  <si>
    <t>1875-03-05</t>
  </si>
  <si>
    <t>1873-06-01</t>
  </si>
  <si>
    <t>1881-10-03</t>
  </si>
  <si>
    <t>1821-09-03</t>
  </si>
  <si>
    <t>1827-04-02</t>
  </si>
  <si>
    <t>1857-06-16</t>
  </si>
  <si>
    <t>1867-02-21</t>
  </si>
  <si>
    <t>1868-12-10</t>
  </si>
  <si>
    <t>1870-12-02</t>
  </si>
  <si>
    <t>1836-09-29</t>
  </si>
  <si>
    <t>1842-09-17</t>
  </si>
  <si>
    <t>1878-10-12</t>
  </si>
  <si>
    <t>1816-04-24</t>
  </si>
  <si>
    <t>1843-11-14</t>
  </si>
  <si>
    <t>1816-08-01</t>
  </si>
  <si>
    <t>1858-05-22</t>
  </si>
  <si>
    <t>1868-08-27</t>
  </si>
  <si>
    <t>1847-12-26</t>
  </si>
  <si>
    <t>1851-07-06</t>
  </si>
  <si>
    <t>1883-08-21</t>
  </si>
  <si>
    <t>1802-02-26</t>
  </si>
  <si>
    <t>1851-08-28</t>
  </si>
  <si>
    <t>1851-06-27</t>
  </si>
  <si>
    <t>1836-04-03</t>
  </si>
  <si>
    <t>1848-03-16</t>
  </si>
  <si>
    <t>1851-11-03</t>
  </si>
  <si>
    <t>1858-04-19</t>
  </si>
  <si>
    <t>1822-12-20</t>
  </si>
  <si>
    <t>1860-08-04</t>
  </si>
  <si>
    <t>1867-12-11</t>
  </si>
  <si>
    <t>1882-07-24</t>
  </si>
  <si>
    <t>1822-06-28</t>
  </si>
  <si>
    <t>1857-07-19</t>
  </si>
  <si>
    <t>1866-05-28</t>
  </si>
  <si>
    <t>1862-06-06</t>
  </si>
  <si>
    <t>1832-10-11</t>
  </si>
  <si>
    <t>1848-10-14</t>
  </si>
  <si>
    <t>1889-12-27</t>
  </si>
  <si>
    <t>1873-04-24</t>
  </si>
  <si>
    <t>1872-11-01</t>
  </si>
  <si>
    <t>1844-02-25</t>
  </si>
  <si>
    <t>1822-11-28</t>
  </si>
  <si>
    <t>1888-07-06</t>
  </si>
  <si>
    <t>1883-05-08</t>
  </si>
  <si>
    <t>1837-08-27</t>
  </si>
  <si>
    <t>1872-11-25</t>
  </si>
  <si>
    <t>1862-01-04</t>
  </si>
  <si>
    <t>1874-01-11</t>
  </si>
  <si>
    <t>1835-07-28</t>
  </si>
  <si>
    <t>1869-04-18</t>
  </si>
  <si>
    <t>1845-01-09</t>
  </si>
  <si>
    <t>1849-09-06</t>
  </si>
  <si>
    <t>1853-03-11</t>
  </si>
  <si>
    <t>1845-03-08</t>
  </si>
  <si>
    <t>1841-10-20</t>
  </si>
  <si>
    <t>1856-12-22</t>
  </si>
  <si>
    <t>1839-12-15</t>
  </si>
  <si>
    <t>1869-11-25</t>
  </si>
  <si>
    <t>1816-08-20</t>
  </si>
  <si>
    <t>1833-03-12</t>
  </si>
  <si>
    <t>1849-03-15</t>
  </si>
  <si>
    <t>1884-12-03</t>
  </si>
  <si>
    <t>1869-11-30</t>
  </si>
  <si>
    <t>1847-03-15</t>
  </si>
  <si>
    <t>1830-08-28</t>
  </si>
  <si>
    <t>1817-01-01</t>
  </si>
  <si>
    <t>1817-01-17</t>
  </si>
  <si>
    <t>1834-11-15</t>
  </si>
  <si>
    <t>1879-03-26</t>
  </si>
  <si>
    <t>1898-09-16</t>
  </si>
  <si>
    <t>1875-06-27</t>
  </si>
  <si>
    <t>1890-03-29</t>
  </si>
  <si>
    <t>1864-02-25</t>
  </si>
  <si>
    <t>1834-05-05</t>
  </si>
  <si>
    <t>1821-05-28</t>
  </si>
  <si>
    <t>1845-06-27</t>
  </si>
  <si>
    <t>1863-04-13</t>
  </si>
  <si>
    <t>1861-12-06</t>
  </si>
  <si>
    <t>1864-05-23</t>
  </si>
  <si>
    <t>1850-12-25</t>
  </si>
  <si>
    <t>1822-08-15</t>
  </si>
  <si>
    <t>1832-12-05</t>
  </si>
  <si>
    <t>1826-02-26</t>
  </si>
  <si>
    <t>1854-12-04</t>
  </si>
  <si>
    <t>1880-09-06</t>
  </si>
  <si>
    <t>1890-03-31</t>
  </si>
  <si>
    <t>1879-12-01</t>
  </si>
  <si>
    <t>1815-08-26</t>
  </si>
  <si>
    <t>1823-02-03</t>
  </si>
  <si>
    <t>1871-05-08</t>
  </si>
  <si>
    <t>1859-09-03</t>
  </si>
  <si>
    <t>1860-08-18</t>
  </si>
  <si>
    <t>1839-05-05</t>
  </si>
  <si>
    <t>1871-10-11</t>
  </si>
  <si>
    <t>1872-05-10</t>
  </si>
  <si>
    <t>1874-11-16</t>
  </si>
  <si>
    <t>1887-08-16</t>
  </si>
  <si>
    <t>1864-07-06</t>
  </si>
  <si>
    <t>1873-06-10</t>
  </si>
  <si>
    <t>1846-10-12</t>
  </si>
  <si>
    <t>1821-12-11</t>
  </si>
  <si>
    <t>1869-03-23</t>
  </si>
  <si>
    <t>1865-06-26</t>
  </si>
  <si>
    <t>1846-03-16</t>
  </si>
  <si>
    <t>1815-12-23</t>
  </si>
  <si>
    <t>1875-01-13</t>
  </si>
  <si>
    <t>1819-06-04</t>
  </si>
  <si>
    <t>1897-09-12</t>
  </si>
  <si>
    <t>1868-03-08</t>
  </si>
  <si>
    <t>1831-09-28</t>
  </si>
  <si>
    <t>1857-12-27</t>
  </si>
  <si>
    <t>1874-10-15</t>
  </si>
  <si>
    <t>1859-04-04</t>
  </si>
  <si>
    <t>1856-05-21</t>
  </si>
  <si>
    <t>1850-04-04</t>
  </si>
  <si>
    <t>1814-06-16</t>
  </si>
  <si>
    <t>1869-04-17</t>
  </si>
  <si>
    <t>1814-05-09</t>
  </si>
  <si>
    <t>1845-09-26</t>
  </si>
  <si>
    <t>1845-03-22</t>
  </si>
  <si>
    <t>1887-09-01</t>
  </si>
  <si>
    <t>1841-02-22</t>
  </si>
  <si>
    <t>1871-05-25</t>
  </si>
  <si>
    <t>1818-02-17</t>
  </si>
  <si>
    <t>1865-10-30</t>
  </si>
  <si>
    <t>1865-02-03</t>
  </si>
  <si>
    <t>1878-10-28</t>
  </si>
  <si>
    <t>1843-07-07</t>
  </si>
  <si>
    <t>1846-07-29</t>
  </si>
  <si>
    <t>1827-02-24</t>
  </si>
  <si>
    <t>1869-05-15</t>
  </si>
  <si>
    <t>1821-07-21</t>
  </si>
  <si>
    <t>1817-01-16</t>
  </si>
  <si>
    <t>1876-04-05</t>
  </si>
  <si>
    <t>1869-04-11</t>
  </si>
  <si>
    <t>1824-04-30</t>
  </si>
  <si>
    <t>1846-07-20</t>
  </si>
  <si>
    <t>1871-04-30</t>
  </si>
  <si>
    <t>1876-09-02</t>
  </si>
  <si>
    <t>1825-06-15</t>
  </si>
  <si>
    <t>1882-09-20</t>
  </si>
  <si>
    <t>1845-07-10</t>
  </si>
  <si>
    <t>1821-03-20</t>
  </si>
  <si>
    <t>1847-09-05</t>
  </si>
  <si>
    <t>1887-04-20</t>
  </si>
  <si>
    <t>1828-10-08</t>
  </si>
  <si>
    <t>1844-12-03</t>
  </si>
  <si>
    <t>1888-01-26</t>
  </si>
  <si>
    <t>1846-10-08</t>
  </si>
  <si>
    <t>1847-09-14</t>
  </si>
  <si>
    <t>1846-02-27</t>
  </si>
  <si>
    <t>1810-12-01</t>
  </si>
  <si>
    <t>1850-08-07</t>
  </si>
  <si>
    <t>1862-10-04</t>
  </si>
  <si>
    <t>1807-11-16</t>
  </si>
  <si>
    <t>1868-01-01</t>
  </si>
  <si>
    <t>1868-01-11</t>
  </si>
  <si>
    <t>1852-07-17</t>
  </si>
  <si>
    <t>1829-09-15</t>
  </si>
  <si>
    <t>1798-01-16</t>
  </si>
  <si>
    <t>1848-08-24</t>
  </si>
  <si>
    <t>1861-01-14</t>
  </si>
  <si>
    <t>1889-10-27</t>
  </si>
  <si>
    <t>1898-09-11</t>
  </si>
  <si>
    <t>1843-11-23</t>
  </si>
  <si>
    <t>1860-04-26</t>
  </si>
  <si>
    <t>1899-01-24</t>
  </si>
  <si>
    <t>1826-01-20</t>
  </si>
  <si>
    <t>1872-10-24</t>
  </si>
  <si>
    <t>1846-12-23</t>
  </si>
  <si>
    <t>1819-01-28</t>
  </si>
  <si>
    <t>1834-03-20</t>
  </si>
  <si>
    <t>1879-06-28</t>
  </si>
  <si>
    <t>1832-09-29</t>
  </si>
  <si>
    <t>1826-08-09</t>
  </si>
  <si>
    <t>1827-11-25</t>
  </si>
  <si>
    <t>1823-02-19</t>
  </si>
  <si>
    <t>1823-08-21</t>
  </si>
  <si>
    <t>1835-10-12</t>
  </si>
  <si>
    <t>1860-04-18</t>
  </si>
  <si>
    <t>1874-08-12</t>
  </si>
  <si>
    <t>1880-08-29</t>
  </si>
  <si>
    <t>1847-05-03</t>
  </si>
  <si>
    <t>1878-12-29</t>
  </si>
  <si>
    <t>1845-02-01</t>
  </si>
  <si>
    <t>1853-05-02</t>
  </si>
  <si>
    <t>1847-01-26</t>
  </si>
  <si>
    <t>1835-10-03</t>
  </si>
  <si>
    <t>1860-06-22</t>
  </si>
  <si>
    <t>1898-05-04</t>
  </si>
  <si>
    <t>1857-06-07</t>
  </si>
  <si>
    <t>1859-11-20</t>
  </si>
  <si>
    <t>1833-04-26</t>
  </si>
  <si>
    <t>1840-11-05</t>
  </si>
  <si>
    <t>1870-06-19</t>
  </si>
  <si>
    <t>1815-12-09</t>
  </si>
  <si>
    <t>1870-11-16</t>
  </si>
  <si>
    <t>1854-05-29</t>
  </si>
  <si>
    <t>1864-07-14</t>
  </si>
  <si>
    <t>1876-10-24</t>
  </si>
  <si>
    <t>1815-08-21</t>
  </si>
  <si>
    <t>1822-10-30</t>
  </si>
  <si>
    <t>1845-05-26</t>
  </si>
  <si>
    <t>1862-02-13</t>
  </si>
  <si>
    <t>1838-04-15</t>
  </si>
  <si>
    <t>1821-02-17</t>
  </si>
  <si>
    <t>1844-04-23</t>
  </si>
  <si>
    <t>1883-08-08</t>
  </si>
  <si>
    <t>1879-06-06</t>
  </si>
  <si>
    <t>1843-01-15</t>
  </si>
  <si>
    <t>1888-10-14</t>
  </si>
  <si>
    <t>1861-05-10</t>
  </si>
  <si>
    <t>1847-08-16</t>
  </si>
  <si>
    <t>1885-04-25</t>
  </si>
  <si>
    <t>1817-12-08</t>
  </si>
  <si>
    <t>1835-04-02</t>
  </si>
  <si>
    <t>1845-01-24</t>
  </si>
  <si>
    <t>1879-07-26</t>
  </si>
  <si>
    <t>1809-08-29</t>
  </si>
  <si>
    <t>1860-07-12</t>
  </si>
  <si>
    <t>1821-09-20</t>
  </si>
  <si>
    <t>1831-10-08</t>
  </si>
  <si>
    <t>1842-01-24</t>
  </si>
  <si>
    <t>1858-06-24</t>
  </si>
  <si>
    <t>1863-04-07</t>
  </si>
  <si>
    <t>1862-09-11</t>
  </si>
  <si>
    <t>1841-11-01</t>
  </si>
  <si>
    <t>1875-06-09</t>
  </si>
  <si>
    <t>1824-02-26</t>
  </si>
  <si>
    <t>1820-12-10</t>
  </si>
  <si>
    <t>1811-07-03</t>
  </si>
  <si>
    <t>1827-10-02</t>
  </si>
  <si>
    <t>1872-12-16</t>
  </si>
  <si>
    <t>1878-08-08</t>
  </si>
  <si>
    <t>1869-12-21</t>
  </si>
  <si>
    <t>1841-06-26</t>
  </si>
  <si>
    <t>1895-01-29</t>
  </si>
  <si>
    <t>1827-11-12</t>
  </si>
  <si>
    <t>1834-06-23</t>
  </si>
  <si>
    <t>1883-12-16</t>
  </si>
  <si>
    <t>1839-05-29</t>
  </si>
  <si>
    <t>1852-03-02</t>
  </si>
  <si>
    <t>1823-06-07</t>
  </si>
  <si>
    <t>1850-04-01</t>
  </si>
  <si>
    <t>1854-09-17</t>
  </si>
  <si>
    <t>1888-09-16</t>
  </si>
  <si>
    <t>1867-11-08</t>
  </si>
  <si>
    <t>1874-08-18</t>
  </si>
  <si>
    <t>1833-09-07</t>
  </si>
  <si>
    <t>1858-10-29</t>
  </si>
  <si>
    <t>1813-04-23</t>
  </si>
  <si>
    <t>1841-09-07</t>
  </si>
  <si>
    <t>1873-06-27</t>
  </si>
  <si>
    <t>1819-01-07</t>
  </si>
  <si>
    <t>1839-04-03</t>
  </si>
  <si>
    <t>1889-10-12</t>
  </si>
  <si>
    <t>1834-07-24</t>
  </si>
  <si>
    <t>1840-12-04</t>
  </si>
  <si>
    <t>1842-11-05</t>
  </si>
  <si>
    <t>1833-07-23</t>
  </si>
  <si>
    <t>1842-04-16</t>
  </si>
  <si>
    <t>1874-12-03</t>
  </si>
  <si>
    <t>1881-08-10</t>
  </si>
  <si>
    <t>1885-05-08</t>
  </si>
  <si>
    <t>1852-09-10</t>
  </si>
  <si>
    <t>1861-08-06</t>
  </si>
  <si>
    <t>1820-10-26</t>
  </si>
  <si>
    <t>1853-03-06</t>
  </si>
  <si>
    <t>1820-01-12</t>
  </si>
  <si>
    <t>1843-09-12</t>
  </si>
  <si>
    <t>1879-01-09</t>
  </si>
  <si>
    <t>1832-08-16</t>
  </si>
  <si>
    <t>1848-01-26</t>
  </si>
  <si>
    <t>1887-10-04</t>
  </si>
  <si>
    <t>1834-04-05</t>
  </si>
  <si>
    <t>1835-01-21</t>
  </si>
  <si>
    <t>1861-05-25</t>
  </si>
  <si>
    <t>1829-04-27</t>
  </si>
  <si>
    <t>1831-02-12</t>
  </si>
  <si>
    <t>1840-07-13</t>
  </si>
  <si>
    <t>1862-02-21</t>
  </si>
  <si>
    <t>1856-11-22</t>
  </si>
  <si>
    <t>1882-06-02</t>
  </si>
  <si>
    <t>1836-05-23</t>
  </si>
  <si>
    <t>1862-11-06</t>
  </si>
  <si>
    <t>1810-10-29</t>
  </si>
  <si>
    <t>1830-03-16</t>
  </si>
  <si>
    <t>1822-03-07</t>
  </si>
  <si>
    <t>1811-11-25</t>
  </si>
  <si>
    <t>1842-04-19</t>
  </si>
  <si>
    <t>1872-09-27</t>
  </si>
  <si>
    <t>1878-02-20</t>
  </si>
  <si>
    <t>1865-08-22</t>
  </si>
  <si>
    <t>1850-06-08</t>
  </si>
  <si>
    <t>1854-05-27</t>
  </si>
  <si>
    <t>1874-12-13</t>
  </si>
  <si>
    <t>1844-09-05</t>
  </si>
  <si>
    <t>1864-10-03</t>
  </si>
  <si>
    <t>1847-09-27</t>
  </si>
  <si>
    <t>1884-01-29</t>
  </si>
  <si>
    <t>1823-07-11</t>
  </si>
  <si>
    <t>1857-02-04</t>
  </si>
  <si>
    <t>1858-07-12</t>
  </si>
  <si>
    <t>1880-05-10</t>
  </si>
  <si>
    <t>1841-10-16</t>
  </si>
  <si>
    <t>1867-08-20</t>
  </si>
  <si>
    <t>1890-03-18</t>
  </si>
  <si>
    <t>1877-09-24</t>
  </si>
  <si>
    <t>1883-06-28</t>
  </si>
  <si>
    <t>1821-10-09</t>
  </si>
  <si>
    <t>1876-08-30</t>
  </si>
  <si>
    <t>1857-05-28</t>
  </si>
  <si>
    <t>1815-06-10</t>
  </si>
  <si>
    <t>1815-06-11</t>
  </si>
  <si>
    <t>1858-01-21</t>
  </si>
  <si>
    <t>1827-07-26</t>
  </si>
  <si>
    <t>1855-04-19</t>
  </si>
  <si>
    <t>1831-06-06</t>
  </si>
  <si>
    <t>1880-03-09</t>
  </si>
  <si>
    <t>1867-07-01</t>
  </si>
  <si>
    <t>1850-09-26</t>
  </si>
  <si>
    <t>1855-10-06</t>
  </si>
  <si>
    <t>1836-01-21</t>
  </si>
  <si>
    <t>1812-05-09</t>
  </si>
  <si>
    <t>1839-11-11</t>
  </si>
  <si>
    <t>1849-02-27</t>
  </si>
  <si>
    <t>1881-05-05</t>
  </si>
  <si>
    <t>1826-08-31</t>
  </si>
  <si>
    <t>1861-08-12</t>
  </si>
  <si>
    <t>1887-01-17</t>
  </si>
  <si>
    <t>1875-05-02</t>
  </si>
  <si>
    <t>1815-09-05</t>
  </si>
  <si>
    <t>1864-05-16</t>
  </si>
  <si>
    <t>1842-07-27</t>
  </si>
  <si>
    <t>1823-01-25</t>
  </si>
  <si>
    <t>1860-11-23</t>
  </si>
  <si>
    <t>1816-06-27</t>
  </si>
  <si>
    <t>1860-04-28</t>
  </si>
  <si>
    <t>1877-10-04</t>
  </si>
  <si>
    <t>1878-10-24</t>
  </si>
  <si>
    <t>1827-02-26</t>
  </si>
  <si>
    <t>1858-07-04</t>
  </si>
  <si>
    <t>1888-08-15</t>
  </si>
  <si>
    <t>1864-12-15</t>
  </si>
  <si>
    <t>1844-03-09</t>
  </si>
  <si>
    <t>1867-02-07</t>
  </si>
  <si>
    <t>1856-02-29</t>
  </si>
  <si>
    <t>1872-12-05</t>
  </si>
  <si>
    <t>1849-11-13</t>
  </si>
  <si>
    <t>1858-08-26</t>
  </si>
  <si>
    <t>1853-11-07</t>
  </si>
  <si>
    <t>1886-10-16</t>
  </si>
  <si>
    <t>1840-07-28</t>
  </si>
  <si>
    <t>1871-08-20</t>
  </si>
  <si>
    <t>1871-08-29</t>
  </si>
  <si>
    <t>1880-03-15</t>
  </si>
  <si>
    <t>1826-10-29</t>
  </si>
  <si>
    <t>1840-01-20</t>
  </si>
  <si>
    <t>1814-07-30</t>
  </si>
  <si>
    <t>1859-03-24</t>
  </si>
  <si>
    <t>1817-07-12</t>
  </si>
  <si>
    <t>1867-04-14</t>
  </si>
  <si>
    <t>1840-09-08</t>
  </si>
  <si>
    <t>1805-07-31</t>
  </si>
  <si>
    <t>1846-03-01</t>
  </si>
  <si>
    <t>1824-12-21</t>
  </si>
  <si>
    <t>1866-12-23</t>
  </si>
  <si>
    <t>1874-07-23</t>
  </si>
  <si>
    <t>1834-07-21</t>
  </si>
  <si>
    <t>1867-01-27</t>
  </si>
  <si>
    <t>1881-02-05</t>
  </si>
  <si>
    <t>1871-09-20</t>
  </si>
  <si>
    <t>1811-01-18</t>
  </si>
  <si>
    <t>1866-10-16</t>
  </si>
  <si>
    <t>1821-09-09</t>
  </si>
  <si>
    <t>1868-11-09</t>
  </si>
  <si>
    <t>1871-03-05</t>
  </si>
  <si>
    <t>1877-10-24</t>
  </si>
  <si>
    <t>1834-11-28</t>
  </si>
  <si>
    <t>1870-11-27</t>
  </si>
  <si>
    <t>1838-05-21</t>
  </si>
  <si>
    <t>1852-07-09</t>
  </si>
  <si>
    <t>1834-02-11</t>
  </si>
  <si>
    <t>1844-07-03</t>
  </si>
  <si>
    <t>1809-03-02</t>
  </si>
  <si>
    <t>1830-08-19</t>
  </si>
  <si>
    <t>1828-12-20</t>
  </si>
  <si>
    <t>1833-08-15</t>
  </si>
  <si>
    <t>1869-06-17</t>
  </si>
  <si>
    <t>1860-09-20</t>
  </si>
  <si>
    <t>1861-01-15</t>
  </si>
  <si>
    <t>1888-02-20</t>
  </si>
  <si>
    <t>1836-06-29</t>
  </si>
  <si>
    <t>1868-04-08</t>
  </si>
  <si>
    <t>1864-02-06</t>
  </si>
  <si>
    <t>1843-04-16</t>
  </si>
  <si>
    <t>1850-08-09</t>
  </si>
  <si>
    <t>1837-05-23</t>
  </si>
  <si>
    <t>1833-10-28</t>
  </si>
  <si>
    <t>1834-05-13</t>
  </si>
  <si>
    <t>1838-04-29</t>
  </si>
  <si>
    <t>1842-03-30</t>
  </si>
  <si>
    <t>1857-08-31</t>
  </si>
  <si>
    <t>1840-08-22</t>
  </si>
  <si>
    <t>1861-05-28</t>
  </si>
  <si>
    <t>1880-02-23</t>
  </si>
  <si>
    <t>1865-07-27</t>
  </si>
  <si>
    <t>1842-01-10</t>
  </si>
  <si>
    <t>1799-11-07</t>
  </si>
  <si>
    <t>1819-03-14</t>
  </si>
  <si>
    <t>1856-07-07</t>
  </si>
  <si>
    <t>1862-03-11</t>
  </si>
  <si>
    <t>1852-12-24</t>
  </si>
  <si>
    <t>1848-10-04</t>
  </si>
  <si>
    <t>1872-03-30</t>
  </si>
  <si>
    <t>1820-06-25</t>
  </si>
  <si>
    <t>1874-12-09</t>
  </si>
  <si>
    <t>1853-04-23</t>
  </si>
  <si>
    <t>1849-08-04</t>
  </si>
  <si>
    <t>1815-10-17</t>
  </si>
  <si>
    <t>1869-06-25</t>
  </si>
  <si>
    <t>1865-05-07</t>
  </si>
  <si>
    <t>1892-02-03</t>
  </si>
  <si>
    <t>1826-11-04</t>
  </si>
  <si>
    <t>1859-05-04</t>
  </si>
  <si>
    <t>1827-03-23</t>
  </si>
  <si>
    <t>1850-07-08</t>
  </si>
  <si>
    <t>1840-02-21</t>
  </si>
  <si>
    <t>1821-01-20</t>
  </si>
  <si>
    <t>1823-02-01</t>
  </si>
  <si>
    <t>1860-06-02</t>
  </si>
  <si>
    <t>1846-04-03</t>
  </si>
  <si>
    <t>1873-05-12</t>
  </si>
  <si>
    <t>1825-10-14</t>
  </si>
  <si>
    <t>1871-09-25</t>
  </si>
  <si>
    <t>1828-07-08</t>
  </si>
  <si>
    <t>1837-08-18</t>
  </si>
  <si>
    <t>1855-03-22</t>
  </si>
  <si>
    <t>1860-12-18</t>
  </si>
  <si>
    <t>1835-12-19</t>
  </si>
  <si>
    <t>1852-05-02</t>
  </si>
  <si>
    <t>1878-07-29</t>
  </si>
  <si>
    <t>1825-07-15</t>
  </si>
  <si>
    <t>1831-08-18</t>
  </si>
  <si>
    <t>1854-01-10</t>
  </si>
  <si>
    <t>1868-08-15</t>
  </si>
  <si>
    <t>1898-08-27</t>
  </si>
  <si>
    <t>1834-04-15</t>
  </si>
  <si>
    <t>1841-03-16</t>
  </si>
  <si>
    <t>1837-07-16</t>
  </si>
  <si>
    <t>1875-02-04</t>
  </si>
  <si>
    <t>1826-10-24</t>
  </si>
  <si>
    <t>1834-10-22</t>
  </si>
  <si>
    <t>1825-06-11</t>
  </si>
  <si>
    <t>1834-04-13</t>
  </si>
  <si>
    <t>1843-04-27</t>
  </si>
  <si>
    <t>1839-01-20</t>
  </si>
  <si>
    <t>1839-01-21</t>
  </si>
  <si>
    <t>1863-04-12</t>
  </si>
  <si>
    <t>1823-12-13</t>
  </si>
  <si>
    <t>1845-07-03</t>
  </si>
  <si>
    <t>1850-04-06</t>
  </si>
  <si>
    <t>1850-04-08</t>
  </si>
  <si>
    <t>1856-07-09</t>
  </si>
  <si>
    <t>1856-10-29</t>
  </si>
  <si>
    <t>1857-10-26</t>
  </si>
  <si>
    <t>1813-11-11</t>
  </si>
  <si>
    <t>1876-03-05</t>
  </si>
  <si>
    <t>1839-08-18</t>
  </si>
  <si>
    <t>1896-03-09</t>
  </si>
  <si>
    <t>1889-07-13</t>
  </si>
  <si>
    <t>1881-01-06</t>
  </si>
  <si>
    <t>1841-04-07</t>
  </si>
  <si>
    <t>1845-08-19</t>
  </si>
  <si>
    <t>1839-10-29</t>
  </si>
  <si>
    <t>1854-01-05</t>
  </si>
  <si>
    <t>1878-12-01</t>
  </si>
  <si>
    <t>1837-08-17</t>
  </si>
  <si>
    <t>1859-11-09</t>
  </si>
  <si>
    <t>1818-08-02</t>
  </si>
  <si>
    <t>1876-06-20</t>
  </si>
  <si>
    <t>1871-02-06</t>
  </si>
  <si>
    <t>1831-04-13</t>
  </si>
  <si>
    <t>1871-07-31</t>
  </si>
  <si>
    <t>1838-07-17</t>
  </si>
  <si>
    <t>1838-07-18</t>
  </si>
  <si>
    <t>1829-01-11</t>
  </si>
  <si>
    <t>1825-08-09</t>
  </si>
  <si>
    <t>1866-03-15</t>
  </si>
  <si>
    <t>1876-05-10</t>
  </si>
  <si>
    <t>1845-08-21</t>
  </si>
  <si>
    <t>1835-04-26</t>
  </si>
  <si>
    <t>1843-12-20</t>
  </si>
  <si>
    <t>1849-06-13</t>
  </si>
  <si>
    <t>1891-01-26</t>
  </si>
  <si>
    <t>1850-01-15</t>
  </si>
  <si>
    <t>1866-07-02</t>
  </si>
  <si>
    <t>1850-03-27</t>
  </si>
  <si>
    <t>1819-06-09</t>
  </si>
  <si>
    <t>1831-09-29</t>
  </si>
  <si>
    <t>1837-10-13</t>
  </si>
  <si>
    <t>1873-09-04</t>
  </si>
  <si>
    <t>1858-12-02</t>
  </si>
  <si>
    <t>1877-08-24</t>
  </si>
  <si>
    <t>1870-03-14</t>
  </si>
  <si>
    <t>1838-12-31</t>
  </si>
  <si>
    <t>1868-09-02</t>
  </si>
  <si>
    <t>1872-08-12</t>
  </si>
  <si>
    <t>1867-09-06</t>
  </si>
  <si>
    <t>1862-12-26</t>
  </si>
  <si>
    <t>1848-08-08</t>
  </si>
  <si>
    <t>1844-07-21</t>
  </si>
  <si>
    <t>1886-04-07</t>
  </si>
  <si>
    <t>1826-01-04</t>
  </si>
  <si>
    <t>1861-01-04</t>
  </si>
  <si>
    <t>1850-01-20</t>
  </si>
  <si>
    <t>1881-09-01</t>
  </si>
  <si>
    <t>1892-05-25</t>
  </si>
  <si>
    <t>1816-10-21</t>
  </si>
  <si>
    <t>1870-08-11</t>
  </si>
  <si>
    <t>1880-01-14</t>
  </si>
  <si>
    <t>1837-09-07</t>
  </si>
  <si>
    <t>1874-02-08</t>
  </si>
  <si>
    <t>1881-01-02</t>
  </si>
  <si>
    <t>1839-07-05</t>
  </si>
  <si>
    <t>1823-10-17</t>
  </si>
  <si>
    <t>1854-11-17</t>
  </si>
  <si>
    <t>1842-04-30</t>
  </si>
  <si>
    <t>1885-05-26</t>
  </si>
  <si>
    <t>1872-10-23</t>
  </si>
  <si>
    <t>1844-12-01</t>
  </si>
  <si>
    <t>1846-08-06</t>
  </si>
  <si>
    <t>1859-02-19</t>
  </si>
  <si>
    <t>1846-05-01</t>
  </si>
  <si>
    <t>1862-01-14</t>
  </si>
  <si>
    <t>1829-08-08</t>
  </si>
  <si>
    <t>1872-02-29</t>
  </si>
  <si>
    <t>1815-08-22</t>
  </si>
  <si>
    <t>1841-12-11</t>
  </si>
  <si>
    <t>1867-04-21</t>
  </si>
  <si>
    <t>1888-07-25</t>
  </si>
  <si>
    <t>1831-07-02</t>
  </si>
  <si>
    <t>1877-02-17</t>
  </si>
  <si>
    <t>1848-05-20</t>
  </si>
  <si>
    <t>1873-11-13</t>
  </si>
  <si>
    <t>1851-02-21</t>
  </si>
  <si>
    <t>1836-01-05</t>
  </si>
  <si>
    <t>1841-04-20</t>
  </si>
  <si>
    <t>1835-09-09</t>
  </si>
  <si>
    <t>1876-04-14</t>
  </si>
  <si>
    <t>1854-09-12</t>
  </si>
  <si>
    <t>1879-10-20</t>
  </si>
  <si>
    <t>1860-01-17</t>
  </si>
  <si>
    <t>1864-02-02</t>
  </si>
  <si>
    <t>1887-10-30</t>
  </si>
  <si>
    <t>1816-08-25</t>
  </si>
  <si>
    <t>1823-08-22</t>
  </si>
  <si>
    <t>1828-04-06</t>
  </si>
  <si>
    <t>1879-04-15</t>
  </si>
  <si>
    <t>1815-08-13</t>
  </si>
  <si>
    <t>1841-01-03</t>
  </si>
  <si>
    <t>1865-06-13</t>
  </si>
  <si>
    <t>1847-10-31</t>
  </si>
  <si>
    <t>1834-11-29</t>
  </si>
  <si>
    <t>1853-11-09</t>
  </si>
  <si>
    <t>1846-10-26</t>
  </si>
  <si>
    <t>1860-07-29</t>
  </si>
  <si>
    <t>1829-01-17</t>
  </si>
  <si>
    <t>1888-07-15</t>
  </si>
  <si>
    <t>1821-01-03</t>
  </si>
  <si>
    <t>1882-06-01</t>
  </si>
  <si>
    <t>1848-09-11</t>
  </si>
  <si>
    <t>1877-08-06</t>
  </si>
  <si>
    <t>1836-04-04</t>
  </si>
  <si>
    <t>1852-08-19</t>
  </si>
  <si>
    <t>1883-12-23</t>
  </si>
  <si>
    <t>1875-06-12</t>
  </si>
  <si>
    <t>1875-12-01</t>
  </si>
  <si>
    <t>1891-09-23</t>
  </si>
  <si>
    <t>1875-06-11</t>
  </si>
  <si>
    <t>1885-06-05</t>
  </si>
  <si>
    <t>1838-07-01</t>
  </si>
  <si>
    <t>1855-05-23</t>
  </si>
  <si>
    <t>1855-08-23</t>
  </si>
  <si>
    <t>1881-07-10</t>
  </si>
  <si>
    <t>1884-04-24</t>
  </si>
  <si>
    <t>1833-10-18</t>
  </si>
  <si>
    <t>1821-07-31</t>
  </si>
  <si>
    <t>1867-08-11</t>
  </si>
  <si>
    <t>1867-09-22</t>
  </si>
  <si>
    <t>1861-04-25</t>
  </si>
  <si>
    <t>1878-05-03</t>
  </si>
  <si>
    <t>1882-08-10</t>
  </si>
  <si>
    <t>1869-10-05</t>
  </si>
  <si>
    <t>1849-11-21</t>
  </si>
  <si>
    <t>1873-07-25</t>
  </si>
  <si>
    <t>1877-12-05</t>
  </si>
  <si>
    <t>1813-05-18</t>
  </si>
  <si>
    <t>1848-09-01</t>
  </si>
  <si>
    <t>1832-11-19</t>
  </si>
  <si>
    <t>1837-03-04</t>
  </si>
  <si>
    <t>1827-06-24</t>
  </si>
  <si>
    <t>1829-09-04</t>
  </si>
  <si>
    <t>1870-01-18</t>
  </si>
  <si>
    <t>1828-07-14</t>
  </si>
  <si>
    <t>1897-12-03</t>
  </si>
  <si>
    <t>1860-08-27</t>
  </si>
  <si>
    <t>1866-05-16</t>
  </si>
  <si>
    <t>1855-09-16</t>
  </si>
  <si>
    <t>1832-08-30</t>
  </si>
  <si>
    <t>1893-02-22</t>
  </si>
  <si>
    <t>1857-09-19</t>
  </si>
  <si>
    <t>1865-08-05</t>
  </si>
  <si>
    <t>1851-11-15</t>
  </si>
  <si>
    <t>1884-10-06</t>
  </si>
  <si>
    <t>1876-07-24</t>
  </si>
  <si>
    <t>1834-09-22</t>
  </si>
  <si>
    <t>1826-11-05</t>
  </si>
  <si>
    <t>1861-01-08</t>
  </si>
  <si>
    <t>1821-09-27</t>
  </si>
  <si>
    <t>1862-05-07</t>
  </si>
  <si>
    <t>1883-08-19</t>
  </si>
  <si>
    <t>1877-01-19</t>
  </si>
  <si>
    <t>1875-01-31</t>
  </si>
  <si>
    <t>1813-09-13</t>
  </si>
  <si>
    <t>1899-01-20</t>
  </si>
  <si>
    <t>1834-02-17</t>
  </si>
  <si>
    <t>1827-12-11</t>
  </si>
  <si>
    <t>1849-09-02</t>
  </si>
  <si>
    <t>1840-07-18</t>
  </si>
  <si>
    <t>1865-09-25</t>
  </si>
  <si>
    <t>1830-11-25</t>
  </si>
  <si>
    <t>1810-02-20</t>
  </si>
  <si>
    <t>1835-03-02</t>
  </si>
  <si>
    <t>1845-05-19</t>
  </si>
  <si>
    <t>1848-01-16</t>
  </si>
  <si>
    <t>1859-01-15</t>
  </si>
  <si>
    <t>1886-09-26</t>
  </si>
  <si>
    <t>1899-08-09</t>
  </si>
  <si>
    <t>1859-12-18</t>
  </si>
  <si>
    <t>1836-09-07</t>
  </si>
  <si>
    <t>1849-02-17</t>
  </si>
  <si>
    <t>1854-08-15</t>
  </si>
  <si>
    <t>1838-01-31</t>
  </si>
  <si>
    <t>1886-11-06</t>
  </si>
  <si>
    <t>1835-08-04</t>
  </si>
  <si>
    <t>1837-08-04</t>
  </si>
  <si>
    <t>1882-03-07</t>
  </si>
  <si>
    <t>1850-01-31</t>
  </si>
  <si>
    <t>1854-05-28</t>
  </si>
  <si>
    <t>1858-03-25</t>
  </si>
  <si>
    <t>1853-01-01</t>
  </si>
  <si>
    <t>1848-10-18</t>
  </si>
  <si>
    <t>1862-07-27</t>
  </si>
  <si>
    <t>1817-03-09</t>
  </si>
  <si>
    <t>1868-06-03</t>
  </si>
  <si>
    <t>1870-06-02</t>
  </si>
  <si>
    <t>1879-12-13</t>
  </si>
  <si>
    <t>1823-11-02</t>
  </si>
  <si>
    <t>1885-09-01</t>
  </si>
  <si>
    <t>1842-07-02</t>
  </si>
  <si>
    <t>1796-10-13</t>
  </si>
  <si>
    <t>1845-07-28</t>
  </si>
  <si>
    <t>1875-10-25</t>
  </si>
  <si>
    <t>1860-07-11</t>
  </si>
  <si>
    <t>1877-05-24</t>
  </si>
  <si>
    <t>1836-06-17</t>
  </si>
  <si>
    <t>1855-06-30</t>
  </si>
  <si>
    <t>1819-09-23</t>
  </si>
  <si>
    <t>1827-09-27</t>
  </si>
  <si>
    <t>1830-10-15</t>
  </si>
  <si>
    <t>1878-04-04</t>
  </si>
  <si>
    <t>1852-02-21</t>
  </si>
  <si>
    <t>1860-12-08</t>
  </si>
  <si>
    <t>1866-04-22</t>
  </si>
  <si>
    <t>1824-06-06</t>
  </si>
  <si>
    <t>1834-12-20</t>
  </si>
  <si>
    <t>1837-05-27</t>
  </si>
  <si>
    <t>1857-02-17</t>
  </si>
  <si>
    <t>1867-11-03</t>
  </si>
  <si>
    <t>1842-02-02</t>
  </si>
  <si>
    <t>1891-04-27</t>
  </si>
  <si>
    <t>1853-06-03</t>
  </si>
  <si>
    <t>1875-07-01</t>
  </si>
  <si>
    <t>1824-06-30</t>
  </si>
  <si>
    <t>1850-10-05</t>
  </si>
  <si>
    <t>1863-10-16</t>
  </si>
  <si>
    <t>1891-07-11</t>
  </si>
  <si>
    <t>1852-08-03</t>
  </si>
  <si>
    <t>1860-09-23</t>
  </si>
  <si>
    <t>1841-07-16</t>
  </si>
  <si>
    <t>1867-05-02</t>
  </si>
  <si>
    <t>1881-08-06</t>
  </si>
  <si>
    <t>1854-12-23</t>
  </si>
  <si>
    <t>1869-01-05</t>
  </si>
  <si>
    <t>1883-03-22</t>
  </si>
  <si>
    <t>1882-09-18</t>
  </si>
  <si>
    <t>1864-12-29</t>
  </si>
  <si>
    <t>1850-09-22</t>
  </si>
  <si>
    <t>1815-07-18</t>
  </si>
  <si>
    <t>1842-11-18</t>
  </si>
  <si>
    <t>1818-03-04</t>
  </si>
  <si>
    <t>1879-08-03</t>
  </si>
  <si>
    <t>1888-07-19</t>
  </si>
  <si>
    <t>1839-11-05</t>
  </si>
  <si>
    <t>1825-09-01</t>
  </si>
  <si>
    <t>1847-11-13</t>
  </si>
  <si>
    <t>1860-10-13</t>
  </si>
  <si>
    <t>1893-01-09</t>
  </si>
  <si>
    <t>1875-07-15</t>
  </si>
  <si>
    <t>1883-07-12</t>
  </si>
  <si>
    <t>1883-11-23</t>
  </si>
  <si>
    <t>1897-07-31</t>
  </si>
  <si>
    <t>1890-12-02</t>
  </si>
  <si>
    <t>1827-01-15</t>
  </si>
  <si>
    <t>1811-07-16</t>
  </si>
  <si>
    <t>1874-06-05</t>
  </si>
  <si>
    <t>1838-05-20</t>
  </si>
  <si>
    <t>1893-04-29</t>
  </si>
  <si>
    <t>1840-09-26</t>
  </si>
  <si>
    <t>1891-03-27</t>
  </si>
  <si>
    <t>1846-07-22</t>
  </si>
  <si>
    <t>1865-10-22</t>
  </si>
  <si>
    <t>1825-01-10</t>
  </si>
  <si>
    <t>1833-12-08</t>
  </si>
  <si>
    <t>1835-03-23</t>
  </si>
  <si>
    <t>1836-03-18</t>
  </si>
  <si>
    <t>1864-07-15</t>
  </si>
  <si>
    <t>1848-03-13</t>
  </si>
  <si>
    <t>1863-05-17</t>
  </si>
  <si>
    <t>1873-09-03</t>
  </si>
  <si>
    <t>1879-07-18</t>
  </si>
  <si>
    <t>1887-12-25</t>
  </si>
  <si>
    <t>1830-11-26</t>
  </si>
  <si>
    <t>1825-12-22</t>
  </si>
  <si>
    <t>1868-02-12</t>
  </si>
  <si>
    <t>1849-02-18</t>
  </si>
  <si>
    <t>1868-05-13</t>
  </si>
  <si>
    <t>1873-08-28</t>
  </si>
  <si>
    <t>1833-12-21</t>
  </si>
  <si>
    <t>1878-08-24</t>
  </si>
  <si>
    <t>1869-01-31</t>
  </si>
  <si>
    <t>1851-04-01</t>
  </si>
  <si>
    <t>1825-02-15</t>
  </si>
  <si>
    <t>1847-04-02</t>
  </si>
  <si>
    <t>1869-09-12</t>
  </si>
  <si>
    <t>1861-09-08</t>
  </si>
  <si>
    <t>1871-02-18</t>
  </si>
  <si>
    <t>1841-09-01</t>
  </si>
  <si>
    <t>1868-07-01</t>
  </si>
  <si>
    <t>1868-09-11</t>
  </si>
  <si>
    <t>1826-11-19</t>
  </si>
  <si>
    <t>1807-11-03</t>
  </si>
  <si>
    <t>1843-03-08</t>
  </si>
  <si>
    <t>1857-01-26</t>
  </si>
  <si>
    <t>1822-01-12</t>
  </si>
  <si>
    <t>1857-01-27</t>
  </si>
  <si>
    <t>1821-07-23</t>
  </si>
  <si>
    <t>1839-08-14</t>
  </si>
  <si>
    <t>1844-01-02</t>
  </si>
  <si>
    <t>1871-05-29</t>
  </si>
  <si>
    <t>1872-09-02</t>
  </si>
  <si>
    <t>1882-04-26</t>
  </si>
  <si>
    <t>1823-12-29</t>
  </si>
  <si>
    <t>1883-09-24</t>
  </si>
  <si>
    <t>1880-11-01</t>
  </si>
  <si>
    <t>1878-07-04</t>
  </si>
  <si>
    <t>1873-04-05</t>
  </si>
  <si>
    <t>1871-06-10</t>
  </si>
  <si>
    <t>1828-11-22</t>
  </si>
  <si>
    <t>1881-04-09</t>
  </si>
  <si>
    <t>1864-04-06</t>
  </si>
  <si>
    <t>1834-09-07</t>
  </si>
  <si>
    <t>1859-02-10</t>
  </si>
  <si>
    <t>1850-08-01</t>
  </si>
  <si>
    <t>1844-12-19</t>
  </si>
  <si>
    <t>1861-07-10</t>
  </si>
  <si>
    <t>1850-12-04</t>
  </si>
  <si>
    <t>1876-01-16</t>
  </si>
  <si>
    <t>1829-09-18</t>
  </si>
  <si>
    <t>1846-03-15</t>
  </si>
  <si>
    <t>1881-10-07</t>
  </si>
  <si>
    <t>1830-10-14</t>
  </si>
  <si>
    <t>1857-06-20</t>
  </si>
  <si>
    <t>1880-01-25</t>
  </si>
  <si>
    <t>1839-03-15</t>
  </si>
  <si>
    <t>1869-07-20</t>
  </si>
  <si>
    <t>1843-04-14</t>
  </si>
  <si>
    <t>1873-01-22</t>
  </si>
  <si>
    <t>1885-08-21</t>
  </si>
  <si>
    <t>1865-01-28</t>
  </si>
  <si>
    <t>1887-06-09</t>
  </si>
  <si>
    <t>1897-09-01</t>
  </si>
  <si>
    <t>1870-11-25</t>
  </si>
  <si>
    <t>1893-03-15</t>
  </si>
  <si>
    <t>1824-03-17</t>
  </si>
  <si>
    <t>1849-07-19</t>
  </si>
  <si>
    <t>1836-12-08</t>
  </si>
  <si>
    <t>1868-06-10</t>
  </si>
  <si>
    <t>1872-06-03</t>
  </si>
  <si>
    <t>1849-10-12</t>
  </si>
  <si>
    <t>1863-01-15</t>
  </si>
  <si>
    <t>1868-02-16</t>
  </si>
  <si>
    <t>1876-04-24</t>
  </si>
  <si>
    <t>1896-09-05</t>
  </si>
  <si>
    <t>1879-09-12</t>
  </si>
  <si>
    <t>1839-01-26</t>
  </si>
  <si>
    <t>1855-11-23</t>
  </si>
  <si>
    <t>1853-05-09</t>
  </si>
  <si>
    <t>1869-06-27</t>
  </si>
  <si>
    <t>1842-04-24</t>
  </si>
  <si>
    <t>1846-05-23</t>
  </si>
  <si>
    <t>1809-03-01</t>
  </si>
  <si>
    <t>1883-01-17</t>
  </si>
  <si>
    <t>1897-01-02</t>
  </si>
  <si>
    <t>1820-10-01</t>
  </si>
  <si>
    <t>1898-08-12</t>
  </si>
  <si>
    <t>1844-11-10</t>
  </si>
  <si>
    <t>1874-11-23</t>
  </si>
  <si>
    <t>1857-10-07</t>
  </si>
  <si>
    <t>1858-03-27</t>
  </si>
  <si>
    <t>1890-11-20</t>
  </si>
  <si>
    <t>1838-01-05</t>
  </si>
  <si>
    <t>1864-05-08</t>
  </si>
  <si>
    <t>1889-08-19</t>
  </si>
  <si>
    <t>1877-11-27</t>
  </si>
  <si>
    <t>1850-12-16</t>
  </si>
  <si>
    <t>1829-06-02</t>
  </si>
  <si>
    <t>1818-02-14</t>
  </si>
  <si>
    <t>1823-08-27</t>
  </si>
  <si>
    <t>1851-08-09</t>
  </si>
  <si>
    <t>1812-03-20</t>
  </si>
  <si>
    <t>1824-05-21</t>
  </si>
  <si>
    <t>1859-12-27</t>
  </si>
  <si>
    <t>1823-05-27</t>
  </si>
  <si>
    <t>1843-09-29</t>
  </si>
  <si>
    <t>1828-08-28</t>
  </si>
  <si>
    <t>1892-04-19</t>
  </si>
  <si>
    <t>1882-07-03</t>
  </si>
  <si>
    <t>1814-08-01</t>
  </si>
  <si>
    <t>1856-12-17</t>
  </si>
  <si>
    <t>1888-08-05</t>
  </si>
  <si>
    <t>1838-06-05</t>
  </si>
  <si>
    <t>1849-11-24</t>
  </si>
  <si>
    <t>1849-03-19</t>
  </si>
  <si>
    <t>1869-06-02</t>
  </si>
  <si>
    <t>1839-12-09</t>
  </si>
  <si>
    <t>1853-11-18</t>
  </si>
  <si>
    <t>1837-04-08</t>
  </si>
  <si>
    <t>1854-10-10</t>
  </si>
  <si>
    <t>1844-04-26</t>
  </si>
  <si>
    <t>1846-10-09</t>
  </si>
  <si>
    <t>1871-03-22</t>
  </si>
  <si>
    <t>1843-03-25</t>
  </si>
  <si>
    <t>1833-02-28</t>
  </si>
  <si>
    <t>1846-11-10</t>
  </si>
  <si>
    <t>1838-07-19</t>
  </si>
  <si>
    <t>1834-02-23</t>
  </si>
  <si>
    <t>1851-10-21</t>
  </si>
  <si>
    <t>1865-02-17</t>
  </si>
  <si>
    <t>1876-01-23</t>
  </si>
  <si>
    <t>1859-10-10</t>
  </si>
  <si>
    <t>1849-06-06</t>
  </si>
  <si>
    <t>1882-01-09</t>
  </si>
  <si>
    <t>1821-08-29</t>
  </si>
  <si>
    <t>1868-06-23</t>
  </si>
  <si>
    <t>1823-03-27</t>
  </si>
  <si>
    <t>1860-10-15</t>
  </si>
  <si>
    <t>1886-03-01</t>
  </si>
  <si>
    <t>1855-02-04</t>
  </si>
  <si>
    <t>1857-11-10</t>
  </si>
  <si>
    <t>1837-06-14</t>
  </si>
  <si>
    <t>1873-01-04</t>
  </si>
  <si>
    <t>1876-10-04</t>
  </si>
  <si>
    <t>1897-08-19</t>
  </si>
  <si>
    <t>1873-10-08</t>
  </si>
  <si>
    <t>1882-04-05</t>
  </si>
  <si>
    <t>1876-04-19</t>
  </si>
  <si>
    <t>1887-10-31</t>
  </si>
  <si>
    <t>1881-10-15</t>
  </si>
  <si>
    <t>1847-03-10</t>
  </si>
  <si>
    <t>1861-08-31</t>
  </si>
  <si>
    <t>1876-05-11</t>
  </si>
  <si>
    <t>1846-05-17</t>
  </si>
  <si>
    <t>1870-01-26</t>
  </si>
  <si>
    <t>1821-11-21</t>
  </si>
  <si>
    <t>1837-05-17</t>
  </si>
  <si>
    <t>1855-01-07</t>
  </si>
  <si>
    <t>1835-03-12</t>
  </si>
  <si>
    <t>1828-12-12</t>
  </si>
  <si>
    <t>1851-12-16</t>
  </si>
  <si>
    <t>1885-08-06</t>
  </si>
  <si>
    <t>1865-05-03</t>
  </si>
  <si>
    <t>1884-07-12</t>
  </si>
  <si>
    <t>1850-03-01</t>
  </si>
  <si>
    <t>1843-08-14</t>
  </si>
  <si>
    <t>1898-03-04</t>
  </si>
  <si>
    <t>1861-02-04</t>
  </si>
  <si>
    <t>1847-12-18</t>
  </si>
  <si>
    <t>1883-08-01</t>
  </si>
  <si>
    <t>1863-11-07</t>
  </si>
  <si>
    <t>1873-02-28</t>
  </si>
  <si>
    <t>1890-09-17</t>
  </si>
  <si>
    <t>1861-06-03</t>
  </si>
  <si>
    <t>1852-06-29</t>
  </si>
  <si>
    <t>1862-09-26</t>
  </si>
  <si>
    <t>1869-12-29</t>
  </si>
  <si>
    <t>1871-01-28</t>
  </si>
  <si>
    <t>1880-08-05</t>
  </si>
  <si>
    <t>1815-11-17</t>
  </si>
  <si>
    <t>1899-09-17</t>
  </si>
  <si>
    <t>1872-05-19</t>
  </si>
  <si>
    <t>1864-09-27</t>
  </si>
  <si>
    <t>1875-04-28</t>
  </si>
  <si>
    <t>1872-11-23</t>
  </si>
  <si>
    <t>1834-10-06</t>
  </si>
  <si>
    <t>1847-03-01</t>
  </si>
  <si>
    <t>1859-03-27</t>
  </si>
  <si>
    <t>1884-09-24</t>
  </si>
  <si>
    <t>1888-07-23</t>
  </si>
  <si>
    <t>1853-04-27</t>
  </si>
  <si>
    <t>1854-05-13</t>
  </si>
  <si>
    <t>1867-02-15</t>
  </si>
  <si>
    <t>1865-07-03</t>
  </si>
  <si>
    <t>1824-03-13</t>
  </si>
  <si>
    <t>1861-08-05</t>
  </si>
  <si>
    <t>1890-05-13</t>
  </si>
  <si>
    <t>1860-02-13</t>
  </si>
  <si>
    <t>1881-07-18</t>
  </si>
  <si>
    <t>1844-10-25</t>
  </si>
  <si>
    <t>1879-12-08</t>
  </si>
  <si>
    <t>1836-08-02</t>
  </si>
  <si>
    <t>1875-12-18</t>
  </si>
  <si>
    <t>1837-07-29</t>
  </si>
  <si>
    <t>1894-12-26</t>
  </si>
  <si>
    <t>1824-03-11</t>
  </si>
  <si>
    <t>1820-08-08</t>
  </si>
  <si>
    <t>1863-08-19</t>
  </si>
  <si>
    <t>1844-10-21</t>
  </si>
  <si>
    <t>1867-12-27</t>
  </si>
  <si>
    <t>1816-08-30</t>
  </si>
  <si>
    <t>1824-01-10</t>
  </si>
  <si>
    <t>1880-04-05</t>
  </si>
  <si>
    <t>1858-03-03</t>
  </si>
  <si>
    <t>1868-01-25</t>
  </si>
  <si>
    <t>1892-04-08</t>
  </si>
  <si>
    <t>1858-11-19</t>
  </si>
  <si>
    <t>1859-08-04</t>
  </si>
  <si>
    <t>1843-03-06</t>
  </si>
  <si>
    <t>1887-08-30</t>
  </si>
  <si>
    <t>1855-02-20</t>
  </si>
  <si>
    <t>1813-12-30</t>
  </si>
  <si>
    <t>1847-08-26</t>
  </si>
  <si>
    <t>1863-04-08</t>
  </si>
  <si>
    <t>1855-12-28</t>
  </si>
  <si>
    <t>1859-01-23</t>
  </si>
  <si>
    <t>1876-01-01</t>
  </si>
  <si>
    <t>1833-11-26</t>
  </si>
  <si>
    <t>1889-01-20</t>
  </si>
  <si>
    <t>1871-03-12</t>
  </si>
  <si>
    <t>1812-02-19</t>
  </si>
  <si>
    <t>1862-01-06</t>
  </si>
  <si>
    <t>1835-10-10</t>
  </si>
  <si>
    <t>1876-05-13</t>
  </si>
  <si>
    <t>1828-11-17</t>
  </si>
  <si>
    <t>1853-04-03</t>
  </si>
  <si>
    <t>1833-09-11</t>
  </si>
  <si>
    <t>1862-02-07</t>
  </si>
  <si>
    <t>1840-08-27</t>
  </si>
  <si>
    <t>1849-06-27</t>
  </si>
  <si>
    <t>1852-09-12</t>
  </si>
  <si>
    <t>1848-09-21</t>
  </si>
  <si>
    <t>1881-04-24</t>
  </si>
  <si>
    <t>1878-01-24</t>
  </si>
  <si>
    <t>1816-07-04</t>
  </si>
  <si>
    <t>1857-09-06</t>
  </si>
  <si>
    <t>1873-01-20</t>
  </si>
  <si>
    <t>1845-08-31</t>
  </si>
  <si>
    <t>1853-06-24</t>
  </si>
  <si>
    <t>1863-08-11</t>
  </si>
  <si>
    <t>1883-05-27</t>
  </si>
  <si>
    <t>1840-07-20</t>
  </si>
  <si>
    <t>1852-05-23</t>
  </si>
  <si>
    <t>1840-02-22</t>
  </si>
  <si>
    <t>1862-10-31</t>
  </si>
  <si>
    <t>1880-03-19</t>
  </si>
  <si>
    <t>1810-03-18</t>
  </si>
  <si>
    <t>1844-10-20</t>
  </si>
  <si>
    <t>1830-07-16</t>
  </si>
  <si>
    <t>1866-09-22</t>
  </si>
  <si>
    <t>1863-12-05</t>
  </si>
  <si>
    <t>1868-08-11</t>
  </si>
  <si>
    <t>1809-02-01</t>
  </si>
  <si>
    <t>1844-06-30</t>
  </si>
  <si>
    <t>1864-11-14</t>
  </si>
  <si>
    <t>1843-01-07</t>
  </si>
  <si>
    <t>1852-08-14</t>
  </si>
  <si>
    <t>1845-12-05</t>
  </si>
  <si>
    <t>1844-03-10</t>
  </si>
  <si>
    <t>1821-09-05</t>
  </si>
  <si>
    <t>1866-07-22</t>
  </si>
  <si>
    <t>1893-11-09</t>
  </si>
  <si>
    <t>1817-03-21</t>
  </si>
  <si>
    <t>1859-07-25</t>
  </si>
  <si>
    <t>1826-11-12</t>
  </si>
  <si>
    <t>1831-08-30</t>
  </si>
  <si>
    <t>1845-09-06</t>
  </si>
  <si>
    <t>1896-03-11</t>
  </si>
  <si>
    <t>1822-05-02</t>
  </si>
  <si>
    <t>1878-01-29</t>
  </si>
  <si>
    <t>1876-11-26</t>
  </si>
  <si>
    <t>1887-08-02</t>
  </si>
  <si>
    <t>1876-10-22</t>
  </si>
  <si>
    <t>1869-02-04</t>
  </si>
  <si>
    <t>1867-10-17</t>
  </si>
  <si>
    <t>1839-04-01</t>
  </si>
  <si>
    <t>1822-05-20</t>
  </si>
  <si>
    <t>1830-12-04</t>
  </si>
  <si>
    <t>1864-01-10</t>
  </si>
  <si>
    <t>1883-02-03</t>
  </si>
  <si>
    <t>1871-01-29</t>
  </si>
  <si>
    <t>1875-12-23</t>
  </si>
  <si>
    <t>1873-04-12</t>
  </si>
  <si>
    <t>1875-09-11</t>
  </si>
  <si>
    <t>1873-08-04</t>
  </si>
  <si>
    <t>1843-10-09</t>
  </si>
  <si>
    <t>1845-01-13</t>
  </si>
  <si>
    <t>1860-06-14</t>
  </si>
  <si>
    <t>1881-11-21</t>
  </si>
  <si>
    <t>1811-10-21</t>
  </si>
  <si>
    <t>1848-04-02</t>
  </si>
  <si>
    <t>1843-02-02</t>
  </si>
  <si>
    <t>1869-08-20</t>
  </si>
  <si>
    <t>1881-05-13</t>
  </si>
  <si>
    <t>1877-11-30</t>
  </si>
  <si>
    <t>1882-02-16</t>
  </si>
  <si>
    <t>1863-07-11</t>
  </si>
  <si>
    <t>1839-02-08</t>
  </si>
  <si>
    <t>1835-08-31</t>
  </si>
  <si>
    <t>1854-12-16</t>
  </si>
  <si>
    <t>1862-09-21</t>
  </si>
  <si>
    <t>1869-09-11</t>
  </si>
  <si>
    <t>1879-05-22</t>
  </si>
  <si>
    <t>1853-02-12</t>
  </si>
  <si>
    <t>1874-02-04</t>
  </si>
  <si>
    <t>1812-12-04</t>
  </si>
  <si>
    <t>1859-08-29</t>
  </si>
  <si>
    <t>1849-05-04</t>
  </si>
  <si>
    <t>1813-10-29</t>
  </si>
  <si>
    <t>1846-06-23</t>
  </si>
  <si>
    <t>1870-08-13</t>
  </si>
  <si>
    <t>1873-02-04</t>
  </si>
  <si>
    <t>1873-02-24</t>
  </si>
  <si>
    <t>1843-06-18</t>
  </si>
  <si>
    <t>1841-03-18</t>
  </si>
  <si>
    <t>1867-09-09</t>
  </si>
  <si>
    <t>1872-04-24</t>
  </si>
  <si>
    <t>1858-02-18</t>
  </si>
  <si>
    <t>1870-11-29</t>
  </si>
  <si>
    <t>1875-10-21</t>
  </si>
  <si>
    <t>1847-08-24</t>
  </si>
  <si>
    <t>1819-04-25</t>
  </si>
  <si>
    <t>1845-03-14</t>
  </si>
  <si>
    <t>1879-11-06</t>
  </si>
  <si>
    <t>1832-01-20</t>
  </si>
  <si>
    <t>1835-07-07</t>
  </si>
  <si>
    <t>1825-05-23</t>
  </si>
  <si>
    <t>1847-05-13</t>
  </si>
  <si>
    <t>1885-07-05</t>
  </si>
  <si>
    <t>1852-11-10</t>
  </si>
  <si>
    <t>1866-03-13</t>
  </si>
  <si>
    <t>1892-02-05</t>
  </si>
  <si>
    <t>1815-04-03</t>
  </si>
  <si>
    <t>1836-04-05</t>
  </si>
  <si>
    <t>1836-04-15</t>
  </si>
  <si>
    <t>1873-02-01</t>
  </si>
  <si>
    <t>1842-10-11</t>
  </si>
  <si>
    <t>1870-09-30</t>
  </si>
  <si>
    <t>1888-10-08</t>
  </si>
  <si>
    <t>1891-11-09</t>
  </si>
  <si>
    <t>1879-12-23</t>
  </si>
  <si>
    <t>1845-08-03</t>
  </si>
  <si>
    <t>1843-05-20</t>
  </si>
  <si>
    <t>1857-09-14</t>
  </si>
  <si>
    <t>1887-09-27</t>
  </si>
  <si>
    <t>1889-06-07</t>
  </si>
  <si>
    <t>1870-08-04</t>
  </si>
  <si>
    <t>1861-04-02</t>
  </si>
  <si>
    <t>1843-06-22</t>
  </si>
  <si>
    <t>1887-09-21</t>
  </si>
  <si>
    <t>1836-06-03</t>
  </si>
  <si>
    <t>1856-11-24</t>
  </si>
  <si>
    <t>1871-01-09</t>
  </si>
  <si>
    <t>1872-02-24</t>
  </si>
  <si>
    <t>1818-05-11</t>
  </si>
  <si>
    <t>1878-05-19</t>
  </si>
  <si>
    <t>1873-11-01</t>
  </si>
  <si>
    <t>1857-04-30</t>
  </si>
  <si>
    <t>1858-08-22</t>
  </si>
  <si>
    <t>1875-11-24</t>
  </si>
  <si>
    <t>1881-11-07</t>
  </si>
  <si>
    <t>1895-12-01</t>
  </si>
  <si>
    <t>1815-02-22</t>
  </si>
  <si>
    <t>1857-04-05</t>
  </si>
  <si>
    <t>1812-06-21</t>
  </si>
  <si>
    <t>1868-10-07</t>
  </si>
  <si>
    <t>1843-11-11</t>
  </si>
  <si>
    <t>1872-08-29</t>
  </si>
  <si>
    <t>1831-03-21</t>
  </si>
  <si>
    <t>1842-01-20</t>
  </si>
  <si>
    <t>1874-10-18</t>
  </si>
  <si>
    <t>1887-12-06</t>
  </si>
  <si>
    <t>1885-05-02</t>
  </si>
  <si>
    <t>1873-09-30</t>
  </si>
  <si>
    <t>1864-06-17</t>
  </si>
  <si>
    <t>1868-10-06</t>
  </si>
  <si>
    <t>1851-01-08</t>
  </si>
  <si>
    <t>1884-06-21</t>
  </si>
  <si>
    <t>1827-10-30</t>
  </si>
  <si>
    <t>1871-04-22</t>
  </si>
  <si>
    <t>1821-04-17</t>
  </si>
  <si>
    <t>1866-01-19</t>
  </si>
  <si>
    <t>1836-03-29</t>
  </si>
  <si>
    <t>1879-06-09</t>
  </si>
  <si>
    <t>1825-07-08</t>
  </si>
  <si>
    <t>1844-12-21</t>
  </si>
  <si>
    <t>1872-08-21</t>
  </si>
  <si>
    <t>1843-07-23</t>
  </si>
  <si>
    <t>1863-06-14</t>
  </si>
  <si>
    <t>1849-06-11</t>
  </si>
  <si>
    <t>1857-08-10</t>
  </si>
  <si>
    <t>1848-04-09</t>
  </si>
  <si>
    <t>1862-03-17</t>
  </si>
  <si>
    <t>1854-09-06</t>
  </si>
  <si>
    <t>1846-02-24</t>
  </si>
  <si>
    <t>1875-05-17</t>
  </si>
  <si>
    <t>1864-11-26</t>
  </si>
  <si>
    <t>1860-06-27</t>
  </si>
  <si>
    <t>1820-02-25</t>
  </si>
  <si>
    <t>1882-08-08</t>
  </si>
  <si>
    <t>1841-10-02</t>
  </si>
  <si>
    <t>1867-03-09</t>
  </si>
  <si>
    <t>1850-01-12</t>
  </si>
  <si>
    <t>1813-08-09</t>
  </si>
  <si>
    <t>1844-02-04</t>
  </si>
  <si>
    <t>1870-09-24</t>
  </si>
  <si>
    <t>1891-12-30</t>
  </si>
  <si>
    <t>1881-05-31</t>
  </si>
  <si>
    <t>1866-10-19</t>
  </si>
  <si>
    <t>1828-07-06</t>
  </si>
  <si>
    <t>1889-06-27</t>
  </si>
  <si>
    <t>1838-08-06</t>
  </si>
  <si>
    <t>1891-09-12</t>
  </si>
  <si>
    <t>1883-07-25</t>
  </si>
  <si>
    <t>1838-02-22</t>
  </si>
  <si>
    <t>1876-11-16</t>
  </si>
  <si>
    <t>1854-03-07</t>
  </si>
  <si>
    <t>1887-03-08</t>
  </si>
  <si>
    <t>1866-06-04</t>
  </si>
  <si>
    <t>1892-05-05</t>
  </si>
  <si>
    <t>1836-01-08</t>
  </si>
  <si>
    <t>1827-10-20</t>
  </si>
  <si>
    <t>1817-10-20</t>
  </si>
  <si>
    <t>1888-12-23</t>
  </si>
  <si>
    <t>1821-04-15</t>
  </si>
  <si>
    <t>1813-03-13</t>
  </si>
  <si>
    <t>1864-04-08</t>
  </si>
  <si>
    <t>1814-06-28</t>
  </si>
  <si>
    <t>1847-04-12</t>
  </si>
  <si>
    <t>1840-01-07</t>
  </si>
  <si>
    <t>1840-06-07</t>
  </si>
  <si>
    <t>1864-09-09</t>
  </si>
  <si>
    <t>1877-06-01</t>
  </si>
  <si>
    <t>1826-11-30</t>
  </si>
  <si>
    <t>1832-11-20</t>
  </si>
  <si>
    <t>1853-05-01</t>
  </si>
  <si>
    <t>1870-08-02</t>
  </si>
  <si>
    <t>1883-04-08</t>
  </si>
  <si>
    <t>1885-01-05</t>
  </si>
  <si>
    <t>1880-07-15</t>
  </si>
  <si>
    <t>1890-11-19</t>
  </si>
  <si>
    <t>1897-08-16</t>
  </si>
  <si>
    <t>1858-10-21</t>
  </si>
  <si>
    <t>1861-08-08</t>
  </si>
  <si>
    <t>1863-11-01</t>
  </si>
  <si>
    <t>1878-01-13</t>
  </si>
  <si>
    <t>1842-10-13</t>
  </si>
  <si>
    <t>1814-11-07</t>
  </si>
  <si>
    <t>1822-02-02</t>
  </si>
  <si>
    <t>1876-10-26</t>
  </si>
  <si>
    <t>1855-10-14</t>
  </si>
  <si>
    <t>1867-04-23</t>
  </si>
  <si>
    <t>1848-10-23</t>
  </si>
  <si>
    <t>1837-07-26</t>
  </si>
  <si>
    <t>1816-07-30</t>
  </si>
  <si>
    <t>1849-04-09</t>
  </si>
  <si>
    <t>1880-06-17</t>
  </si>
  <si>
    <t>1870-10-02</t>
  </si>
  <si>
    <t>1890-07-01</t>
  </si>
  <si>
    <t>1846-03-24</t>
  </si>
  <si>
    <t>1815-12-30</t>
  </si>
  <si>
    <t>1858-11-28</t>
  </si>
  <si>
    <t>1863-09-03</t>
  </si>
  <si>
    <t>1885-02-14</t>
  </si>
  <si>
    <t>1823-07-01</t>
  </si>
  <si>
    <t>1845-02-04</t>
  </si>
  <si>
    <t>1857-04-27</t>
  </si>
  <si>
    <t>1861-03-01</t>
  </si>
  <si>
    <t>1877-12-04</t>
  </si>
  <si>
    <t>1838-01-03</t>
  </si>
  <si>
    <t>1846-03-30</t>
  </si>
  <si>
    <t>1857-11-03</t>
  </si>
  <si>
    <t>1825-05-28</t>
  </si>
  <si>
    <t>1820-09-02</t>
  </si>
  <si>
    <t>1875-07-05</t>
  </si>
  <si>
    <t>1880-12-09</t>
  </si>
  <si>
    <t>1875-03-23</t>
  </si>
  <si>
    <t>1846-10-03</t>
  </si>
  <si>
    <t>1860-10-08</t>
  </si>
  <si>
    <t>1856-02-26</t>
  </si>
  <si>
    <t>1873-06-02</t>
  </si>
  <si>
    <t>1863-02-06</t>
  </si>
  <si>
    <t>1891-09-07</t>
  </si>
  <si>
    <t>1829-10-02</t>
  </si>
  <si>
    <t>1889-04-06</t>
  </si>
  <si>
    <t>1821-04-23</t>
  </si>
  <si>
    <t>1879-01-31</t>
  </si>
  <si>
    <t>1853-09-30</t>
  </si>
  <si>
    <t>1870-10-24</t>
  </si>
  <si>
    <t>1819-07-03</t>
  </si>
  <si>
    <t>1852-03-18</t>
  </si>
  <si>
    <t>1834-08-16</t>
  </si>
  <si>
    <t>1879-01-23</t>
  </si>
  <si>
    <t>1851-04-24</t>
  </si>
  <si>
    <t>1847-01-07</t>
  </si>
  <si>
    <t>1832-03-05</t>
  </si>
  <si>
    <t>1832-03-10</t>
  </si>
  <si>
    <t>1852-04-26</t>
  </si>
  <si>
    <t>1878-06-04</t>
  </si>
  <si>
    <t>1882-04-10</t>
  </si>
  <si>
    <t>1885-04-24</t>
  </si>
  <si>
    <t>1849-12-01</t>
  </si>
  <si>
    <t>1832-04-30</t>
  </si>
  <si>
    <t>1839-07-23</t>
  </si>
  <si>
    <t>1823-11-07</t>
  </si>
  <si>
    <t>1851-05-01</t>
  </si>
  <si>
    <t>1852-05-01</t>
  </si>
  <si>
    <t>1874-05-02</t>
  </si>
  <si>
    <t>1861-07-06</t>
  </si>
  <si>
    <t>1863-06-21</t>
  </si>
  <si>
    <t>1856-04-20</t>
  </si>
  <si>
    <t>1854-03-17</t>
  </si>
  <si>
    <t>1863-11-04</t>
  </si>
  <si>
    <t>1878-08-21</t>
  </si>
  <si>
    <t>1885-01-16</t>
  </si>
  <si>
    <t>1810-10-04</t>
  </si>
  <si>
    <t>1883-12-15</t>
  </si>
  <si>
    <t>1860-01-19</t>
  </si>
  <si>
    <t>1887-10-25</t>
  </si>
  <si>
    <t>1871-06-22</t>
  </si>
  <si>
    <t>1838-11-29</t>
  </si>
  <si>
    <t>1890-03-15</t>
  </si>
  <si>
    <t>1840-05-29</t>
  </si>
  <si>
    <t>1865-07-08</t>
  </si>
  <si>
    <t>1851-01-15</t>
  </si>
  <si>
    <t>1841-11-29</t>
  </si>
  <si>
    <t>1892-01-24</t>
  </si>
  <si>
    <t>1884-03-15</t>
  </si>
  <si>
    <t>1856-04-18</t>
  </si>
  <si>
    <t>1866-06-05</t>
  </si>
  <si>
    <t>1856-04-24</t>
  </si>
  <si>
    <t>1870-04-16</t>
  </si>
  <si>
    <t>1837-06-03</t>
  </si>
  <si>
    <t>1879-12-03</t>
  </si>
  <si>
    <t>1885-10-07</t>
  </si>
  <si>
    <t>1868-03-25</t>
  </si>
  <si>
    <t>1884-03-31</t>
  </si>
  <si>
    <t>1854-04-15</t>
  </si>
  <si>
    <t>1852-02-05</t>
  </si>
  <si>
    <t>1843-12-06</t>
  </si>
  <si>
    <t>1855-07-23</t>
  </si>
  <si>
    <t>1861-10-18</t>
  </si>
  <si>
    <t>1861-12-03</t>
  </si>
  <si>
    <t>1859-05-12</t>
  </si>
  <si>
    <t>1859-08-02</t>
  </si>
  <si>
    <t>1838-12-02</t>
  </si>
  <si>
    <t>1862-04-13</t>
  </si>
  <si>
    <t>1875-04-20</t>
  </si>
  <si>
    <t>1838-11-08</t>
  </si>
  <si>
    <t>1866-06-02</t>
  </si>
  <si>
    <t>1888-03-17</t>
  </si>
  <si>
    <t>1879-12-05</t>
  </si>
  <si>
    <t>1883-09-19</t>
  </si>
  <si>
    <t>1809-01-26</t>
  </si>
  <si>
    <t>1878-04-18</t>
  </si>
  <si>
    <t>1883-01-26</t>
  </si>
  <si>
    <t>1897-10-12</t>
  </si>
  <si>
    <t>1805-07-09</t>
  </si>
  <si>
    <t>1809-11-25</t>
  </si>
  <si>
    <t>1831-12-20</t>
  </si>
  <si>
    <t>1828-11-19</t>
  </si>
  <si>
    <t>1854-03-05</t>
  </si>
  <si>
    <t>1832-04-09</t>
  </si>
  <si>
    <t>1834-03-15</t>
  </si>
  <si>
    <t>1823-08-16</t>
  </si>
  <si>
    <t>1827-08-17</t>
  </si>
  <si>
    <t>1828-09-07</t>
  </si>
  <si>
    <t>1859-11-11</t>
  </si>
  <si>
    <t>1884-04-09</t>
  </si>
  <si>
    <t>1878-06-01</t>
  </si>
  <si>
    <t>1822-06-01</t>
  </si>
  <si>
    <t>1861-07-18</t>
  </si>
  <si>
    <t>1882-12-01</t>
  </si>
  <si>
    <t>1893-10-18</t>
  </si>
  <si>
    <t>1850-11-09</t>
  </si>
  <si>
    <t>1850-03-19</t>
  </si>
  <si>
    <t>1844-02-18</t>
  </si>
  <si>
    <t>1840-02-26</t>
  </si>
  <si>
    <t>1840-07-26</t>
  </si>
  <si>
    <t>1869-12-23</t>
  </si>
  <si>
    <t>1844-07-25</t>
  </si>
  <si>
    <t>1860-11-05</t>
  </si>
  <si>
    <t>1883-08-11</t>
  </si>
  <si>
    <t>1837-08-24</t>
  </si>
  <si>
    <t>1873-06-14</t>
  </si>
  <si>
    <t>1845-04-29</t>
  </si>
  <si>
    <t>1852-04-05</t>
  </si>
  <si>
    <t>1871-09-05</t>
  </si>
  <si>
    <t>1849-01-27</t>
  </si>
  <si>
    <t>1836-03-17</t>
  </si>
  <si>
    <t>1843-06-19</t>
  </si>
  <si>
    <t>1855-01-22</t>
  </si>
  <si>
    <t>1867-02-16</t>
  </si>
  <si>
    <t>1873-06-13</t>
  </si>
  <si>
    <t>1882-12-29</t>
  </si>
  <si>
    <t>1835-02-04</t>
  </si>
  <si>
    <t>1871-12-26</t>
  </si>
  <si>
    <t>1888-02-10</t>
  </si>
  <si>
    <t>1891-09-11</t>
  </si>
  <si>
    <t>1856-09-30</t>
  </si>
  <si>
    <t>1860-07-03</t>
  </si>
  <si>
    <t>1896-03-31</t>
  </si>
  <si>
    <t>1836-01-12</t>
  </si>
  <si>
    <t>1836-03-16</t>
  </si>
  <si>
    <t>1861-06-14</t>
  </si>
  <si>
    <t>1812-04-12</t>
  </si>
  <si>
    <t>1850-02-13</t>
  </si>
  <si>
    <t>1871-12-19</t>
  </si>
  <si>
    <t>1868-04-27</t>
  </si>
  <si>
    <t>1839-10-11</t>
  </si>
  <si>
    <t>1839-09-24</t>
  </si>
  <si>
    <t>1844-02-24</t>
  </si>
  <si>
    <t>1874-12-29</t>
  </si>
  <si>
    <t>1845-12-30</t>
  </si>
  <si>
    <t>1867-08-29</t>
  </si>
  <si>
    <t>1873-11-09</t>
  </si>
  <si>
    <t>1851-01-21</t>
  </si>
  <si>
    <t>1842-02-17</t>
  </si>
  <si>
    <t>1866-09-16</t>
  </si>
  <si>
    <t>1851-01-30</t>
  </si>
  <si>
    <t>1828-02-26</t>
  </si>
  <si>
    <t>1891-04-24</t>
  </si>
  <si>
    <t>1834-07-12</t>
  </si>
  <si>
    <t>1836-07-13</t>
  </si>
  <si>
    <t>1838-10-04</t>
  </si>
  <si>
    <t>1845-04-05</t>
  </si>
  <si>
    <t>1844-11-11</t>
  </si>
  <si>
    <t>1829-05-15</t>
  </si>
  <si>
    <t>1865-04-09</t>
  </si>
  <si>
    <t>1858-10-06</t>
  </si>
  <si>
    <t>1866-06-16</t>
  </si>
  <si>
    <t>1845-12-11</t>
  </si>
  <si>
    <t>1875-03-18</t>
  </si>
  <si>
    <t>1891-05-23</t>
  </si>
  <si>
    <t>1831-10-30</t>
  </si>
  <si>
    <t>1869-01-06</t>
  </si>
  <si>
    <t>1881-01-27</t>
  </si>
  <si>
    <t>1814-07-12</t>
  </si>
  <si>
    <t>1832-04-26</t>
  </si>
  <si>
    <t>1879-10-24</t>
  </si>
  <si>
    <t>1885-10-04</t>
  </si>
  <si>
    <t>1822-03-01</t>
  </si>
  <si>
    <t>1860-09-19</t>
  </si>
  <si>
    <t>1842-02-07</t>
  </si>
  <si>
    <t>1828-04-04</t>
  </si>
  <si>
    <t>1839-03-17</t>
  </si>
  <si>
    <t>1849-08-26</t>
  </si>
  <si>
    <t>1880-09-03</t>
  </si>
  <si>
    <t>1869-02-11</t>
  </si>
  <si>
    <t>1829-05-29</t>
  </si>
  <si>
    <t>1846-02-22</t>
  </si>
  <si>
    <t>1856-07-14</t>
  </si>
  <si>
    <t>1864-04-18</t>
  </si>
  <si>
    <t>1874-02-15</t>
  </si>
  <si>
    <t>1889-12-28</t>
  </si>
  <si>
    <t>1894-03-03</t>
  </si>
  <si>
    <t>1837-11-13</t>
  </si>
  <si>
    <t>1862-10-13</t>
  </si>
  <si>
    <t>1883-07-15</t>
  </si>
  <si>
    <t>1862-05-12</t>
  </si>
  <si>
    <t>1886-09-01</t>
  </si>
  <si>
    <t>1868-10-15</t>
  </si>
  <si>
    <t>1833-03-06</t>
  </si>
  <si>
    <t>1879-04-20</t>
  </si>
  <si>
    <t>1827-04-09</t>
  </si>
  <si>
    <t>1861-05-14</t>
  </si>
  <si>
    <t>1835-12-13</t>
  </si>
  <si>
    <t>1870-12-17</t>
  </si>
  <si>
    <t>1869-09-30</t>
  </si>
  <si>
    <t>1870-09-15</t>
  </si>
  <si>
    <t>1838-03-07</t>
  </si>
  <si>
    <t>1825-03-18</t>
  </si>
  <si>
    <t>1870-01-30</t>
  </si>
  <si>
    <t>1837-12-18</t>
  </si>
  <si>
    <t>1840-01-10</t>
  </si>
  <si>
    <t>1849-05-18</t>
  </si>
  <si>
    <t>1870-05-20</t>
  </si>
  <si>
    <t>1836-05-25</t>
  </si>
  <si>
    <t>1832-07-15</t>
  </si>
  <si>
    <t>1851-09-16</t>
  </si>
  <si>
    <t>1876-05-14</t>
  </si>
  <si>
    <t>1895-08-19</t>
  </si>
  <si>
    <t>1817-07-08</t>
  </si>
  <si>
    <t>1888-11-03</t>
  </si>
  <si>
    <t>1867-07-08</t>
  </si>
  <si>
    <t>1810-09-29</t>
  </si>
  <si>
    <t>1821-01-22</t>
  </si>
  <si>
    <t>1839-05-21</t>
  </si>
  <si>
    <t>1814-01-28</t>
  </si>
  <si>
    <t>1849-01-13</t>
  </si>
  <si>
    <t>1878-09-07</t>
  </si>
  <si>
    <t>1884-07-11</t>
  </si>
  <si>
    <t>1875-04-12</t>
  </si>
  <si>
    <t>1821-06-04</t>
  </si>
  <si>
    <t>1821-03-30</t>
  </si>
  <si>
    <t>1877-07-22</t>
  </si>
  <si>
    <t>1880-08-16</t>
  </si>
  <si>
    <t>1836-07-02</t>
  </si>
  <si>
    <t>1841-05-22</t>
  </si>
  <si>
    <t>1850-10-29</t>
  </si>
  <si>
    <t>1865-12-09</t>
  </si>
  <si>
    <t>1871-06-03</t>
  </si>
  <si>
    <t>1895-06-29</t>
  </si>
  <si>
    <t>1831-01-31</t>
  </si>
  <si>
    <t>1814-04-08</t>
  </si>
  <si>
    <t>1833-03-27</t>
  </si>
  <si>
    <t>1877-10-08</t>
  </si>
  <si>
    <t>1881-09-14</t>
  </si>
  <si>
    <t>1837-07-01</t>
  </si>
  <si>
    <t>1868-01-08</t>
  </si>
  <si>
    <t>1847-05-20</t>
  </si>
  <si>
    <t>1842-07-31</t>
  </si>
  <si>
    <t>1852-07-11</t>
  </si>
  <si>
    <t>1868-08-14</t>
  </si>
  <si>
    <t>1886-11-28</t>
  </si>
  <si>
    <t>1852-03-27</t>
  </si>
  <si>
    <t>1831-07-07</t>
  </si>
  <si>
    <t>1831-02-03</t>
  </si>
  <si>
    <t>1869-12-30</t>
  </si>
  <si>
    <t>1869-09-17</t>
  </si>
  <si>
    <t>1879-04-04</t>
  </si>
  <si>
    <t>1858-06-07</t>
  </si>
  <si>
    <t>1867-09-13</t>
  </si>
  <si>
    <t>1831-01-07</t>
  </si>
  <si>
    <t>1833-05-07</t>
  </si>
  <si>
    <t>1852-02-07</t>
  </si>
  <si>
    <t>1875-11-10</t>
  </si>
  <si>
    <t>1879-03-27</t>
  </si>
  <si>
    <t>1880-02-25</t>
  </si>
  <si>
    <t>1883-03-25</t>
  </si>
  <si>
    <t>1827-01-29</t>
  </si>
  <si>
    <t>1880-10-16</t>
  </si>
  <si>
    <t>1806-05-11</t>
  </si>
  <si>
    <t>1828-04-11</t>
  </si>
  <si>
    <t>1856-12-28</t>
  </si>
  <si>
    <t>1849-03-02</t>
  </si>
  <si>
    <t>1859-09-25</t>
  </si>
  <si>
    <t>1833-02-04</t>
  </si>
  <si>
    <t>1833-06-24</t>
  </si>
  <si>
    <t>1864-10-21</t>
  </si>
  <si>
    <t>1853-04-02</t>
  </si>
  <si>
    <t>1842-01-30</t>
  </si>
  <si>
    <t>1892-08-26</t>
  </si>
  <si>
    <t>1833-10-23</t>
  </si>
  <si>
    <t>1860-04-08</t>
  </si>
  <si>
    <t>1855-08-14</t>
  </si>
  <si>
    <t>1872-08-22</t>
  </si>
  <si>
    <t>1860-05-29</t>
  </si>
  <si>
    <t>1823-04-25</t>
  </si>
  <si>
    <t>1875-10-06</t>
  </si>
  <si>
    <t>1855-06-27</t>
  </si>
  <si>
    <t>1845-12-15</t>
  </si>
  <si>
    <t>1871-11-09</t>
  </si>
  <si>
    <t>1823-07-14</t>
  </si>
  <si>
    <t>1831-10-06</t>
  </si>
  <si>
    <t>1849-01-30</t>
  </si>
  <si>
    <t>1879-02-25</t>
  </si>
  <si>
    <t>1877-12-13</t>
  </si>
  <si>
    <t>1863-10-12</t>
  </si>
  <si>
    <t>1845-08-29</t>
  </si>
  <si>
    <t>1881-05-28</t>
  </si>
  <si>
    <t>1854-04-05</t>
  </si>
  <si>
    <t>1860-01-26</t>
  </si>
  <si>
    <t>1822-07-05</t>
  </si>
  <si>
    <t>1835-08-24</t>
  </si>
  <si>
    <t>1816-07-27</t>
  </si>
  <si>
    <t>1890-02-28</t>
  </si>
  <si>
    <t>1850-12-09</t>
  </si>
  <si>
    <t>1840-07-05</t>
  </si>
  <si>
    <t>1870-02-20</t>
  </si>
  <si>
    <t>1829-05-25</t>
  </si>
  <si>
    <t>1842-04-17</t>
  </si>
  <si>
    <t>1850-11-16</t>
  </si>
  <si>
    <t>1875-04-23</t>
  </si>
  <si>
    <t>1848-01-28</t>
  </si>
  <si>
    <t>1860-07-22</t>
  </si>
  <si>
    <t>1865-06-29</t>
  </si>
  <si>
    <t>1870-10-11</t>
  </si>
  <si>
    <t>1871-10-26</t>
  </si>
  <si>
    <t>1855-11-14</t>
  </si>
  <si>
    <t>1818-08-26</t>
  </si>
  <si>
    <t>1847-02-21</t>
  </si>
  <si>
    <t>1865-09-22</t>
  </si>
  <si>
    <t>1873-02-17</t>
  </si>
  <si>
    <t>1875-07-29</t>
  </si>
  <si>
    <t>1882-03-12</t>
  </si>
  <si>
    <t>1887-06-16</t>
  </si>
  <si>
    <t>1825-10-01</t>
  </si>
  <si>
    <t>1833-11-29</t>
  </si>
  <si>
    <t>1870-05-17</t>
  </si>
  <si>
    <t>1843-06-11</t>
  </si>
  <si>
    <t>1865-06-05</t>
  </si>
  <si>
    <t>1826-09-25</t>
  </si>
  <si>
    <t>1893-07-24</t>
  </si>
  <si>
    <t>1889-12-31</t>
  </si>
  <si>
    <t>1843-07-09</t>
  </si>
  <si>
    <t>1876-02-22</t>
  </si>
  <si>
    <t>1869-08-16</t>
  </si>
  <si>
    <t>1833-07-03</t>
  </si>
  <si>
    <t>1851-06-10</t>
  </si>
  <si>
    <t>1839-10-18</t>
  </si>
  <si>
    <t>1878-05-13</t>
  </si>
  <si>
    <t>1831-12-30</t>
  </si>
  <si>
    <t>1855-08-09</t>
  </si>
  <si>
    <t>1851-03-10</t>
  </si>
  <si>
    <t>1885-05-03</t>
  </si>
  <si>
    <t>1889-05-14</t>
  </si>
  <si>
    <t>1870-12-25</t>
  </si>
  <si>
    <t>1856-10-09</t>
  </si>
  <si>
    <t>1846-06-08</t>
  </si>
  <si>
    <t>1887-09-06</t>
  </si>
  <si>
    <t>1849-11-15</t>
  </si>
  <si>
    <t>1842-02-11</t>
  </si>
  <si>
    <t>1852-09-09</t>
  </si>
  <si>
    <t>1810-07-29</t>
  </si>
  <si>
    <t>1838-12-03</t>
  </si>
  <si>
    <t>1896-03-19</t>
  </si>
  <si>
    <t>1840-04-15</t>
  </si>
  <si>
    <t>1831-09-14</t>
  </si>
  <si>
    <t>1871-04-15</t>
  </si>
  <si>
    <t>1829-06-01</t>
  </si>
  <si>
    <t>1854-03-09</t>
  </si>
  <si>
    <t>1868-04-23</t>
  </si>
  <si>
    <t>1826-09-13</t>
  </si>
  <si>
    <t>1867-04-26</t>
  </si>
  <si>
    <t>1829-02-25</t>
  </si>
  <si>
    <t>1857-07-18</t>
  </si>
  <si>
    <t>1890-05-30</t>
  </si>
  <si>
    <t>1879-08-10</t>
  </si>
  <si>
    <t>1858-09-04</t>
  </si>
  <si>
    <t>1848-03-21</t>
  </si>
  <si>
    <t>1829-05-31</t>
  </si>
  <si>
    <t>1891-02-22</t>
  </si>
  <si>
    <t>1860-05-19</t>
  </si>
  <si>
    <t>1876-05-20</t>
  </si>
  <si>
    <t>1815-01-15</t>
  </si>
  <si>
    <t>1865-11-07</t>
  </si>
  <si>
    <t>1848-02-07</t>
  </si>
  <si>
    <t>1855-03-27</t>
  </si>
  <si>
    <t>1845-06-14</t>
  </si>
  <si>
    <t>1873-04-03</t>
  </si>
  <si>
    <t>1848-11-04</t>
  </si>
  <si>
    <t>1857-10-30</t>
  </si>
  <si>
    <t>1876-10-28</t>
  </si>
  <si>
    <t>1854-06-14</t>
  </si>
  <si>
    <t>1869-09-22</t>
  </si>
  <si>
    <t>1872-07-28</t>
  </si>
  <si>
    <t>1893-08-01</t>
  </si>
  <si>
    <t>1822-10-18</t>
  </si>
  <si>
    <t>1840-10-15</t>
  </si>
  <si>
    <t>1888-10-20</t>
  </si>
  <si>
    <t>1846-03-22</t>
  </si>
  <si>
    <t>1844-12-06</t>
  </si>
  <si>
    <t>1869-03-21</t>
  </si>
  <si>
    <t>1860-11-07</t>
  </si>
  <si>
    <t>1852-02-18</t>
  </si>
  <si>
    <t>1844-07-19</t>
  </si>
  <si>
    <t>1821-05-29</t>
  </si>
  <si>
    <t>1845-09-21</t>
  </si>
  <si>
    <t>1866-09-17</t>
  </si>
  <si>
    <t>1893-10-04</t>
  </si>
  <si>
    <t>1871-08-24</t>
  </si>
  <si>
    <t>1815-04-08</t>
  </si>
  <si>
    <t>1833-02-11</t>
  </si>
  <si>
    <t>1852-09-23</t>
  </si>
  <si>
    <t>1872-07-18</t>
  </si>
  <si>
    <t>1872-11-16</t>
  </si>
  <si>
    <t>1874-07-06</t>
  </si>
  <si>
    <t>1840-12-10</t>
  </si>
  <si>
    <t>1851-05-19</t>
  </si>
  <si>
    <t>1868-10-29</t>
  </si>
  <si>
    <t>1804-07-22</t>
  </si>
  <si>
    <t>1867-11-26</t>
  </si>
  <si>
    <t>1886-06-29</t>
  </si>
  <si>
    <t>1898-03-03</t>
  </si>
  <si>
    <t>1822-01-22</t>
  </si>
  <si>
    <t>1844-05-01</t>
  </si>
  <si>
    <t>1807-11-02</t>
  </si>
  <si>
    <t>1846-06-04</t>
  </si>
  <si>
    <t>1865-06-15</t>
  </si>
  <si>
    <t>1822-08-25</t>
  </si>
  <si>
    <t>1896-07-11</t>
  </si>
  <si>
    <t>1854-05-10</t>
  </si>
  <si>
    <t>1883-12-22</t>
  </si>
  <si>
    <t>1885-11-06</t>
  </si>
  <si>
    <t>1872-12-21</t>
  </si>
  <si>
    <t>1862-10-19</t>
  </si>
  <si>
    <t>1863-11-18</t>
  </si>
  <si>
    <t>1865-01-13</t>
  </si>
  <si>
    <t>1826-02-20</t>
  </si>
  <si>
    <t>1835-01-24</t>
  </si>
  <si>
    <t>1889-05-07</t>
  </si>
  <si>
    <t>1869-03-02</t>
  </si>
  <si>
    <t>1868-10-11</t>
  </si>
  <si>
    <t>1820-07-12</t>
  </si>
  <si>
    <t>1873-08-17</t>
  </si>
  <si>
    <t>1845-03-25</t>
  </si>
  <si>
    <t>1875-03-04</t>
  </si>
  <si>
    <t>1857-01-21</t>
  </si>
  <si>
    <t>1857-01-24</t>
  </si>
  <si>
    <t>1850-01-11</t>
  </si>
  <si>
    <t>1840-02-10</t>
  </si>
  <si>
    <t>1845-04-17</t>
  </si>
  <si>
    <t>1885-08-20</t>
  </si>
  <si>
    <t>1853-07-06</t>
  </si>
  <si>
    <t>1866-10-25</t>
  </si>
  <si>
    <t>1859-08-01</t>
  </si>
  <si>
    <t>1847-05-21</t>
  </si>
  <si>
    <t>1856-09-14</t>
  </si>
  <si>
    <t>1848-04-05</t>
  </si>
  <si>
    <t>1837-02-12</t>
  </si>
  <si>
    <t>1850-04-19</t>
  </si>
  <si>
    <t>1840-08-03</t>
  </si>
  <si>
    <t>1885-04-26</t>
  </si>
  <si>
    <t>1875-07-14</t>
  </si>
  <si>
    <t>1829-10-12</t>
  </si>
  <si>
    <t>1896-07-21</t>
  </si>
  <si>
    <t>1837-08-06</t>
  </si>
  <si>
    <t>1842-05-27</t>
  </si>
  <si>
    <t>1874-05-20</t>
  </si>
  <si>
    <t>1886-06-14</t>
  </si>
  <si>
    <t>1858-05-17</t>
  </si>
  <si>
    <t>1867-09-25</t>
  </si>
  <si>
    <t>1865-10-05</t>
  </si>
  <si>
    <t>1824-04-20</t>
  </si>
  <si>
    <t>1878-09-19</t>
  </si>
  <si>
    <t>1850-04-15</t>
  </si>
  <si>
    <t>1861-01-27</t>
  </si>
  <si>
    <t>1835-05-14</t>
  </si>
  <si>
    <t>1843-02-17</t>
  </si>
  <si>
    <t>1844-10-27</t>
  </si>
  <si>
    <t>1870-07-03</t>
  </si>
  <si>
    <t>1878-09-11</t>
  </si>
  <si>
    <t>1862-07-20</t>
  </si>
  <si>
    <t>1821-12-01</t>
  </si>
  <si>
    <t>1818-09-03</t>
  </si>
  <si>
    <t>1841-01-05</t>
  </si>
  <si>
    <t>1828-04-19</t>
  </si>
  <si>
    <t>1859-07-12</t>
  </si>
  <si>
    <t>1828-11-03</t>
  </si>
  <si>
    <t>1819-02-11</t>
  </si>
  <si>
    <t>1863-04-14</t>
  </si>
  <si>
    <t>1818-04-09</t>
  </si>
  <si>
    <t>1830-11-17</t>
  </si>
  <si>
    <t>1831-08-19</t>
  </si>
  <si>
    <t>1845-03-05</t>
  </si>
  <si>
    <t>1871-03-06</t>
  </si>
  <si>
    <t>1870-01-01</t>
  </si>
  <si>
    <t>1820-02-11</t>
  </si>
  <si>
    <t>1852-10-16</t>
  </si>
  <si>
    <t>1828-09-01</t>
  </si>
  <si>
    <t>1824-03-03</t>
  </si>
  <si>
    <t>1893-10-22</t>
  </si>
  <si>
    <t>1861-02-18</t>
  </si>
  <si>
    <t>1835-12-08</t>
  </si>
  <si>
    <t>1836-02-21</t>
  </si>
  <si>
    <t>1868-12-19</t>
  </si>
  <si>
    <t>1830-03-10</t>
  </si>
  <si>
    <t>1882-04-14</t>
  </si>
  <si>
    <t>1866-07-17</t>
  </si>
  <si>
    <t>1862-04-26</t>
  </si>
  <si>
    <t>1849-03-06</t>
  </si>
  <si>
    <t>1841-02-09</t>
  </si>
  <si>
    <t>1868-10-30</t>
  </si>
  <si>
    <t>1893-02-19</t>
  </si>
  <si>
    <t>1850-09-14</t>
  </si>
  <si>
    <t>1843-09-20</t>
  </si>
  <si>
    <t>1895-06-05</t>
  </si>
  <si>
    <t>1884-10-11</t>
  </si>
  <si>
    <t>1864-02-21</t>
  </si>
  <si>
    <t>1852-09-14</t>
  </si>
  <si>
    <t>1839-05-25</t>
  </si>
  <si>
    <t>1872-06-09</t>
  </si>
  <si>
    <t>1879-07-29</t>
  </si>
  <si>
    <t>1877-07-21</t>
  </si>
  <si>
    <t>1885-02-18</t>
  </si>
  <si>
    <t>1867-11-01</t>
  </si>
  <si>
    <t>1810-07-01</t>
  </si>
  <si>
    <t>1836-09-30</t>
  </si>
  <si>
    <t>1808-01-05</t>
  </si>
  <si>
    <t>1847-06-23</t>
  </si>
  <si>
    <t>1873-06-06</t>
  </si>
  <si>
    <t>1822-09-07</t>
  </si>
  <si>
    <t>1861-08-15</t>
  </si>
  <si>
    <t>1828-05-17</t>
  </si>
  <si>
    <t>1860-07-14</t>
  </si>
  <si>
    <t>1835-08-15</t>
  </si>
  <si>
    <t>1809-01-22</t>
  </si>
  <si>
    <t>1884-08-14</t>
  </si>
  <si>
    <t>1811-12-24</t>
  </si>
  <si>
    <t>1865-04-18</t>
  </si>
  <si>
    <t>1876-09-22</t>
  </si>
  <si>
    <t>1837-04-30</t>
  </si>
  <si>
    <t>1855-04-18</t>
  </si>
  <si>
    <t>1837-01-21</t>
  </si>
  <si>
    <t>1882-10-08</t>
  </si>
  <si>
    <t>1882-10-10</t>
  </si>
  <si>
    <t>1881-10-23</t>
  </si>
  <si>
    <t>1881-01-10</t>
  </si>
  <si>
    <t>1834-11-30</t>
  </si>
  <si>
    <t>1860-08-09</t>
  </si>
  <si>
    <t>1890-07-14</t>
  </si>
  <si>
    <t>1857-05-22</t>
  </si>
  <si>
    <t>1884-01-21</t>
  </si>
  <si>
    <t>1856-08-01</t>
  </si>
  <si>
    <t>1826-06-16</t>
  </si>
  <si>
    <t>1814-09-04</t>
  </si>
  <si>
    <t>1850-07-12</t>
  </si>
  <si>
    <t>1854-01-09</t>
  </si>
  <si>
    <t>1876-09-29</t>
  </si>
  <si>
    <t>1895-09-21</t>
  </si>
  <si>
    <t>1830-02-22</t>
  </si>
  <si>
    <t>1846-01-20</t>
  </si>
  <si>
    <t>1862-03-23</t>
  </si>
  <si>
    <t>1847-06-06</t>
  </si>
  <si>
    <t>1862-08-21</t>
  </si>
  <si>
    <t>1859-07-27</t>
  </si>
  <si>
    <t>1854-07-08</t>
  </si>
  <si>
    <t>1840-08-01</t>
  </si>
  <si>
    <t>1814-01-06</t>
  </si>
  <si>
    <t>1862-02-19</t>
  </si>
  <si>
    <t>1815-01-10</t>
  </si>
  <si>
    <t>1867-09-23</t>
  </si>
  <si>
    <t>1899-10-29</t>
  </si>
  <si>
    <t>1866-07-07</t>
  </si>
  <si>
    <t>1807-05-04</t>
  </si>
  <si>
    <t>1840-11-01</t>
  </si>
  <si>
    <t>1845-04-06</t>
  </si>
  <si>
    <t>1845-04-24</t>
  </si>
  <si>
    <t>1840-06-22</t>
  </si>
  <si>
    <t>1822-11-13</t>
  </si>
  <si>
    <t>1870-07-17</t>
  </si>
  <si>
    <t>1878-09-14</t>
  </si>
  <si>
    <t>1857-03-20</t>
  </si>
  <si>
    <t>1843-05-15</t>
  </si>
  <si>
    <t>1868-07-11</t>
  </si>
  <si>
    <t>1833-12-06</t>
  </si>
  <si>
    <t>1843-09-22</t>
  </si>
  <si>
    <t>1841-05-16</t>
  </si>
  <si>
    <t>1871-04-17</t>
  </si>
  <si>
    <t>1874-10-05</t>
  </si>
  <si>
    <t>1898-04-11</t>
  </si>
  <si>
    <t>1843-03-17</t>
  </si>
  <si>
    <t>1839-07-10</t>
  </si>
  <si>
    <t>1814-01-05</t>
  </si>
  <si>
    <t>1854-01-06</t>
  </si>
  <si>
    <t>1895-01-22</t>
  </si>
  <si>
    <t>1848-01-29</t>
  </si>
  <si>
    <t>1830-12-17</t>
  </si>
  <si>
    <t>1842-09-09</t>
  </si>
  <si>
    <t>1859-12-08</t>
  </si>
  <si>
    <t>1848-10-25</t>
  </si>
  <si>
    <t>1861-05-06</t>
  </si>
  <si>
    <t>1871-07-10</t>
  </si>
  <si>
    <t>1839-09-27</t>
  </si>
  <si>
    <t>1876-01-08</t>
  </si>
  <si>
    <t>1818-08-18</t>
  </si>
  <si>
    <t>1893-09-12</t>
  </si>
  <si>
    <t>1879-01-11</t>
  </si>
  <si>
    <t>1822-08-29</t>
  </si>
  <si>
    <t>1875-02-28</t>
  </si>
  <si>
    <t>1881-10-24</t>
  </si>
  <si>
    <t>1878-10-09</t>
  </si>
  <si>
    <t>1836-06-30</t>
  </si>
  <si>
    <t>1880-07-21</t>
  </si>
  <si>
    <t>1866-03-26</t>
  </si>
  <si>
    <t>1828-06-18</t>
  </si>
  <si>
    <t>1827-05-26</t>
  </si>
  <si>
    <t>1887-10-29</t>
  </si>
  <si>
    <t>1863-09-17</t>
  </si>
  <si>
    <t>1891-10-17</t>
  </si>
  <si>
    <t>1820-11-07</t>
  </si>
  <si>
    <t>1816-09-05</t>
  </si>
  <si>
    <t>1833-06-17</t>
  </si>
  <si>
    <t>1850-11-05</t>
  </si>
  <si>
    <t>1874-08-14</t>
  </si>
  <si>
    <t>1874-08-31</t>
  </si>
  <si>
    <t>1855-05-24</t>
  </si>
  <si>
    <t>1857-03-11</t>
  </si>
  <si>
    <t>1849-07-16</t>
  </si>
  <si>
    <t>1876-06-07</t>
  </si>
  <si>
    <t>1839-02-24</t>
  </si>
  <si>
    <t>1838-05-17</t>
  </si>
  <si>
    <t>1880-08-24</t>
  </si>
  <si>
    <t>1842-09-04</t>
  </si>
  <si>
    <t>1837-02-06</t>
  </si>
  <si>
    <t>1840-11-30</t>
  </si>
  <si>
    <t>1853-11-08</t>
  </si>
  <si>
    <t>1878-02-13</t>
  </si>
  <si>
    <t>1844-12-08</t>
  </si>
  <si>
    <t>1884-09-25</t>
  </si>
  <si>
    <t>1819-06-23</t>
  </si>
  <si>
    <t>1829-01-09</t>
  </si>
  <si>
    <t>1874-12-10</t>
  </si>
  <si>
    <t>1886-03-25</t>
  </si>
  <si>
    <t>1851-05-07</t>
  </si>
  <si>
    <t>1866-11-15</t>
  </si>
  <si>
    <t>1867-06-19</t>
  </si>
  <si>
    <t>1845-11-10</t>
  </si>
  <si>
    <t>1816-02-20</t>
  </si>
  <si>
    <t>1876-08-11</t>
  </si>
  <si>
    <t>1821-01-09</t>
  </si>
  <si>
    <t>1845-09-02</t>
  </si>
  <si>
    <t>1821-03-06</t>
  </si>
  <si>
    <t>1876-06-05</t>
  </si>
  <si>
    <t>1863-03-28</t>
  </si>
  <si>
    <t>1844-09-03</t>
  </si>
  <si>
    <t>1828-12-09</t>
  </si>
  <si>
    <t>1822-01-17</t>
  </si>
  <si>
    <t>1879-03-21</t>
  </si>
  <si>
    <t>1866-02-19</t>
  </si>
  <si>
    <t>1823-10-26</t>
  </si>
  <si>
    <t>1836-05-31</t>
  </si>
  <si>
    <t>1856-05-28</t>
  </si>
  <si>
    <t>1839-05-02</t>
  </si>
  <si>
    <t>1877-11-12</t>
  </si>
  <si>
    <t>1867-10-27</t>
  </si>
  <si>
    <t>1880-07-02</t>
  </si>
  <si>
    <t>1875-10-26</t>
  </si>
  <si>
    <t>1857-05-02</t>
  </si>
  <si>
    <t>1838-09-25</t>
  </si>
  <si>
    <t>1832-03-28</t>
  </si>
  <si>
    <t>1858-12-24</t>
  </si>
  <si>
    <t>1847-06-25</t>
  </si>
  <si>
    <t>1851-11-04</t>
  </si>
  <si>
    <t>1892-01-08</t>
  </si>
  <si>
    <t>1840-01-29</t>
  </si>
  <si>
    <t>1886-06-21</t>
  </si>
  <si>
    <t>1821-06-11</t>
  </si>
  <si>
    <t>1874-06-08</t>
  </si>
  <si>
    <t>1881-08-14</t>
  </si>
  <si>
    <t>1891-12-23</t>
  </si>
  <si>
    <t>1845-09-19</t>
  </si>
  <si>
    <t>1883-11-06</t>
  </si>
  <si>
    <t>1821-01-17</t>
  </si>
  <si>
    <t>1869-05-27</t>
  </si>
  <si>
    <t>1853-08-21</t>
  </si>
  <si>
    <t>1835-10-15</t>
  </si>
  <si>
    <t>1891-09-21</t>
  </si>
  <si>
    <t>1830-07-07</t>
  </si>
  <si>
    <t>1883-04-16</t>
  </si>
  <si>
    <t>1870-10-03</t>
  </si>
  <si>
    <t>1837-09-19</t>
  </si>
  <si>
    <t>1826-03-25</t>
  </si>
  <si>
    <t>1840-10-12</t>
  </si>
  <si>
    <t>1876-11-01</t>
  </si>
  <si>
    <t>1860-09-12</t>
  </si>
  <si>
    <t>1830-08-11</t>
  </si>
  <si>
    <t>1848-02-22</t>
  </si>
  <si>
    <t>1833-08-07</t>
  </si>
  <si>
    <t>1856-11-05</t>
  </si>
  <si>
    <t>1859-01-28</t>
  </si>
  <si>
    <t>1861-03-08</t>
  </si>
  <si>
    <t>1862-06-01</t>
  </si>
  <si>
    <t>1861-03-31</t>
  </si>
  <si>
    <t>1831-09-10</t>
  </si>
  <si>
    <t>1850-05-10</t>
  </si>
  <si>
    <t>1876-02-21</t>
  </si>
  <si>
    <t>1849-08-05</t>
  </si>
  <si>
    <t>1848-11-29</t>
  </si>
  <si>
    <t>1877-06-27</t>
  </si>
  <si>
    <t>1820-12-25</t>
  </si>
  <si>
    <t>1820-10-20</t>
  </si>
  <si>
    <t>1890-05-29</t>
  </si>
  <si>
    <t>1847-10-11</t>
  </si>
  <si>
    <t>1819-01-04</t>
  </si>
  <si>
    <t>1820-10-28</t>
  </si>
  <si>
    <t>1875-10-18</t>
  </si>
  <si>
    <t>1875-11-17</t>
  </si>
  <si>
    <t>1877-10-15</t>
  </si>
  <si>
    <t>1859-09-24</t>
  </si>
  <si>
    <t>1848-06-14</t>
  </si>
  <si>
    <t>1842-02-08</t>
  </si>
  <si>
    <t>1874-02-23</t>
  </si>
  <si>
    <t>1849-03-05</t>
  </si>
  <si>
    <t>1825-07-30</t>
  </si>
  <si>
    <t>1864-06-22</t>
  </si>
  <si>
    <t>1866-03-11</t>
  </si>
  <si>
    <t>1888-10-18</t>
  </si>
  <si>
    <t>1894-08-26</t>
  </si>
  <si>
    <t>1896-12-27</t>
  </si>
  <si>
    <t>1876-08-06</t>
  </si>
  <si>
    <t>1852-10-25</t>
  </si>
  <si>
    <t>1830-01-20</t>
  </si>
  <si>
    <t>1823-06-05</t>
  </si>
  <si>
    <t>1803-11-21</t>
  </si>
  <si>
    <t>1842-09-24</t>
  </si>
  <si>
    <t>1843-05-06</t>
  </si>
  <si>
    <t>1854-05-25</t>
  </si>
  <si>
    <t>1822-06-23</t>
  </si>
  <si>
    <t>1843-10-19</t>
  </si>
  <si>
    <t>1854-11-02</t>
  </si>
  <si>
    <t>1841-08-22</t>
  </si>
  <si>
    <t>1866-08-25</t>
  </si>
  <si>
    <t>1847-07-26</t>
  </si>
  <si>
    <t>1833-02-17</t>
  </si>
  <si>
    <t>1880-10-29</t>
  </si>
  <si>
    <t>1819-12-27</t>
  </si>
  <si>
    <t>1830-08-22</t>
  </si>
  <si>
    <t>1842-10-05</t>
  </si>
  <si>
    <t>1870-08-28</t>
  </si>
  <si>
    <t>1839-09-20</t>
  </si>
  <si>
    <t>1887-12-09</t>
  </si>
  <si>
    <t>1850-01-22</t>
  </si>
  <si>
    <t>1863-08-07</t>
  </si>
  <si>
    <t>1851-08-20</t>
  </si>
  <si>
    <t>1873-03-24</t>
  </si>
  <si>
    <t>1840-02-25</t>
  </si>
  <si>
    <t>1852-08-08</t>
  </si>
  <si>
    <t>1862-08-09</t>
  </si>
  <si>
    <t>1864-02-09</t>
  </si>
  <si>
    <t>1872-05-07</t>
  </si>
  <si>
    <t>1836-04-19</t>
  </si>
  <si>
    <t>1822-08-04</t>
  </si>
  <si>
    <t>1851-07-31</t>
  </si>
  <si>
    <t>1832-01-23</t>
  </si>
  <si>
    <t>1864-02-17</t>
  </si>
  <si>
    <t>1871-06-27</t>
  </si>
  <si>
    <t>1874-07-20</t>
  </si>
  <si>
    <t>1840-01-09</t>
  </si>
  <si>
    <t>1869-10-21</t>
  </si>
  <si>
    <t>1833-06-30</t>
  </si>
  <si>
    <t>1834-11-04</t>
  </si>
  <si>
    <t>1828-11-20</t>
  </si>
  <si>
    <t>1835-09-23</t>
  </si>
  <si>
    <t>1862-11-08</t>
  </si>
  <si>
    <t>1863-11-08</t>
  </si>
  <si>
    <t>1863-11-11</t>
  </si>
  <si>
    <t>1897-08-05</t>
  </si>
  <si>
    <t>1832-09-14</t>
  </si>
  <si>
    <t>1848-02-24</t>
  </si>
  <si>
    <t>1870-09-01</t>
  </si>
  <si>
    <t>1874-04-05</t>
  </si>
  <si>
    <t>1891-01-28</t>
  </si>
  <si>
    <t>1852-12-09</t>
  </si>
  <si>
    <t>1850-06-02</t>
  </si>
  <si>
    <t>1826-12-11</t>
  </si>
  <si>
    <t>1838-05-22</t>
  </si>
  <si>
    <t>1846-12-02</t>
  </si>
  <si>
    <t>1882-03-05</t>
  </si>
  <si>
    <t>1812-12-23</t>
  </si>
  <si>
    <t>1852-06-20</t>
  </si>
  <si>
    <t>1884-02-05</t>
  </si>
  <si>
    <t>1868-08-01</t>
  </si>
  <si>
    <t>1871-04-04</t>
  </si>
  <si>
    <t>1880-06-09</t>
  </si>
  <si>
    <t>1833-01-01</t>
  </si>
  <si>
    <t>1882-09-17</t>
  </si>
  <si>
    <t>1858-07-20</t>
  </si>
  <si>
    <t>1834-06-03</t>
  </si>
  <si>
    <t>1867-01-21</t>
  </si>
  <si>
    <t>1849-02-22</t>
  </si>
  <si>
    <t>1845-10-23</t>
  </si>
  <si>
    <t>1868-11-24</t>
  </si>
  <si>
    <t>1840-03-06</t>
  </si>
  <si>
    <t>1824-11-15</t>
  </si>
  <si>
    <t>1878-07-22</t>
  </si>
  <si>
    <t>1817-11-26</t>
  </si>
  <si>
    <t>1883-10-16</t>
  </si>
  <si>
    <t>1873-05-24</t>
  </si>
  <si>
    <t>1894-02-04</t>
  </si>
  <si>
    <t>1890-07-26</t>
  </si>
  <si>
    <t>1887-02-09</t>
  </si>
  <si>
    <t>1899-05-18</t>
  </si>
  <si>
    <t>1888-07-12</t>
  </si>
  <si>
    <t>1890-07-05</t>
  </si>
  <si>
    <t>1885-05-23</t>
  </si>
  <si>
    <t>1883-11-28</t>
  </si>
  <si>
    <t>1897-12-07</t>
  </si>
  <si>
    <t>1894-11-05</t>
  </si>
  <si>
    <t>1896-11-26</t>
  </si>
  <si>
    <t>1898-11-28</t>
  </si>
  <si>
    <t>1891-05-03</t>
  </si>
  <si>
    <t>1894-07-02</t>
  </si>
  <si>
    <t>1887-05-07</t>
  </si>
  <si>
    <t>1889-12-30</t>
  </si>
  <si>
    <t>1890-12-31</t>
  </si>
  <si>
    <t>1899-12-22</t>
  </si>
  <si>
    <t>1896-01-12</t>
  </si>
  <si>
    <t>1891-05-30</t>
  </si>
  <si>
    <t>1888-07-17</t>
  </si>
  <si>
    <t>1894-02-21</t>
  </si>
  <si>
    <t>1892-05-18</t>
  </si>
  <si>
    <t>1899-04-09</t>
  </si>
  <si>
    <t>1890-07-29</t>
  </si>
  <si>
    <t>1897-11-23</t>
  </si>
  <si>
    <t>1892-11-12</t>
  </si>
  <si>
    <t>1893-09-29</t>
  </si>
  <si>
    <t>1898-06-16</t>
  </si>
  <si>
    <t>1883-11-12</t>
  </si>
  <si>
    <t>1893-02-10</t>
  </si>
  <si>
    <t>1895-11-24</t>
  </si>
  <si>
    <t>1891-12-15</t>
  </si>
  <si>
    <t>1883-11-04</t>
  </si>
  <si>
    <t>1885-10-23</t>
  </si>
  <si>
    <t>1887-06-12</t>
  </si>
  <si>
    <t>1895-02-03</t>
  </si>
  <si>
    <t>1888-11-22</t>
  </si>
  <si>
    <t>1893-12-30</t>
  </si>
  <si>
    <t>1894-04-29</t>
  </si>
  <si>
    <t>1891-01-14</t>
  </si>
  <si>
    <t>1890-03-20</t>
  </si>
  <si>
    <t>1896-02-23</t>
  </si>
  <si>
    <t>1894-07-11</t>
  </si>
  <si>
    <t>1886-01-28</t>
  </si>
  <si>
    <t>1892-05-27</t>
  </si>
  <si>
    <t>1886-11-11</t>
  </si>
  <si>
    <t>1882-04-08</t>
  </si>
  <si>
    <t>1896-12-12</t>
  </si>
  <si>
    <t>1885-01-06</t>
  </si>
  <si>
    <t>1882-03-13</t>
  </si>
  <si>
    <t>1889-08-28</t>
  </si>
  <si>
    <t>1893-07-01</t>
  </si>
  <si>
    <t>1889-12-18</t>
  </si>
  <si>
    <t>1897-05-01</t>
  </si>
  <si>
    <t>1898-04-26</t>
  </si>
  <si>
    <t>1896-04-28</t>
  </si>
  <si>
    <t>1882-12-06</t>
  </si>
  <si>
    <t>1896-06-07</t>
  </si>
  <si>
    <t>1888-03-02</t>
  </si>
  <si>
    <t>1898-02-14</t>
  </si>
  <si>
    <t>1896-10-23</t>
  </si>
  <si>
    <t>1897-11-16</t>
  </si>
  <si>
    <t>1886-01-27</t>
  </si>
  <si>
    <t>1892-11-26</t>
  </si>
  <si>
    <t>1882-11-24</t>
  </si>
  <si>
    <t>1897-07-18</t>
  </si>
  <si>
    <t>1882-01-18</t>
  </si>
  <si>
    <t>1887-10-09</t>
  </si>
  <si>
    <t>1895-02-22</t>
  </si>
  <si>
    <t>1888-04-21</t>
  </si>
  <si>
    <t>1891-09-30</t>
  </si>
  <si>
    <t>1893-05-28</t>
  </si>
  <si>
    <t>1897-02-10</t>
  </si>
  <si>
    <t>1882-04-20</t>
  </si>
  <si>
    <t>1893-04-22</t>
  </si>
  <si>
    <t>1893-07-21</t>
  </si>
  <si>
    <t>1899-12-25</t>
  </si>
  <si>
    <t>1893-03-09</t>
  </si>
  <si>
    <t>1899-02-17</t>
  </si>
  <si>
    <t>1888-02-04</t>
  </si>
  <si>
    <t>1889-10-15</t>
  </si>
  <si>
    <t>1897-07-11</t>
  </si>
  <si>
    <t>1896-08-22</t>
  </si>
  <si>
    <t>1894-10-23</t>
  </si>
  <si>
    <t>1893-02-08</t>
  </si>
  <si>
    <t>1884-09-29</t>
  </si>
  <si>
    <t>1897-01-13</t>
  </si>
  <si>
    <t>1889-02-09</t>
  </si>
  <si>
    <t>1890-04-11</t>
  </si>
  <si>
    <t>1891-01-06</t>
  </si>
  <si>
    <t>1891-11-05</t>
  </si>
  <si>
    <t>1896-07-08</t>
  </si>
  <si>
    <t>1896-08-28</t>
  </si>
  <si>
    <t>1890-02-12</t>
  </si>
  <si>
    <t>1894-12-12</t>
  </si>
  <si>
    <t>1897-04-12</t>
  </si>
  <si>
    <t>1887-03-12</t>
  </si>
  <si>
    <t>1888-09-21</t>
  </si>
  <si>
    <t>1886-08-07</t>
  </si>
  <si>
    <t>1891-01-19</t>
  </si>
  <si>
    <t>1886-06-11</t>
  </si>
  <si>
    <t>1896-08-08</t>
  </si>
  <si>
    <t>1890-10-12</t>
  </si>
  <si>
    <t>1889-11-02</t>
  </si>
  <si>
    <t>1897-06-08</t>
  </si>
  <si>
    <t>1891-03-16</t>
  </si>
  <si>
    <t>1896-01-28</t>
  </si>
  <si>
    <t>1887-02-27</t>
  </si>
  <si>
    <t>1894-06-25</t>
  </si>
  <si>
    <t>1899-07-23</t>
  </si>
  <si>
    <t>1898-09-09</t>
  </si>
  <si>
    <t>1886-07-20</t>
  </si>
  <si>
    <t>1884-10-14</t>
  </si>
  <si>
    <t>1892-08-14</t>
  </si>
  <si>
    <t>1897-08-08</t>
  </si>
  <si>
    <t>1895-12-05</t>
  </si>
  <si>
    <t>1896-10-26</t>
  </si>
  <si>
    <t>1890-03-01</t>
  </si>
  <si>
    <t>1883-01-05</t>
  </si>
  <si>
    <t>1893-08-10</t>
  </si>
  <si>
    <t>1890-02-26</t>
  </si>
  <si>
    <t>1898-07-26</t>
  </si>
  <si>
    <t>1892-10-14</t>
  </si>
  <si>
    <t>1886-12-01</t>
  </si>
  <si>
    <t>1896-10-19</t>
  </si>
  <si>
    <t>1884-11-13</t>
  </si>
  <si>
    <t>1899-07-22</t>
  </si>
  <si>
    <t>1887-12-05</t>
  </si>
  <si>
    <t>1883-02-12</t>
  </si>
  <si>
    <t>1890-10-20</t>
  </si>
  <si>
    <t>1884-02-21</t>
  </si>
  <si>
    <t>1888-02-27</t>
  </si>
  <si>
    <t>1893-01-24</t>
  </si>
  <si>
    <t>1891-02-14</t>
  </si>
  <si>
    <t>1894-03-14</t>
  </si>
  <si>
    <t>1891-07-20</t>
  </si>
  <si>
    <t>1884-05-27</t>
  </si>
  <si>
    <t>1891-05-18</t>
  </si>
  <si>
    <t>1891-02-27</t>
  </si>
  <si>
    <t>1897-01-10</t>
  </si>
  <si>
    <t>1887-02-15</t>
  </si>
  <si>
    <t>1898-01-06</t>
  </si>
  <si>
    <t>1886-03-20</t>
  </si>
  <si>
    <t>1898-11-27</t>
  </si>
  <si>
    <t>1896-08-02</t>
  </si>
  <si>
    <t>1895-07-12</t>
  </si>
  <si>
    <t>1894-08-16</t>
  </si>
  <si>
    <t>1896-12-14</t>
  </si>
  <si>
    <t>1897-02-02</t>
  </si>
  <si>
    <t>1894-10-27</t>
  </si>
  <si>
    <t>1895-04-07</t>
  </si>
  <si>
    <t>1896-11-06</t>
  </si>
  <si>
    <t>1894-12-07</t>
  </si>
  <si>
    <t>1883-07-20</t>
  </si>
  <si>
    <t>1896-01-11</t>
  </si>
  <si>
    <t>1898-11-14</t>
  </si>
  <si>
    <t>1889-09-10</t>
  </si>
  <si>
    <t>1892-02-18</t>
  </si>
  <si>
    <t>1892-12-23</t>
  </si>
  <si>
    <t>1885-12-09</t>
  </si>
  <si>
    <t>1892-04-12</t>
  </si>
  <si>
    <t>1889-05-10</t>
  </si>
  <si>
    <t>1894-02-19</t>
  </si>
  <si>
    <t>1890-11-28</t>
  </si>
  <si>
    <t>1894-01-25</t>
  </si>
  <si>
    <t>1893-04-11</t>
  </si>
  <si>
    <t>1892-02-19</t>
  </si>
  <si>
    <t>1885-06-10</t>
  </si>
  <si>
    <t>1889-10-22</t>
  </si>
  <si>
    <t>1893-02-12</t>
  </si>
  <si>
    <t>1886-02-13</t>
  </si>
  <si>
    <t>1888-10-13</t>
  </si>
  <si>
    <t>1892-01-17</t>
  </si>
  <si>
    <t>1883-06-23</t>
  </si>
  <si>
    <t>1897-12-06</t>
  </si>
  <si>
    <t>1890-06-03</t>
  </si>
  <si>
    <t>1899-12-24</t>
  </si>
  <si>
    <t>1895-12-06</t>
  </si>
  <si>
    <t>1892-08-06</t>
  </si>
  <si>
    <t>1895-02-28</t>
  </si>
  <si>
    <t>1898-02-01</t>
  </si>
  <si>
    <t>1882-11-08</t>
  </si>
  <si>
    <t>1896-01-04</t>
  </si>
  <si>
    <t>1891-01-07</t>
  </si>
  <si>
    <t>1888-07-05</t>
  </si>
  <si>
    <t>1891-08-08</t>
  </si>
  <si>
    <t>1889-12-24</t>
  </si>
  <si>
    <t>1891-06-09</t>
  </si>
  <si>
    <t>1885-01-30</t>
  </si>
  <si>
    <t>1897-01-22</t>
  </si>
  <si>
    <t>1896-06-18</t>
  </si>
  <si>
    <t>1886-02-04</t>
  </si>
  <si>
    <t>1892-01-18</t>
  </si>
  <si>
    <t>1888-07-20</t>
  </si>
  <si>
    <t>1898-01-20</t>
  </si>
  <si>
    <t>1888-06-08</t>
  </si>
  <si>
    <t>1889-04-24</t>
  </si>
  <si>
    <t>1892-10-25</t>
  </si>
  <si>
    <t>1888-05-07</t>
  </si>
  <si>
    <t>1891-04-08</t>
  </si>
  <si>
    <t>1898-12-24</t>
  </si>
  <si>
    <t>1883-04-01</t>
  </si>
  <si>
    <t>1886-10-24</t>
  </si>
  <si>
    <t>1894-02-17</t>
  </si>
  <si>
    <t>1898-10-19</t>
  </si>
  <si>
    <t>1883-03-28</t>
  </si>
  <si>
    <t>1896-04-02</t>
  </si>
  <si>
    <t>1896-01-29</t>
  </si>
  <si>
    <t>1893-07-26</t>
  </si>
  <si>
    <t>1891-12-04</t>
  </si>
  <si>
    <t>1893-01-18</t>
  </si>
  <si>
    <t>1893-09-05</t>
  </si>
  <si>
    <t>1893-03-24</t>
  </si>
  <si>
    <t>1899-03-30</t>
  </si>
  <si>
    <t>1882-09-23</t>
  </si>
  <si>
    <t>1896-07-22</t>
  </si>
  <si>
    <t>1886-12-31</t>
  </si>
  <si>
    <t>1891-03-14</t>
  </si>
  <si>
    <t>1896-06-20</t>
  </si>
  <si>
    <t>1884-01-25</t>
  </si>
  <si>
    <t>1899-11-12</t>
  </si>
  <si>
    <t>1896-01-07</t>
  </si>
  <si>
    <t>1896-01-06</t>
  </si>
  <si>
    <t>1898-07-17</t>
  </si>
  <si>
    <t>1894-12-23</t>
  </si>
  <si>
    <t>1888-07-13</t>
  </si>
  <si>
    <t>1895-07-11</t>
  </si>
  <si>
    <t>1897-11-22</t>
  </si>
  <si>
    <t>1882-09-11</t>
  </si>
  <si>
    <t>1887-11-13</t>
  </si>
  <si>
    <t>1897-10-24</t>
  </si>
  <si>
    <t>1884-06-06</t>
  </si>
  <si>
    <t>1890-12-11</t>
  </si>
  <si>
    <t>1888-12-02</t>
  </si>
  <si>
    <t>1893-10-09</t>
  </si>
  <si>
    <t>1890-08-26</t>
  </si>
  <si>
    <t>1895-02-21</t>
  </si>
  <si>
    <t>1887-12-21</t>
  </si>
  <si>
    <t>1890-08-06</t>
  </si>
  <si>
    <t>1888-07-21</t>
  </si>
  <si>
    <t>1898-05-21</t>
  </si>
  <si>
    <t>1891-06-21</t>
  </si>
  <si>
    <t>1898-07-06</t>
  </si>
  <si>
    <t>1897-11-10</t>
  </si>
  <si>
    <t>1882-12-10</t>
  </si>
  <si>
    <t>1885-04-01</t>
  </si>
  <si>
    <t>1897-07-07</t>
  </si>
  <si>
    <t>1890-02-05</t>
  </si>
  <si>
    <t>1887-02-01</t>
  </si>
  <si>
    <t>1893-12-11</t>
  </si>
  <si>
    <t>1894-02-02</t>
  </si>
  <si>
    <t>1887-10-12</t>
  </si>
  <si>
    <t>1883-08-17</t>
  </si>
  <si>
    <t>1899-11-28</t>
  </si>
  <si>
    <t>1883-08-23</t>
  </si>
  <si>
    <t>1899-05-09</t>
  </si>
  <si>
    <t>1896-05-26</t>
  </si>
  <si>
    <t>1899-06-20</t>
  </si>
  <si>
    <t>1882-10-24</t>
  </si>
  <si>
    <t>1888-12-21</t>
  </si>
  <si>
    <t>1894-09-06</t>
  </si>
  <si>
    <t>1889-09-28</t>
  </si>
  <si>
    <t>1883-05-03</t>
  </si>
  <si>
    <t>1887-03-24</t>
  </si>
  <si>
    <t>1881-11-23</t>
  </si>
  <si>
    <t>1899-02-16</t>
  </si>
  <si>
    <t>1890-12-01</t>
  </si>
  <si>
    <t>1886-05-25</t>
  </si>
  <si>
    <t>1885-08-30</t>
  </si>
  <si>
    <t>1889-10-07</t>
  </si>
  <si>
    <t>1891-12-29</t>
  </si>
  <si>
    <t>1886-10-10</t>
  </si>
  <si>
    <t>1896-11-22</t>
  </si>
  <si>
    <t>1894-05-06</t>
  </si>
  <si>
    <t>1897-01-07</t>
  </si>
  <si>
    <t>1893-03-17</t>
  </si>
  <si>
    <t>1893-12-16</t>
  </si>
  <si>
    <t>1886-09-20</t>
  </si>
  <si>
    <t>1893-04-13</t>
  </si>
  <si>
    <t>1885-07-13</t>
  </si>
  <si>
    <t>1896-01-18</t>
  </si>
  <si>
    <t>1887-05-05</t>
  </si>
  <si>
    <t>1895-02-17</t>
  </si>
  <si>
    <t>1892-06-06</t>
  </si>
  <si>
    <t>1885-01-19</t>
  </si>
  <si>
    <t>1891-01-10</t>
  </si>
  <si>
    <t>1889-02-11</t>
  </si>
  <si>
    <t>1884-11-23</t>
  </si>
  <si>
    <t>1887-03-20</t>
  </si>
  <si>
    <t>1898-03-25</t>
  </si>
  <si>
    <t>1892-01-16</t>
  </si>
  <si>
    <t>1888-02-06</t>
  </si>
  <si>
    <t>1891-12-22</t>
  </si>
  <si>
    <t>1891-06-04</t>
  </si>
  <si>
    <t>1893-01-29</t>
  </si>
  <si>
    <t>1897-10-29</t>
  </si>
  <si>
    <t>1889-08-10</t>
  </si>
  <si>
    <t>1898-07-07</t>
  </si>
  <si>
    <t>1884-12-15</t>
  </si>
  <si>
    <t>1882-12-31</t>
  </si>
  <si>
    <t>1887-09-16</t>
  </si>
  <si>
    <t>1894-08-01</t>
  </si>
  <si>
    <t>1888-03-28</t>
  </si>
  <si>
    <t>1886-01-17</t>
  </si>
  <si>
    <t>1890-08-20</t>
  </si>
  <si>
    <t>1891-01-20</t>
  </si>
  <si>
    <t>1897-08-09</t>
  </si>
  <si>
    <t>1895-05-03</t>
  </si>
  <si>
    <t>1893-09-02</t>
  </si>
  <si>
    <t>1885-03-12</t>
  </si>
  <si>
    <t>1898-01-17</t>
  </si>
  <si>
    <t>1884-01-30</t>
  </si>
  <si>
    <t>1894-01-26</t>
  </si>
  <si>
    <t>1891-10-16</t>
  </si>
  <si>
    <t>1892-02-08</t>
  </si>
  <si>
    <t>1886-01-06</t>
  </si>
  <si>
    <t>1896-07-20</t>
  </si>
  <si>
    <t>1895-04-30</t>
  </si>
  <si>
    <t>1889-05-21</t>
  </si>
  <si>
    <t>1887-07-23</t>
  </si>
  <si>
    <t>1898-04-16</t>
  </si>
  <si>
    <t>1898-06-15</t>
  </si>
  <si>
    <t>1896-08-30</t>
  </si>
  <si>
    <t>1899-03-19</t>
  </si>
  <si>
    <t>1886-01-25</t>
  </si>
  <si>
    <t>1899-09-19</t>
  </si>
  <si>
    <t>1886-03-08</t>
  </si>
  <si>
    <t>1899-02-15</t>
  </si>
  <si>
    <t>1889-04-19</t>
  </si>
  <si>
    <t>1890-01-06</t>
  </si>
  <si>
    <t>1894-11-24</t>
  </si>
  <si>
    <t>1888-08-27</t>
  </si>
  <si>
    <t>1890-05-02</t>
  </si>
  <si>
    <t>1899-07-10</t>
  </si>
  <si>
    <t>1895-01-13</t>
  </si>
  <si>
    <t>1885-07-06</t>
  </si>
  <si>
    <t>1897-02-07</t>
  </si>
  <si>
    <t>1888-01-18</t>
  </si>
  <si>
    <t>1896-11-13</t>
  </si>
  <si>
    <t>1884-11-11</t>
  </si>
  <si>
    <t>1895-07-15</t>
  </si>
  <si>
    <t>1896-07-17</t>
  </si>
  <si>
    <t>1887-09-12</t>
  </si>
  <si>
    <t>1886-12-17</t>
  </si>
  <si>
    <t>1885-09-12</t>
  </si>
  <si>
    <t>1899-03-22</t>
  </si>
  <si>
    <t>1892-03-24</t>
  </si>
  <si>
    <t>1898-10-14</t>
  </si>
  <si>
    <t>1893-12-19</t>
  </si>
  <si>
    <t>1891-05-04</t>
  </si>
  <si>
    <t>1894-12-01</t>
  </si>
  <si>
    <t>1884-04-11</t>
  </si>
  <si>
    <t>1882-01-19</t>
  </si>
  <si>
    <t>1899-07-09</t>
  </si>
  <si>
    <t>1893-04-28</t>
  </si>
  <si>
    <t>1885-11-20</t>
  </si>
  <si>
    <t>1896-02-11</t>
  </si>
  <si>
    <t>1891-12-19</t>
  </si>
  <si>
    <t>1882-01-01</t>
  </si>
  <si>
    <t>1891-03-23</t>
  </si>
  <si>
    <t>1890-06-27</t>
  </si>
  <si>
    <t>1886-05-04</t>
  </si>
  <si>
    <t>1895-09-12</t>
  </si>
  <si>
    <t>1896-02-22</t>
  </si>
  <si>
    <t>1885-05-22</t>
  </si>
  <si>
    <t>1894-09-24</t>
  </si>
  <si>
    <t>1893-11-23</t>
  </si>
  <si>
    <t>1899-08-05</t>
  </si>
  <si>
    <t>1894-05-04</t>
  </si>
  <si>
    <t>1887-05-22</t>
  </si>
  <si>
    <t>1896-10-03</t>
  </si>
  <si>
    <t>1894-04-04</t>
  </si>
  <si>
    <t>1885-07-20</t>
  </si>
  <si>
    <t>1893-11-10</t>
  </si>
  <si>
    <t>1893-03-14</t>
  </si>
  <si>
    <t>1892-04-26</t>
  </si>
  <si>
    <t>1889-03-13</t>
  </si>
  <si>
    <t>1890-09-15</t>
  </si>
  <si>
    <t>1892-01-25</t>
  </si>
  <si>
    <t>1896-12-20</t>
  </si>
  <si>
    <t>1883-10-12</t>
  </si>
  <si>
    <t>1885-03-25</t>
  </si>
  <si>
    <t>1892-07-21</t>
  </si>
  <si>
    <t>1897-04-05</t>
  </si>
  <si>
    <t>1897-03-21</t>
  </si>
  <si>
    <t>1893-11-27</t>
  </si>
  <si>
    <t>1896-03-23</t>
  </si>
  <si>
    <t>1895-02-05</t>
  </si>
  <si>
    <t>1899-03-16</t>
  </si>
  <si>
    <t>1897-11-01</t>
  </si>
  <si>
    <t>1896-09-10</t>
  </si>
  <si>
    <t>1885-11-04</t>
  </si>
  <si>
    <t>1891-11-14</t>
  </si>
  <si>
    <t>1899-12-18</t>
  </si>
  <si>
    <t>1893-12-14</t>
  </si>
  <si>
    <t>1891-09-02</t>
  </si>
  <si>
    <t>1898-04-15</t>
  </si>
  <si>
    <t>1884-11-29</t>
  </si>
  <si>
    <t>1892-03-12</t>
  </si>
  <si>
    <t>1884-04-22</t>
  </si>
  <si>
    <t>1884-04-30</t>
  </si>
  <si>
    <t>1888-02-03</t>
  </si>
  <si>
    <t>1898-09-30</t>
  </si>
  <si>
    <t>1883-10-28</t>
  </si>
  <si>
    <t>1890-03-22</t>
  </si>
  <si>
    <t>1883-12-18</t>
  </si>
  <si>
    <t>1884-07-23</t>
  </si>
  <si>
    <t>1893-02-11</t>
  </si>
  <si>
    <t>1883-12-26</t>
  </si>
  <si>
    <t>1899-09-26</t>
  </si>
  <si>
    <t>1886-06-12</t>
  </si>
  <si>
    <t>1892-07-20</t>
  </si>
  <si>
    <t>1891-06-28</t>
  </si>
  <si>
    <t>1886-07-21</t>
  </si>
  <si>
    <t>1891-01-25</t>
  </si>
  <si>
    <t>1896-11-14</t>
  </si>
  <si>
    <t>1895-01-11</t>
  </si>
  <si>
    <t>1886-03-30</t>
  </si>
  <si>
    <t>1897-02-22</t>
  </si>
  <si>
    <t>1889-12-19</t>
  </si>
  <si>
    <t>1894-06-24</t>
  </si>
  <si>
    <t>1887-10-26</t>
  </si>
  <si>
    <t>1895-12-16</t>
  </si>
  <si>
    <t>1890-12-23</t>
  </si>
  <si>
    <t>1883-05-25</t>
  </si>
  <si>
    <t>1895-12-28</t>
  </si>
  <si>
    <t>1883-09-13</t>
  </si>
  <si>
    <t>1889-11-09</t>
  </si>
  <si>
    <t>1894-08-06</t>
  </si>
  <si>
    <t>1895-05-31</t>
  </si>
  <si>
    <t>1896-04-17</t>
  </si>
  <si>
    <t>1886-12-27</t>
  </si>
  <si>
    <t>1886-02-27</t>
  </si>
  <si>
    <t>1897-12-26</t>
  </si>
  <si>
    <t>1892-12-13</t>
  </si>
  <si>
    <t>1885-09-06</t>
  </si>
  <si>
    <t>1895-12-08</t>
  </si>
  <si>
    <t>1889-12-26</t>
  </si>
  <si>
    <t>1898-10-18</t>
  </si>
  <si>
    <t>1899-04-06</t>
  </si>
  <si>
    <t>1892-02-23</t>
  </si>
  <si>
    <t>1898-04-30</t>
  </si>
  <si>
    <t>1887-06-20</t>
  </si>
  <si>
    <t>1891-02-07</t>
  </si>
  <si>
    <t>1899-05-03</t>
  </si>
  <si>
    <t>1897-08-26</t>
  </si>
  <si>
    <t>1885-12-18</t>
  </si>
  <si>
    <t>1899-01-04</t>
  </si>
  <si>
    <t>1898-07-27</t>
  </si>
  <si>
    <t>1883-07-10</t>
  </si>
  <si>
    <t>1894-10-02</t>
  </si>
  <si>
    <t>1894-12-13</t>
  </si>
  <si>
    <t>1890-04-06</t>
  </si>
  <si>
    <t>1893-01-17</t>
  </si>
  <si>
    <t>1899-06-26</t>
  </si>
  <si>
    <t>1888-02-02</t>
  </si>
  <si>
    <t>1892-02-13</t>
  </si>
  <si>
    <t>1888-05-15</t>
  </si>
  <si>
    <t>1893-07-07</t>
  </si>
  <si>
    <t>1898-07-22</t>
  </si>
  <si>
    <t>1893-10-13</t>
  </si>
  <si>
    <t>1888-09-13</t>
  </si>
  <si>
    <t>1889-07-18</t>
  </si>
  <si>
    <t>1892-03-04</t>
  </si>
  <si>
    <t>1898-08-05</t>
  </si>
  <si>
    <t>1883-12-13</t>
  </si>
  <si>
    <t>1898-03-22</t>
  </si>
  <si>
    <t>1888-07-16</t>
  </si>
  <si>
    <t>1887-01-30</t>
  </si>
  <si>
    <t>1886-10-15</t>
  </si>
  <si>
    <t>1892-06-25</t>
  </si>
  <si>
    <t>1899-12-03</t>
  </si>
  <si>
    <t>1899-04-01</t>
  </si>
  <si>
    <t>1892-01-30</t>
  </si>
  <si>
    <t>1891-10-25</t>
  </si>
  <si>
    <t>1896-04-14</t>
  </si>
  <si>
    <t>1899-12-20</t>
  </si>
  <si>
    <t>1897-08-07</t>
  </si>
  <si>
    <t>1895-04-06</t>
  </si>
  <si>
    <t>1891-09-19</t>
  </si>
  <si>
    <t>1884-10-16</t>
  </si>
  <si>
    <t>1888-07-22</t>
  </si>
  <si>
    <t>1885-03-13</t>
  </si>
  <si>
    <t>1886-12-23</t>
  </si>
  <si>
    <t>1891-10-01</t>
  </si>
  <si>
    <t>1890-07-13</t>
  </si>
  <si>
    <t>1894-07-26</t>
  </si>
  <si>
    <t>1898-10-15</t>
  </si>
  <si>
    <t>1890-06-09</t>
  </si>
  <si>
    <t>1899-01-19</t>
  </si>
  <si>
    <t>1899-02-12</t>
  </si>
  <si>
    <t>1895-05-18</t>
  </si>
  <si>
    <t>1899-06-09</t>
  </si>
  <si>
    <t>1892-05-26</t>
  </si>
  <si>
    <t>1898-12-01</t>
  </si>
  <si>
    <t>1895-10-05</t>
  </si>
  <si>
    <t>1898-09-25</t>
  </si>
  <si>
    <t>1884-02-26</t>
  </si>
  <si>
    <t>1896-07-07</t>
  </si>
  <si>
    <t>1945-04-00</t>
  </si>
  <si>
    <t>1898-12-28</t>
  </si>
  <si>
    <t>1893-05-23</t>
  </si>
  <si>
    <t>1886-05-07</t>
  </si>
  <si>
    <t>1891-06-17</t>
  </si>
  <si>
    <t>1889-09-24</t>
  </si>
  <si>
    <t>1896-11-19</t>
  </si>
  <si>
    <t>1885-06-15</t>
  </si>
  <si>
    <t>1896-10-15</t>
  </si>
  <si>
    <t>1897-10-16</t>
  </si>
  <si>
    <t>1897-04-08</t>
  </si>
  <si>
    <t>1887-02-20</t>
  </si>
  <si>
    <t>1889-02-08</t>
  </si>
  <si>
    <t>1898-01-12</t>
  </si>
  <si>
    <t>1888-01-27</t>
  </si>
  <si>
    <t>1895-04-02</t>
  </si>
  <si>
    <t>1890-04-16</t>
  </si>
  <si>
    <t>1896-12-18</t>
  </si>
  <si>
    <t>1887-12-16</t>
  </si>
  <si>
    <t>1897-05-08</t>
  </si>
  <si>
    <t>1884-12-13</t>
  </si>
  <si>
    <t>1899-11-23</t>
  </si>
  <si>
    <t>1892-09-23</t>
  </si>
  <si>
    <t>1899-04-27</t>
  </si>
  <si>
    <t>1887-08-17</t>
  </si>
  <si>
    <t>1881-12-08</t>
  </si>
  <si>
    <t>1891-02-21</t>
  </si>
  <si>
    <t>1891-12-27</t>
  </si>
  <si>
    <t>1885-06-23</t>
  </si>
  <si>
    <t>1892-01-09</t>
  </si>
  <si>
    <t>1888-03-24</t>
  </si>
  <si>
    <t>1898-11-17</t>
  </si>
  <si>
    <t>1883-05-05</t>
  </si>
  <si>
    <t>1889-12-11</t>
  </si>
  <si>
    <t>1886-08-31</t>
  </si>
  <si>
    <t>1888-06-03</t>
  </si>
  <si>
    <t>1894-03-02</t>
  </si>
  <si>
    <t>1888-05-08</t>
  </si>
  <si>
    <t>1882-10-07</t>
  </si>
  <si>
    <t>1883-01-10</t>
  </si>
  <si>
    <t>1885-09-16</t>
  </si>
  <si>
    <t>1896-08-13</t>
  </si>
  <si>
    <t>1891-04-15</t>
  </si>
  <si>
    <t>1896-10-31</t>
  </si>
  <si>
    <t>1899-05-31</t>
  </si>
  <si>
    <t>1889-08-03</t>
  </si>
  <si>
    <t>1897-12-11</t>
  </si>
  <si>
    <t>1887-09-08</t>
  </si>
  <si>
    <t>1888-11-24</t>
  </si>
  <si>
    <t>1898-08-02</t>
  </si>
  <si>
    <t>1887-02-10</t>
  </si>
  <si>
    <t>1899-09-24</t>
  </si>
  <si>
    <t>1893-05-26</t>
  </si>
  <si>
    <t>1887-10-01</t>
  </si>
  <si>
    <t>1895-01-05</t>
  </si>
  <si>
    <t>1898-11-21</t>
  </si>
  <si>
    <t>1898-01-22</t>
  </si>
  <si>
    <t>1885-01-29</t>
  </si>
  <si>
    <t>1887-02-23</t>
  </si>
  <si>
    <t>1899-06-17</t>
  </si>
  <si>
    <t>1897-01-18</t>
  </si>
  <si>
    <t>1884-04-13</t>
  </si>
  <si>
    <t>1891-08-27</t>
  </si>
  <si>
    <t>1885-06-29</t>
  </si>
  <si>
    <t>1897-08-31</t>
  </si>
  <si>
    <t>1895-05-28</t>
  </si>
  <si>
    <t>1889-06-01</t>
  </si>
  <si>
    <t>1898-09-19</t>
  </si>
  <si>
    <t>1888-02-13</t>
  </si>
  <si>
    <t>1895-01-24</t>
  </si>
  <si>
    <t>1891-10-13</t>
  </si>
  <si>
    <t>1890-03-14</t>
  </si>
  <si>
    <t>1881-06-07</t>
  </si>
  <si>
    <t>1885-10-06</t>
  </si>
  <si>
    <t>1882-02-04</t>
  </si>
  <si>
    <t>1891-06-13</t>
  </si>
  <si>
    <t>1897-07-30</t>
  </si>
  <si>
    <t>1888-05-30</t>
  </si>
  <si>
    <t>1894-11-10</t>
  </si>
  <si>
    <t>1892-12-26</t>
  </si>
  <si>
    <t>1882-11-06</t>
  </si>
  <si>
    <t>1887-01-19</t>
  </si>
  <si>
    <t>1883-10-03</t>
  </si>
  <si>
    <t>1895-03-28</t>
  </si>
  <si>
    <t>1892-01-28</t>
  </si>
  <si>
    <t>1898-05-30</t>
  </si>
  <si>
    <t>1887-09-18</t>
  </si>
  <si>
    <t>1896-12-10</t>
  </si>
  <si>
    <t>1898-11-26</t>
  </si>
  <si>
    <t>1895-02-20</t>
  </si>
  <si>
    <t>1898-02-11</t>
  </si>
  <si>
    <t>1899-12-15</t>
  </si>
  <si>
    <t>1894-04-26</t>
  </si>
  <si>
    <t>1881-12-26</t>
  </si>
  <si>
    <t>1889-09-17</t>
  </si>
  <si>
    <t>1892-05-14</t>
  </si>
  <si>
    <t>1896-11-12</t>
  </si>
  <si>
    <t>1899-10-15</t>
  </si>
  <si>
    <t>1889-09-09</t>
  </si>
  <si>
    <t>1896-04-21</t>
  </si>
  <si>
    <t>1889-03-16</t>
  </si>
  <si>
    <t>1898-05-17</t>
  </si>
  <si>
    <t>1893-12-20</t>
  </si>
  <si>
    <t>1899-05-21</t>
  </si>
  <si>
    <t>1895-06-24</t>
  </si>
  <si>
    <t>1892-06-28</t>
  </si>
  <si>
    <t>1894-10-06</t>
  </si>
  <si>
    <t>1898-11-08</t>
  </si>
  <si>
    <t>1897-04-16</t>
  </si>
  <si>
    <t>1882-10-04</t>
  </si>
  <si>
    <t>1896-07-23</t>
  </si>
  <si>
    <t>1898-05-03</t>
  </si>
  <si>
    <t>1896-06-08</t>
  </si>
  <si>
    <t>1889-01-08</t>
  </si>
  <si>
    <t>1888-02-08</t>
  </si>
  <si>
    <t>1890-03-04</t>
  </si>
  <si>
    <t>1889-05-18</t>
  </si>
  <si>
    <t>1880-05-21</t>
  </si>
  <si>
    <t>1899-09-16</t>
  </si>
  <si>
    <t>1892-07-29</t>
  </si>
  <si>
    <t>1889-03-24</t>
  </si>
  <si>
    <t>1896-01-02</t>
  </si>
  <si>
    <t>1895-08-20</t>
  </si>
  <si>
    <t>1891-08-21</t>
  </si>
  <si>
    <t>1896-01-23</t>
  </si>
  <si>
    <t>1896-12-28</t>
  </si>
  <si>
    <t>1890-02-08</t>
  </si>
  <si>
    <t>1895-08-08</t>
  </si>
  <si>
    <t>1884-01-27</t>
  </si>
  <si>
    <t>1899-01-28</t>
  </si>
  <si>
    <t>1883-01-21</t>
  </si>
  <si>
    <t>1893-11-04</t>
  </si>
  <si>
    <t>1899-08-02</t>
  </si>
  <si>
    <t>1883-03-04</t>
  </si>
  <si>
    <t>1897-05-04</t>
  </si>
  <si>
    <t>1887-09-24</t>
  </si>
  <si>
    <t>1894-10-29</t>
  </si>
  <si>
    <t>1899-06-15</t>
  </si>
  <si>
    <t>1897-04-23</t>
  </si>
  <si>
    <t>1887-05-26</t>
  </si>
  <si>
    <t>1890-01-09</t>
  </si>
  <si>
    <t>1888-03-04</t>
  </si>
  <si>
    <t>1883-06-18</t>
  </si>
  <si>
    <t>1897-03-11</t>
  </si>
  <si>
    <t>1885-05-04</t>
  </si>
  <si>
    <t>1895-12-07</t>
  </si>
  <si>
    <t>1883-03-23</t>
  </si>
  <si>
    <t>1893-01-12</t>
  </si>
  <si>
    <t>1894-01-29</t>
  </si>
  <si>
    <t>1893-07-13</t>
  </si>
  <si>
    <t>1892-10-06</t>
  </si>
  <si>
    <t>1899-10-16</t>
  </si>
  <si>
    <t>1896-06-01</t>
  </si>
  <si>
    <t>1890-05-14</t>
  </si>
  <si>
    <t>1886-08-20</t>
  </si>
  <si>
    <t>1886-10-02</t>
  </si>
  <si>
    <t>1894-02-15</t>
  </si>
  <si>
    <t>1890-02-04</t>
  </si>
  <si>
    <t>1896-03-30</t>
  </si>
  <si>
    <t>1886-01-19</t>
  </si>
  <si>
    <t>1890-01-28</t>
  </si>
  <si>
    <t>1885-02-26</t>
  </si>
  <si>
    <t>1882-06-06</t>
  </si>
  <si>
    <t>1894-01-13</t>
  </si>
  <si>
    <t>1884-05-12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</si>
</sst>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5029</v>
      </c>
      <c r="C2" t="s">
        <v>9310</v>
      </c>
      <c r="D2" t="s">
        <v>11386</v>
      </c>
      <c r="E2" s="2">
        <v>10137</v>
      </c>
      <c r="F2">
        <f>HYPERLINK("https://www2.assemblee-nationale.fr/sycomore/fiche/(num_dept)/8", "8.0")</f>
        <v>0</v>
      </c>
      <c r="H2">
        <f>HYPERLINK("https://www.wikidata.org/wiki/Q15278601", "Q15278601")</f>
        <v>0</v>
      </c>
    </row>
    <row r="3" spans="1:8">
      <c r="A3" t="s">
        <v>9</v>
      </c>
      <c r="B3" t="s">
        <v>5030</v>
      </c>
      <c r="C3" t="s">
        <v>6895</v>
      </c>
      <c r="D3" t="s">
        <v>11387</v>
      </c>
      <c r="E3" s="2">
        <v>20017</v>
      </c>
      <c r="F3">
        <f>HYPERLINK("https://www2.assemblee-nationale.fr/sycomore/fiche/(num_dept)/11", "11.0")</f>
        <v>0</v>
      </c>
      <c r="H3">
        <f>HYPERLINK("https://www.wikidata.org/wiki/Q3093571", "Q3093571")</f>
        <v>0</v>
      </c>
    </row>
    <row r="4" spans="1:8">
      <c r="A4" t="s">
        <v>10</v>
      </c>
      <c r="B4" t="s">
        <v>5031</v>
      </c>
      <c r="C4" t="s">
        <v>9159</v>
      </c>
      <c r="D4" t="s">
        <v>11388</v>
      </c>
      <c r="E4" s="2">
        <v>912</v>
      </c>
      <c r="F4">
        <f>HYPERLINK("https://www2.assemblee-nationale.fr/sycomore/fiche/(num_dept)/15", "15.0")</f>
        <v>0</v>
      </c>
      <c r="G4">
        <f>HYPERLINK("https://www.senat.fr/senateur-3eme-republique/abeille_valentin0093r3.html", "abeille_valentin0093r3")</f>
        <v>0</v>
      </c>
      <c r="H4">
        <f>HYPERLINK("https://www.wikidata.org/wiki/Q3553555", "Q3553555")</f>
        <v>0</v>
      </c>
    </row>
    <row r="5" spans="1:8">
      <c r="A5" t="s">
        <v>11</v>
      </c>
      <c r="B5" t="s">
        <v>5032</v>
      </c>
      <c r="C5" t="s">
        <v>9311</v>
      </c>
      <c r="D5" t="s">
        <v>11389</v>
      </c>
      <c r="E5" s="2">
        <v>3634</v>
      </c>
      <c r="F5">
        <f>HYPERLINK("https://www2.assemblee-nationale.fr/sycomore/fiche/(num_dept)/17", "17.0")</f>
        <v>0</v>
      </c>
      <c r="H5">
        <f>HYPERLINK("https://www.wikidata.org/wiki/Q3588300", "Q3588300")</f>
        <v>0</v>
      </c>
    </row>
    <row r="6" spans="1:8">
      <c r="A6" t="s">
        <v>12</v>
      </c>
      <c r="B6" t="s">
        <v>5033</v>
      </c>
      <c r="C6" t="s">
        <v>9312</v>
      </c>
      <c r="D6" t="s">
        <v>11390</v>
      </c>
      <c r="E6" s="2">
        <v>7944</v>
      </c>
      <c r="H6">
        <f>HYPERLINK("https://www.wikidata.org/wiki/Q1638390", "Q1638390")</f>
        <v>0</v>
      </c>
    </row>
    <row r="7" spans="1:8">
      <c r="A7" t="s">
        <v>13</v>
      </c>
      <c r="B7" t="s">
        <v>5034</v>
      </c>
      <c r="C7" t="s">
        <v>9313</v>
      </c>
      <c r="D7" t="s">
        <v>11391</v>
      </c>
      <c r="E7" s="2">
        <v>19768</v>
      </c>
      <c r="F7">
        <f>HYPERLINK("https://www2.assemblee-nationale.fr/sycomore/fiche/(num_dept)/21", "21.0")</f>
        <v>0</v>
      </c>
      <c r="H7">
        <f>HYPERLINK("https://www.wikidata.org/wiki/Q3098893", "Q3098893")</f>
        <v>0</v>
      </c>
    </row>
    <row r="8" spans="1:8">
      <c r="A8" t="s">
        <v>14</v>
      </c>
      <c r="B8" t="s">
        <v>5035</v>
      </c>
      <c r="C8" t="s">
        <v>9314</v>
      </c>
      <c r="D8" t="s">
        <v>11392</v>
      </c>
      <c r="E8" s="2">
        <v>14250</v>
      </c>
      <c r="F8">
        <f>HYPERLINK("https://www2.assemblee-nationale.fr/sycomore/fiche/(num_dept)/24", "24.0")</f>
        <v>0</v>
      </c>
      <c r="H8">
        <f>HYPERLINK("https://www.wikidata.org/wiki/Q2370802", "Q2370802")</f>
        <v>0</v>
      </c>
    </row>
    <row r="9" spans="1:8">
      <c r="A9" t="s">
        <v>15</v>
      </c>
      <c r="B9" t="s">
        <v>5036</v>
      </c>
      <c r="C9" t="s">
        <v>9315</v>
      </c>
      <c r="D9" t="s">
        <v>11393</v>
      </c>
      <c r="E9" t="s">
        <v>15816</v>
      </c>
      <c r="F9">
        <f>HYPERLINK("https://www2.assemblee-nationale.fr/sycomore/fiche/(num_dept)/25", "25.0")</f>
        <v>0</v>
      </c>
      <c r="H9">
        <f>HYPERLINK("https://www.wikidata.org/wiki/Q15302973", "Q15302973")</f>
        <v>0</v>
      </c>
    </row>
    <row r="10" spans="1:8">
      <c r="A10" t="s">
        <v>16</v>
      </c>
      <c r="B10" t="s">
        <v>5037</v>
      </c>
      <c r="C10" t="s">
        <v>9316</v>
      </c>
      <c r="D10" t="s">
        <v>11394</v>
      </c>
      <c r="E10" s="2">
        <v>12644</v>
      </c>
      <c r="F10">
        <f>HYPERLINK("https://www2.assemblee-nationale.fr/sycomore/fiche/(num_dept)/27", "27.0")</f>
        <v>0</v>
      </c>
      <c r="H10">
        <f>HYPERLINK("https://www.wikidata.org/wiki/Q3270670", "Q3270670")</f>
        <v>0</v>
      </c>
    </row>
    <row r="11" spans="1:8">
      <c r="A11" t="s">
        <v>17</v>
      </c>
      <c r="B11" t="s">
        <v>5038</v>
      </c>
      <c r="C11" t="s">
        <v>9317</v>
      </c>
      <c r="D11" t="s">
        <v>11395</v>
      </c>
      <c r="E11" t="s">
        <v>15817</v>
      </c>
      <c r="F11">
        <f>HYPERLINK("https://www2.assemblee-nationale.fr/sycomore/fiche/(num_dept)/8042", "8042.0")</f>
        <v>0</v>
      </c>
      <c r="H11">
        <f>HYPERLINK("https://www.wikidata.org/wiki/Q2825109", "Q2825109")</f>
        <v>0</v>
      </c>
    </row>
    <row r="12" spans="1:8">
      <c r="A12" t="s">
        <v>18</v>
      </c>
      <c r="B12" t="s">
        <v>5039</v>
      </c>
      <c r="C12" t="s">
        <v>9318</v>
      </c>
      <c r="D12" t="s">
        <v>11396</v>
      </c>
      <c r="E12" t="s">
        <v>15818</v>
      </c>
      <c r="F12">
        <f>HYPERLINK("https://www2.assemblee-nationale.fr/sycomore/fiche/(num_dept)/36", "36.0")</f>
        <v>0</v>
      </c>
      <c r="H12">
        <f>HYPERLINK("https://www.wikidata.org/wiki/Q2823031", "Q2823031")</f>
        <v>0</v>
      </c>
    </row>
    <row r="13" spans="1:8">
      <c r="A13" t="s">
        <v>19</v>
      </c>
      <c r="B13" t="s">
        <v>5040</v>
      </c>
      <c r="C13" t="s">
        <v>6895</v>
      </c>
      <c r="D13" t="s">
        <v>11397</v>
      </c>
      <c r="E13" t="s">
        <v>14707</v>
      </c>
      <c r="G13">
        <f>HYPERLINK("https://www.senat.fr/senateur-3eme-republique/adam_gabriel1595r3.html", "adam_gabriel1595r3")</f>
        <v>0</v>
      </c>
      <c r="H13">
        <f>HYPERLINK("https://www.wikidata.org/wiki/Q3093575", "Q3093575")</f>
        <v>0</v>
      </c>
    </row>
    <row r="14" spans="1:8">
      <c r="A14" t="s">
        <v>20</v>
      </c>
      <c r="B14" t="s">
        <v>5041</v>
      </c>
      <c r="C14" t="s">
        <v>9319</v>
      </c>
      <c r="D14" t="s">
        <v>11398</v>
      </c>
      <c r="E14" s="2">
        <v>5463</v>
      </c>
      <c r="F14">
        <f>HYPERLINK("https://www2.assemblee-nationale.fr/sycomore/fiche/(num_dept)/32", "32.0")</f>
        <v>0</v>
      </c>
      <c r="H14">
        <f>HYPERLINK("https://www.wikidata.org/wiki/Q2823029", "Q2823029")</f>
        <v>0</v>
      </c>
    </row>
    <row r="15" spans="1:8">
      <c r="A15" t="s">
        <v>21</v>
      </c>
      <c r="B15" t="s">
        <v>5041</v>
      </c>
      <c r="C15" t="s">
        <v>9320</v>
      </c>
      <c r="D15" t="s">
        <v>11399</v>
      </c>
      <c r="E15" s="2">
        <v>20096</v>
      </c>
      <c r="F15">
        <f>HYPERLINK("https://www2.assemblee-nationale.fr/sycomore/fiche/(num_dept)/35", "35.0")</f>
        <v>0</v>
      </c>
      <c r="H15">
        <f>HYPERLINK("https://www.wikidata.org/wiki/Q3425740", "Q3425740")</f>
        <v>0</v>
      </c>
    </row>
    <row r="16" spans="1:8">
      <c r="A16" t="s">
        <v>22</v>
      </c>
      <c r="B16" t="s">
        <v>5041</v>
      </c>
      <c r="C16" t="s">
        <v>9321</v>
      </c>
      <c r="D16" t="s">
        <v>11400</v>
      </c>
      <c r="E16" s="2">
        <v>18135</v>
      </c>
      <c r="F16">
        <f>HYPERLINK("https://www2.assemblee-nationale.fr/sycomore/fiche/(num_dept)/34", "34.0")</f>
        <v>0</v>
      </c>
      <c r="H16">
        <f>HYPERLINK("https://www.wikidata.org/wiki/Q3170281", "Q3170281")</f>
        <v>0</v>
      </c>
    </row>
    <row r="17" spans="1:8">
      <c r="A17" t="s">
        <v>23</v>
      </c>
      <c r="B17" t="s">
        <v>5042</v>
      </c>
      <c r="C17" t="s">
        <v>9322</v>
      </c>
      <c r="D17" t="s">
        <v>11401</v>
      </c>
      <c r="E17" s="2">
        <v>15025</v>
      </c>
      <c r="F17">
        <f>HYPERLINK("https://www2.assemblee-nationale.fr/sycomore/fiche/(num_dept)/37", "37.0")</f>
        <v>0</v>
      </c>
      <c r="H17">
        <f>HYPERLINK("https://www.wikidata.org/wiki/Q3093576", "Q3093576")</f>
        <v>0</v>
      </c>
    </row>
    <row r="18" spans="1:8">
      <c r="A18" t="s">
        <v>24</v>
      </c>
      <c r="B18" t="s">
        <v>5043</v>
      </c>
      <c r="C18" t="s">
        <v>9323</v>
      </c>
      <c r="D18" t="s">
        <v>11402</v>
      </c>
      <c r="E18" s="2">
        <v>5118</v>
      </c>
      <c r="F18">
        <f>HYPERLINK("https://www2.assemblee-nationale.fr/sycomore/fiche/(num_dept)/39", "39.0")</f>
        <v>0</v>
      </c>
      <c r="H18">
        <f>HYPERLINK("https://www.wikidata.org/wiki/Q15973142", "Q15973142")</f>
        <v>0</v>
      </c>
    </row>
    <row r="19" spans="1:8">
      <c r="A19" t="s">
        <v>25</v>
      </c>
      <c r="B19" t="s">
        <v>5044</v>
      </c>
      <c r="C19" t="s">
        <v>7342</v>
      </c>
      <c r="D19" t="s">
        <v>11403</v>
      </c>
      <c r="G19">
        <f>HYPERLINK("https://www.senat.fr/senateur-3eme-republique/adnet_jean1082r3.html", "adnet_jean1082r3")</f>
        <v>0</v>
      </c>
      <c r="H19">
        <f>HYPERLINK("https://www.wikidata.org/wiki/Q3170287", "Q3170287")</f>
        <v>0</v>
      </c>
    </row>
    <row r="20" spans="1:8">
      <c r="A20" t="s">
        <v>26</v>
      </c>
      <c r="B20" t="s">
        <v>5045</v>
      </c>
      <c r="C20" t="s">
        <v>7754</v>
      </c>
      <c r="D20" t="s">
        <v>11404</v>
      </c>
      <c r="E20" s="2">
        <v>15507</v>
      </c>
      <c r="F20">
        <f>HYPERLINK("https://www2.assemblee-nationale.fr/sycomore/fiche/(num_dept)/42", "42.0")</f>
        <v>0</v>
      </c>
      <c r="H20">
        <f>HYPERLINK("https://www.wikidata.org/wiki/Q15973188", "Q15973188")</f>
        <v>0</v>
      </c>
    </row>
    <row r="21" spans="1:8">
      <c r="A21" t="s">
        <v>27</v>
      </c>
      <c r="B21" t="s">
        <v>5046</v>
      </c>
      <c r="C21" t="s">
        <v>7754</v>
      </c>
      <c r="D21" t="s">
        <v>11405</v>
      </c>
      <c r="E21" s="2">
        <v>10353</v>
      </c>
      <c r="G21">
        <f>HYPERLINK("https://www.senat.fr/senateur-3eme-republique/aguillon_louis1636r3.html", "aguillon_louis1636r3")</f>
        <v>0</v>
      </c>
      <c r="H21">
        <f>HYPERLINK("https://www.wikidata.org/wiki/Q3260983", "Q3260983")</f>
        <v>0</v>
      </c>
    </row>
    <row r="22" spans="1:8">
      <c r="A22" t="s">
        <v>28</v>
      </c>
      <c r="B22" t="s">
        <v>5047</v>
      </c>
      <c r="C22" t="s">
        <v>9324</v>
      </c>
      <c r="D22" t="s">
        <v>11406</v>
      </c>
      <c r="E22" s="2">
        <v>9888</v>
      </c>
      <c r="F22">
        <f>HYPERLINK("https://www2.assemblee-nationale.fr/sycomore/fiche/(num_dept)/47", "47.0")</f>
        <v>0</v>
      </c>
      <c r="H22">
        <f>HYPERLINK("https://www.wikidata.org/wiki/Q3130531", "Q3130531")</f>
        <v>0</v>
      </c>
    </row>
    <row r="23" spans="1:8">
      <c r="A23" t="s">
        <v>29</v>
      </c>
      <c r="B23" t="s">
        <v>5048</v>
      </c>
      <c r="C23" t="s">
        <v>9325</v>
      </c>
      <c r="D23" t="s">
        <v>11407</v>
      </c>
      <c r="E23" s="2">
        <v>8914</v>
      </c>
      <c r="F23">
        <f>HYPERLINK("https://www2.assemblee-nationale.fr/sycomore/fiche/(num_dept)/48", "48.0")</f>
        <v>0</v>
      </c>
      <c r="H23">
        <f>HYPERLINK("https://www.wikidata.org/wiki/Q3089557", "Q3089557")</f>
        <v>0</v>
      </c>
    </row>
    <row r="24" spans="1:8">
      <c r="A24" t="s">
        <v>30</v>
      </c>
      <c r="B24" t="s">
        <v>5049</v>
      </c>
      <c r="C24" t="s">
        <v>9324</v>
      </c>
      <c r="D24" t="s">
        <v>11408</v>
      </c>
      <c r="E24" s="2">
        <v>9853</v>
      </c>
      <c r="F24">
        <f>HYPERLINK("https://www2.assemblee-nationale.fr/sycomore/fiche/(num_dept)/55", "55.0")</f>
        <v>0</v>
      </c>
      <c r="H24">
        <f>HYPERLINK("https://www.wikidata.org/wiki/Q15973181", "Q15973181")</f>
        <v>0</v>
      </c>
    </row>
    <row r="25" spans="1:8">
      <c r="A25" t="s">
        <v>31</v>
      </c>
      <c r="B25" t="s">
        <v>5050</v>
      </c>
      <c r="C25" t="s">
        <v>9326</v>
      </c>
      <c r="D25" t="s">
        <v>11409</v>
      </c>
      <c r="E25" s="2">
        <v>6328</v>
      </c>
      <c r="F25">
        <f>HYPERLINK("https://www2.assemblee-nationale.fr/sycomore/fiche/(num_dept)/56", "56.0")</f>
        <v>0</v>
      </c>
      <c r="G25">
        <f>HYPERLINK("https://www.senat.fr/senateur-3eme-republique/aimond_emile1666r3.html", "aimond_emile1666r3")</f>
        <v>0</v>
      </c>
      <c r="H25">
        <f>HYPERLINK("https://www.wikidata.org/wiki/Q3588304", "Q3588304")</f>
        <v>0</v>
      </c>
    </row>
    <row r="26" spans="1:8">
      <c r="A26" t="s">
        <v>32</v>
      </c>
      <c r="B26" t="s">
        <v>5050</v>
      </c>
      <c r="C26" t="s">
        <v>9327</v>
      </c>
      <c r="D26" t="s">
        <v>11410</v>
      </c>
      <c r="E26" s="2">
        <v>8527</v>
      </c>
      <c r="F26">
        <f>HYPERLINK("https://www2.assemblee-nationale.fr/sycomore/fiche/(num_dept)/57", "57.0")</f>
        <v>0</v>
      </c>
      <c r="H26">
        <f>HYPERLINK("https://www.wikidata.org/wiki/Q3102114", "Q3102114")</f>
        <v>0</v>
      </c>
    </row>
    <row r="27" spans="1:8">
      <c r="A27" t="s">
        <v>33</v>
      </c>
      <c r="B27" t="s">
        <v>5051</v>
      </c>
      <c r="C27" t="s">
        <v>9328</v>
      </c>
      <c r="D27" t="s">
        <v>11411</v>
      </c>
      <c r="E27" s="2">
        <v>16128</v>
      </c>
      <c r="F27">
        <f>HYPERLINK("https://www2.assemblee-nationale.fr/sycomore/fiche/(num_dept)/61", "61.0")</f>
        <v>0</v>
      </c>
      <c r="G27">
        <f>HYPERLINK("https://www.senat.fr/senateur-3eme-republique/ajam_pierre1240r3.html", "ajam_pierre1240r3")</f>
        <v>0</v>
      </c>
      <c r="H27">
        <f>HYPERLINK("https://www.wikidata.org/wiki/Q3383653", "Q3383653")</f>
        <v>0</v>
      </c>
    </row>
    <row r="28" spans="1:8">
      <c r="A28" t="s">
        <v>34</v>
      </c>
      <c r="B28" t="s">
        <v>5052</v>
      </c>
      <c r="C28" t="s">
        <v>9329</v>
      </c>
      <c r="D28" t="s">
        <v>11412</v>
      </c>
      <c r="E28" s="2">
        <v>5999</v>
      </c>
      <c r="F28">
        <f>HYPERLINK("https://www2.assemblee-nationale.fr/sycomore/fiche/(num_dept)/67", "67.0")</f>
        <v>0</v>
      </c>
      <c r="G28">
        <f>HYPERLINK("https://www.senat.fr/senateur-3eme-republique/alasseur_gustave0506r3.html", "alasseur_gustave0506r3")</f>
        <v>0</v>
      </c>
      <c r="H28">
        <f>HYPERLINK("https://www.wikidata.org/wiki/Q3121099", "Q3121099")</f>
        <v>0</v>
      </c>
    </row>
    <row r="29" spans="1:8">
      <c r="A29" t="s">
        <v>35</v>
      </c>
      <c r="B29" t="s">
        <v>5053</v>
      </c>
      <c r="C29" t="s">
        <v>9330</v>
      </c>
      <c r="D29" t="s">
        <v>11413</v>
      </c>
      <c r="E29" s="2">
        <v>16772</v>
      </c>
      <c r="H29">
        <f>HYPERLINK("https://www.wikidata.org/wiki/Q7125983", "Q7125983")</f>
        <v>0</v>
      </c>
    </row>
    <row r="30" spans="1:8">
      <c r="A30" t="s">
        <v>36</v>
      </c>
      <c r="B30" t="s">
        <v>5054</v>
      </c>
      <c r="C30" t="s">
        <v>9331</v>
      </c>
      <c r="D30" t="s">
        <v>11414</v>
      </c>
      <c r="E30" s="2">
        <v>19161</v>
      </c>
      <c r="F30">
        <f>HYPERLINK("https://www2.assemblee-nationale.fr/sycomore/fiche/(num_dept)/70", "70.0")</f>
        <v>0</v>
      </c>
      <c r="H30">
        <f>HYPERLINK("https://www.wikidata.org/wiki/Q2830887", "Q2830887")</f>
        <v>0</v>
      </c>
    </row>
    <row r="31" spans="1:8">
      <c r="A31" t="s">
        <v>37</v>
      </c>
      <c r="B31" t="s">
        <v>5054</v>
      </c>
      <c r="C31" t="s">
        <v>9332</v>
      </c>
      <c r="D31" t="s">
        <v>11415</v>
      </c>
      <c r="E31" s="2">
        <v>19161</v>
      </c>
      <c r="H31">
        <f>HYPERLINK("https://www.wikidata.org/wiki/Q2830887", "Q2830887")</f>
        <v>0</v>
      </c>
    </row>
    <row r="32" spans="1:8">
      <c r="A32" t="s">
        <v>38</v>
      </c>
      <c r="B32" t="s">
        <v>5055</v>
      </c>
      <c r="C32" t="s">
        <v>9333</v>
      </c>
      <c r="D32" t="s">
        <v>11416</v>
      </c>
      <c r="E32" s="2">
        <v>2057</v>
      </c>
      <c r="F32">
        <f>HYPERLINK("https://www2.assemblee-nationale.fr/sycomore/fiche/(num_dept)/71", "71.0")</f>
        <v>0</v>
      </c>
      <c r="H32">
        <f>HYPERLINK("https://www.wikidata.org/wiki/Q8320752", "Q8320752")</f>
        <v>0</v>
      </c>
    </row>
    <row r="33" spans="1:8">
      <c r="A33" t="s">
        <v>39</v>
      </c>
      <c r="B33" t="s">
        <v>5056</v>
      </c>
      <c r="C33" t="s">
        <v>9334</v>
      </c>
      <c r="D33" t="s">
        <v>11417</v>
      </c>
      <c r="E33" s="2">
        <v>5923</v>
      </c>
      <c r="F33">
        <f>HYPERLINK("https://www2.assemblee-nationale.fr/sycomore/fiche/(num_dept)/72", "72.0")</f>
        <v>0</v>
      </c>
      <c r="H33">
        <f>HYPERLINK("https://www.wikidata.org/wiki/Q3099819", "Q3099819")</f>
        <v>0</v>
      </c>
    </row>
    <row r="34" spans="1:8">
      <c r="A34" t="s">
        <v>40</v>
      </c>
      <c r="B34" t="s">
        <v>5057</v>
      </c>
      <c r="C34" t="s">
        <v>9335</v>
      </c>
      <c r="D34" t="s">
        <v>11418</v>
      </c>
      <c r="E34" s="2">
        <v>11817</v>
      </c>
      <c r="F34">
        <f>HYPERLINK("https://www2.assemblee-nationale.fr/sycomore/fiche/(num_dept)/7042", "7042.0")</f>
        <v>0</v>
      </c>
      <c r="H34">
        <f>HYPERLINK("https://www.wikidata.org/wiki/Q2025679", "Q2025679")</f>
        <v>0</v>
      </c>
    </row>
    <row r="35" spans="1:8">
      <c r="A35" t="s">
        <v>41</v>
      </c>
      <c r="B35" t="s">
        <v>5058</v>
      </c>
      <c r="C35" t="s">
        <v>6864</v>
      </c>
      <c r="D35" t="s">
        <v>11419</v>
      </c>
      <c r="E35" s="2">
        <v>12381</v>
      </c>
      <c r="G35">
        <f>HYPERLINK("https://www.senat.fr/senateur-3eme-republique/albert_francois1773r3.html", "albert_francois1773r3")</f>
        <v>0</v>
      </c>
      <c r="H35">
        <f>HYPERLINK("https://www.wikidata.org/wiki/Q3083780", "Q3083780")</f>
        <v>0</v>
      </c>
    </row>
    <row r="36" spans="1:8">
      <c r="A36" t="s">
        <v>42</v>
      </c>
      <c r="B36" t="s">
        <v>5059</v>
      </c>
      <c r="C36" t="s">
        <v>9336</v>
      </c>
      <c r="D36" t="s">
        <v>11420</v>
      </c>
      <c r="E36" s="2">
        <v>18543</v>
      </c>
      <c r="F36">
        <f>HYPERLINK("https://www2.assemblee-nationale.fr/sycomore/fiche/(num_dept)/74", "74.0")</f>
        <v>0</v>
      </c>
      <c r="H36">
        <f>HYPERLINK("https://www.wikidata.org/wiki/Q3063540", "Q3063540")</f>
        <v>0</v>
      </c>
    </row>
    <row r="37" spans="1:8">
      <c r="A37" t="s">
        <v>43</v>
      </c>
      <c r="B37" t="s">
        <v>5060</v>
      </c>
      <c r="C37" t="s">
        <v>9337</v>
      </c>
      <c r="D37" t="s">
        <v>11421</v>
      </c>
      <c r="E37" s="2">
        <v>24803</v>
      </c>
      <c r="F37">
        <f>HYPERLINK("https://www2.assemblee-nationale.fr/sycomore/fiche/(num_dept)/75", "75.0")</f>
        <v>0</v>
      </c>
      <c r="G37">
        <f>HYPERLINK("https://www.senat.fr/senateur-3eme-republique/albertini_augustin0254r3.html", "albertini_augustin0254r3")</f>
        <v>0</v>
      </c>
      <c r="H37">
        <f>HYPERLINK("https://www.wikidata.org/wiki/Q2871022", "Q2871022")</f>
        <v>0</v>
      </c>
    </row>
    <row r="38" spans="1:8">
      <c r="A38" t="s">
        <v>44</v>
      </c>
      <c r="B38" t="s">
        <v>5061</v>
      </c>
      <c r="C38" t="s">
        <v>9338</v>
      </c>
      <c r="D38" t="s">
        <v>11422</v>
      </c>
      <c r="E38" s="2">
        <v>7786</v>
      </c>
      <c r="F38">
        <f>HYPERLINK("https://www2.assemblee-nationale.fr/sycomore/fiche/(num_dept)/80", "80.0")</f>
        <v>0</v>
      </c>
      <c r="H38">
        <f>HYPERLINK("https://www.wikidata.org/wiki/Q12948740", "Q12948740")</f>
        <v>0</v>
      </c>
    </row>
    <row r="39" spans="1:8">
      <c r="A39" t="s">
        <v>45</v>
      </c>
      <c r="B39" t="s">
        <v>5062</v>
      </c>
      <c r="C39" t="s">
        <v>9339</v>
      </c>
      <c r="D39" t="s">
        <v>11423</v>
      </c>
      <c r="E39" s="2">
        <v>9005</v>
      </c>
      <c r="F39">
        <f>HYPERLINK("https://www2.assemblee-nationale.fr/sycomore/fiche/(num_dept)/843", "843.0")</f>
        <v>0</v>
      </c>
      <c r="H39">
        <f>HYPERLINK("https://www.wikidata.org/wiki/Q2833471", "Q2833471")</f>
        <v>0</v>
      </c>
    </row>
    <row r="40" spans="1:8">
      <c r="A40" t="s">
        <v>46</v>
      </c>
      <c r="B40" t="s">
        <v>5063</v>
      </c>
      <c r="C40" t="s">
        <v>9324</v>
      </c>
      <c r="D40" t="s">
        <v>11424</v>
      </c>
      <c r="E40" s="2">
        <v>20561</v>
      </c>
      <c r="G40">
        <f>HYPERLINK("https://www.senat.fr/senateur-3eme-republique/alheritiere_henri0651r3.html", "alheritiere_henri0651r3")</f>
        <v>0</v>
      </c>
      <c r="H40">
        <f>HYPERLINK("https://www.wikidata.org/wiki/Q3130542", "Q3130542")</f>
        <v>0</v>
      </c>
    </row>
    <row r="41" spans="1:8">
      <c r="A41" t="s">
        <v>47</v>
      </c>
      <c r="B41" t="s">
        <v>5064</v>
      </c>
      <c r="C41" t="s">
        <v>9340</v>
      </c>
      <c r="D41" t="s">
        <v>11425</v>
      </c>
      <c r="E41" s="2">
        <v>23167</v>
      </c>
      <c r="H41">
        <f>HYPERLINK("https://www.wikidata.org/wiki/Q2029323", "Q2029323")</f>
        <v>0</v>
      </c>
    </row>
    <row r="42" spans="1:8">
      <c r="A42" t="s">
        <v>48</v>
      </c>
      <c r="B42" t="s">
        <v>5065</v>
      </c>
      <c r="C42" t="s">
        <v>9341</v>
      </c>
      <c r="D42" t="s">
        <v>11426</v>
      </c>
      <c r="E42" s="2">
        <v>4453</v>
      </c>
      <c r="F42">
        <f>HYPERLINK("https://www2.assemblee-nationale.fr/sycomore/fiche/(num_dept)/85", "85.0")</f>
        <v>0</v>
      </c>
      <c r="H42">
        <f>HYPERLINK("https://www.wikidata.org/wiki/Q15973226", "Q15973226")</f>
        <v>0</v>
      </c>
    </row>
    <row r="43" spans="1:8">
      <c r="A43" t="s">
        <v>49</v>
      </c>
      <c r="B43" t="s">
        <v>5066</v>
      </c>
      <c r="C43" t="s">
        <v>6864</v>
      </c>
      <c r="D43" t="s">
        <v>11427</v>
      </c>
      <c r="E43" s="2">
        <v>928</v>
      </c>
      <c r="H43">
        <f>HYPERLINK("https://www.wikidata.org/wiki/Q2060426", "Q2060426")</f>
        <v>0</v>
      </c>
    </row>
    <row r="44" spans="1:8">
      <c r="A44" t="s">
        <v>50</v>
      </c>
      <c r="B44" t="s">
        <v>5066</v>
      </c>
      <c r="C44" t="s">
        <v>9342</v>
      </c>
      <c r="D44" t="s">
        <v>11428</v>
      </c>
      <c r="E44" s="2">
        <v>928</v>
      </c>
      <c r="F44">
        <f>HYPERLINK("https://www2.assemblee-nationale.fr/sycomore/fiche/(num_dept)/7892", "7892.0")</f>
        <v>0</v>
      </c>
      <c r="H44">
        <f>HYPERLINK("https://www.wikidata.org/wiki/Q2060426", "Q2060426")</f>
        <v>0</v>
      </c>
    </row>
    <row r="45" spans="1:8">
      <c r="A45" t="s">
        <v>51</v>
      </c>
      <c r="B45" t="s">
        <v>5067</v>
      </c>
      <c r="C45" t="s">
        <v>9343</v>
      </c>
      <c r="D45" t="s">
        <v>11429</v>
      </c>
      <c r="F45">
        <f>HYPERLINK("https://www2.assemblee-nationale.fr/sycomore/fiche/(num_dept)/88", "88.0")</f>
        <v>0</v>
      </c>
      <c r="H45">
        <f>HYPERLINK("https://www.wikidata.org/wiki/Q3300310", "Q3300310")</f>
        <v>0</v>
      </c>
    </row>
    <row r="46" spans="1:8">
      <c r="A46" t="s">
        <v>52</v>
      </c>
      <c r="B46" t="s">
        <v>5068</v>
      </c>
      <c r="C46" t="s">
        <v>9256</v>
      </c>
      <c r="D46" t="s">
        <v>11430</v>
      </c>
      <c r="E46" t="s">
        <v>15819</v>
      </c>
      <c r="G46">
        <f>HYPERLINK("https://www.senat.fr/senateur-3eme-republique/allegre_vincent0697r3.html", "allegre_vincent0697r3")</f>
        <v>0</v>
      </c>
      <c r="H46">
        <f>HYPERLINK("https://www.wikidata.org/wiki/Q3559455", "Q3559455")</f>
        <v>0</v>
      </c>
    </row>
    <row r="47" spans="1:8">
      <c r="A47" t="s">
        <v>53</v>
      </c>
      <c r="B47" t="s">
        <v>5069</v>
      </c>
      <c r="C47" t="s">
        <v>5967</v>
      </c>
      <c r="D47" t="s">
        <v>11431</v>
      </c>
      <c r="E47" s="2">
        <v>87</v>
      </c>
      <c r="G47">
        <f>HYPERLINK("https://www.senat.fr/senateur-3eme-republique/allemand_clement0512r3.html", "allemand_clement0512r3")</f>
        <v>0</v>
      </c>
      <c r="H47">
        <f>HYPERLINK("https://www.wikidata.org/wiki/Q2980566", "Q2980566")</f>
        <v>0</v>
      </c>
    </row>
    <row r="48" spans="1:8">
      <c r="A48" t="s">
        <v>54</v>
      </c>
      <c r="B48" t="s">
        <v>5069</v>
      </c>
      <c r="C48" t="s">
        <v>9344</v>
      </c>
      <c r="D48" t="s">
        <v>11432</v>
      </c>
      <c r="E48" s="2">
        <v>6602</v>
      </c>
      <c r="G48">
        <f>HYPERLINK("https://www.senat.fr/senateur-3eme-republique/allemand_cesar0058r3.html", "allemand_cesar0058r3")</f>
        <v>0</v>
      </c>
      <c r="H48">
        <f>HYPERLINK("https://www.wikidata.org/wiki/Q3010406", "Q3010406")</f>
        <v>0</v>
      </c>
    </row>
    <row r="49" spans="1:8">
      <c r="A49" t="s">
        <v>55</v>
      </c>
      <c r="B49" t="s">
        <v>5070</v>
      </c>
      <c r="C49" t="s">
        <v>7342</v>
      </c>
      <c r="D49" t="s">
        <v>11433</v>
      </c>
      <c r="E49" s="2">
        <v>12941</v>
      </c>
      <c r="F49">
        <f>HYPERLINK("https://www2.assemblee-nationale.fr/sycomore/fiche/(num_dept)/92", "92.0")</f>
        <v>0</v>
      </c>
      <c r="H49">
        <f>HYPERLINK("https://www.wikidata.org/wiki/Q539458", "Q539458")</f>
        <v>0</v>
      </c>
    </row>
    <row r="50" spans="1:8">
      <c r="A50" t="s">
        <v>56</v>
      </c>
      <c r="B50" t="s">
        <v>5071</v>
      </c>
      <c r="C50" t="s">
        <v>9345</v>
      </c>
      <c r="D50" t="s">
        <v>11434</v>
      </c>
      <c r="E50" s="2">
        <v>1386</v>
      </c>
      <c r="F50">
        <f>HYPERLINK("https://www2.assemblee-nationale.fr/sycomore/fiche/(num_dept)/98", "98.0")</f>
        <v>0</v>
      </c>
      <c r="H50">
        <f>HYPERLINK("https://www.wikidata.org/wiki/Q15973216", "Q15973216")</f>
        <v>0</v>
      </c>
    </row>
    <row r="51" spans="1:8">
      <c r="A51" t="s">
        <v>57</v>
      </c>
      <c r="B51" t="s">
        <v>5072</v>
      </c>
      <c r="C51" t="s">
        <v>9346</v>
      </c>
      <c r="D51" t="s">
        <v>11435</v>
      </c>
      <c r="E51" t="s">
        <v>15820</v>
      </c>
      <c r="G51">
        <f>HYPERLINK("https://www.senat.fr/senateur-3eme-republique/allou_edouard1426r3.html", "allou_edouard1426r3")</f>
        <v>0</v>
      </c>
      <c r="H51">
        <f>HYPERLINK("https://www.wikidata.org/wiki/Q3579723", "Q3579723")</f>
        <v>0</v>
      </c>
    </row>
    <row r="52" spans="1:8">
      <c r="A52" t="s">
        <v>58</v>
      </c>
      <c r="B52" t="s">
        <v>5073</v>
      </c>
      <c r="C52" t="s">
        <v>9347</v>
      </c>
      <c r="D52" t="s">
        <v>11436</v>
      </c>
      <c r="E52" s="2">
        <v>7557</v>
      </c>
      <c r="F52">
        <f>HYPERLINK("https://www2.assemblee-nationale.fr/sycomore/fiche/(num_dept)/6004", "6004.0")</f>
        <v>0</v>
      </c>
      <c r="H52">
        <f>HYPERLINK("https://www.wikidata.org/wiki/Q15973237", "Q15973237")</f>
        <v>0</v>
      </c>
    </row>
    <row r="53" spans="1:8">
      <c r="A53" t="s">
        <v>59</v>
      </c>
      <c r="B53" t="s">
        <v>5074</v>
      </c>
      <c r="C53" t="s">
        <v>9348</v>
      </c>
      <c r="D53" t="s">
        <v>11437</v>
      </c>
      <c r="E53" s="2">
        <v>22134</v>
      </c>
      <c r="F53">
        <f>HYPERLINK("https://www2.assemblee-nationale.fr/sycomore/fiche/(num_dept)/104", "104.0")</f>
        <v>0</v>
      </c>
      <c r="H53">
        <f>HYPERLINK("https://www.wikidata.org/wiki/Q2960762", "Q2960762")</f>
        <v>0</v>
      </c>
    </row>
    <row r="54" spans="1:8">
      <c r="A54" t="s">
        <v>60</v>
      </c>
      <c r="B54" t="s">
        <v>5075</v>
      </c>
      <c r="C54" t="s">
        <v>9349</v>
      </c>
      <c r="D54" t="s">
        <v>11438</v>
      </c>
      <c r="E54" s="2">
        <v>19765</v>
      </c>
      <c r="F54">
        <f>HYPERLINK("https://www2.assemblee-nationale.fr/sycomore/fiche/(num_dept)/81", "81.0")</f>
        <v>0</v>
      </c>
      <c r="H54">
        <f>HYPERLINK("https://www.wikidata.org/wiki/Q3170348", "Q3170348")</f>
        <v>0</v>
      </c>
    </row>
    <row r="55" spans="1:8">
      <c r="A55" t="s">
        <v>61</v>
      </c>
      <c r="B55" t="s">
        <v>5076</v>
      </c>
      <c r="C55" t="s">
        <v>9350</v>
      </c>
      <c r="D55" t="s">
        <v>11439</v>
      </c>
      <c r="E55" t="s">
        <v>15821</v>
      </c>
      <c r="F55">
        <f>HYPERLINK("https://www2.assemblee-nationale.fr/sycomore/fiche/(num_dept)/105", "105.0")</f>
        <v>0</v>
      </c>
      <c r="H55">
        <f>HYPERLINK("https://www.wikidata.org/wiki/Q15973236", "Q15973236")</f>
        <v>0</v>
      </c>
    </row>
    <row r="56" spans="1:8">
      <c r="A56" t="s">
        <v>62</v>
      </c>
      <c r="B56" t="s">
        <v>5077</v>
      </c>
      <c r="C56" t="s">
        <v>7342</v>
      </c>
      <c r="D56" t="s">
        <v>11440</v>
      </c>
      <c r="E56" s="2">
        <v>22502</v>
      </c>
      <c r="G56">
        <f>HYPERLINK("https://www.senat.fr/senateur-3eme-republique/amat_jean0098r3.html", "amat_jean0098r3")</f>
        <v>0</v>
      </c>
      <c r="H56">
        <f>HYPERLINK("https://www.wikidata.org/wiki/Q3163825", "Q3163825")</f>
        <v>0</v>
      </c>
    </row>
    <row r="57" spans="1:8">
      <c r="A57" t="s">
        <v>63</v>
      </c>
      <c r="B57" t="s">
        <v>5078</v>
      </c>
      <c r="C57" t="s">
        <v>9312</v>
      </c>
      <c r="D57" t="s">
        <v>11441</v>
      </c>
      <c r="E57" s="2">
        <v>22502</v>
      </c>
      <c r="F57">
        <f>HYPERLINK("https://www2.assemblee-nationale.fr/sycomore/fiche/(num_dept)/107", "107.0")</f>
        <v>0</v>
      </c>
      <c r="H57">
        <f>HYPERLINK("https://www.wikidata.org/wiki/Q3163825", "Q3163825")</f>
        <v>0</v>
      </c>
    </row>
    <row r="58" spans="1:8">
      <c r="A58" t="s">
        <v>64</v>
      </c>
      <c r="B58" t="s">
        <v>5079</v>
      </c>
      <c r="C58" t="s">
        <v>9101</v>
      </c>
      <c r="D58" t="s">
        <v>11442</v>
      </c>
      <c r="E58" s="2">
        <v>16816</v>
      </c>
      <c r="F58">
        <f>HYPERLINK("https://www2.assemblee-nationale.fr/sycomore/fiche/(num_dept)/108", "108.0")</f>
        <v>0</v>
      </c>
      <c r="H58">
        <f>HYPERLINK("https://www.wikidata.org/wiki/Q3535642", "Q3535642")</f>
        <v>0</v>
      </c>
    </row>
    <row r="59" spans="1:8">
      <c r="A59" t="s">
        <v>65</v>
      </c>
      <c r="B59" t="s">
        <v>5080</v>
      </c>
      <c r="C59" t="s">
        <v>9351</v>
      </c>
      <c r="D59" t="s">
        <v>11443</v>
      </c>
      <c r="E59" s="2">
        <v>12973</v>
      </c>
      <c r="F59">
        <f>HYPERLINK("https://www2.assemblee-nationale.fr/sycomore/fiche/(num_dept)/110", "110.0")</f>
        <v>0</v>
      </c>
      <c r="H59">
        <f>HYPERLINK("https://www.wikidata.org/wiki/Q3350732", "Q3350732")</f>
        <v>0</v>
      </c>
    </row>
    <row r="60" spans="1:8">
      <c r="A60" t="s">
        <v>66</v>
      </c>
      <c r="B60" t="s">
        <v>5081</v>
      </c>
      <c r="C60" t="s">
        <v>9352</v>
      </c>
      <c r="D60" t="s">
        <v>11444</v>
      </c>
      <c r="E60" s="2">
        <v>12490</v>
      </c>
      <c r="F60">
        <f>HYPERLINK("https://www2.assemblee-nationale.fr/sycomore/fiche/(num_dept)/111", "111.0")</f>
        <v>0</v>
      </c>
      <c r="H60">
        <f>HYPERLINK("https://www.wikidata.org/wiki/Q2934841", "Q2934841")</f>
        <v>0</v>
      </c>
    </row>
    <row r="61" spans="1:8">
      <c r="A61" t="s">
        <v>67</v>
      </c>
      <c r="B61" t="s">
        <v>5082</v>
      </c>
      <c r="C61" t="s">
        <v>9353</v>
      </c>
      <c r="D61" t="s">
        <v>11445</v>
      </c>
      <c r="E61" s="2">
        <v>12943</v>
      </c>
      <c r="F61">
        <f>HYPERLINK("https://www2.assemblee-nationale.fr/sycomore/fiche/(num_dept)/112", "112.0")</f>
        <v>0</v>
      </c>
      <c r="G61">
        <f>HYPERLINK("https://www.senat.fr/senateur-3eme-republique/amiard_louis1670r3.html", "amiard_louis1670r3")</f>
        <v>0</v>
      </c>
      <c r="H61">
        <f>HYPERLINK("https://www.wikidata.org/wiki/Q3261035", "Q3261035")</f>
        <v>0</v>
      </c>
    </row>
    <row r="62" spans="1:8">
      <c r="A62" t="s">
        <v>68</v>
      </c>
      <c r="B62" t="s">
        <v>5083</v>
      </c>
      <c r="C62" t="s">
        <v>7342</v>
      </c>
      <c r="D62" t="s">
        <v>11446</v>
      </c>
      <c r="E62" s="2">
        <v>9538</v>
      </c>
      <c r="G62">
        <f>HYPERLINK("https://www.senat.fr/senateur-3eme-republique/amic_jean0117r3.html", "amic_jean0117r3")</f>
        <v>0</v>
      </c>
      <c r="H62">
        <f>HYPERLINK("https://www.wikidata.org/wiki/Q3170355", "Q3170355")</f>
        <v>0</v>
      </c>
    </row>
    <row r="63" spans="1:8">
      <c r="A63" t="s">
        <v>69</v>
      </c>
      <c r="B63" t="s">
        <v>5084</v>
      </c>
      <c r="C63" t="s">
        <v>9354</v>
      </c>
      <c r="D63" t="s">
        <v>11447</v>
      </c>
      <c r="E63" s="2">
        <v>10751</v>
      </c>
      <c r="F63">
        <f>HYPERLINK("https://www2.assemblee-nationale.fr/sycomore/fiche/(num_dept)/114", "114.0")</f>
        <v>0</v>
      </c>
      <c r="H63">
        <f>HYPERLINK("https://www.wikidata.org/wiki/Q3130547", "Q3130547")</f>
        <v>0</v>
      </c>
    </row>
    <row r="64" spans="1:8">
      <c r="A64" t="s">
        <v>70</v>
      </c>
      <c r="B64" t="s">
        <v>5085</v>
      </c>
      <c r="C64" t="s">
        <v>7549</v>
      </c>
      <c r="D64" t="s">
        <v>11448</v>
      </c>
      <c r="E64" s="2">
        <v>11075</v>
      </c>
      <c r="F64">
        <f>HYPERLINK("https://www2.assemblee-nationale.fr/sycomore/fiche/(num_dept)/116", "116.0")</f>
        <v>0</v>
      </c>
      <c r="H64">
        <f>HYPERLINK("https://www.wikidata.org/wiki/Q2380639", "Q2380639")</f>
        <v>0</v>
      </c>
    </row>
    <row r="65" spans="1:8">
      <c r="A65" t="s">
        <v>71</v>
      </c>
      <c r="B65" t="s">
        <v>5086</v>
      </c>
      <c r="C65" t="s">
        <v>9355</v>
      </c>
      <c r="D65" t="s">
        <v>11449</v>
      </c>
      <c r="E65" t="s">
        <v>15822</v>
      </c>
      <c r="F65">
        <f>HYPERLINK("https://www2.assemblee-nationale.fr/sycomore/fiche/(num_dept)/8157", "8157.0")</f>
        <v>0</v>
      </c>
      <c r="H65">
        <f>HYPERLINK("https://www.wikidata.org/wiki/Q2958387", "Q2958387")</f>
        <v>0</v>
      </c>
    </row>
    <row r="66" spans="1:8">
      <c r="A66" t="s">
        <v>72</v>
      </c>
      <c r="B66" t="s">
        <v>5087</v>
      </c>
      <c r="C66" t="s">
        <v>9356</v>
      </c>
      <c r="D66" t="s">
        <v>11450</v>
      </c>
      <c r="E66" s="2">
        <v>11320</v>
      </c>
      <c r="F66">
        <f>HYPERLINK("https://www2.assemblee-nationale.fr/sycomore/fiche/(num_dept)/120", "120.0")</f>
        <v>0</v>
      </c>
      <c r="H66">
        <f>HYPERLINK("https://www.wikidata.org/wiki/Q15973283", "Q15973283")</f>
        <v>0</v>
      </c>
    </row>
    <row r="67" spans="1:8">
      <c r="A67" t="s">
        <v>73</v>
      </c>
      <c r="B67" t="s">
        <v>5088</v>
      </c>
      <c r="C67" t="s">
        <v>9357</v>
      </c>
      <c r="D67" t="s">
        <v>11451</v>
      </c>
      <c r="E67" s="2">
        <v>2086</v>
      </c>
      <c r="G67">
        <f>HYPERLINK("https://www.senat.fr/senateur-3eme-republique/ancel_daniel1580r3.html", "ancel_daniel1580r3")</f>
        <v>0</v>
      </c>
      <c r="H67">
        <f>HYPERLINK("https://www.wikidata.org/wiki/Q3188397", "Q3188397")</f>
        <v>0</v>
      </c>
    </row>
    <row r="68" spans="1:8">
      <c r="A68" t="s">
        <v>74</v>
      </c>
      <c r="B68" t="s">
        <v>5089</v>
      </c>
      <c r="C68" t="s">
        <v>9358</v>
      </c>
      <c r="D68" t="s">
        <v>11452</v>
      </c>
      <c r="E68" s="2">
        <v>681</v>
      </c>
      <c r="F68">
        <f>HYPERLINK("https://www2.assemblee-nationale.fr/sycomore/fiche/(num_dept)/8179", "8179.0")</f>
        <v>0</v>
      </c>
      <c r="H68">
        <f>HYPERLINK("https://www.wikidata.org/wiki/Q2830920", "Q2830920")</f>
        <v>0</v>
      </c>
    </row>
    <row r="69" spans="1:8">
      <c r="A69" t="s">
        <v>75</v>
      </c>
      <c r="B69" t="s">
        <v>5088</v>
      </c>
      <c r="C69" t="s">
        <v>9359</v>
      </c>
      <c r="D69" t="s">
        <v>11453</v>
      </c>
      <c r="E69" s="2">
        <v>4296</v>
      </c>
      <c r="G69">
        <f>HYPERLINK("https://www.senat.fr/senateur-3eme-republique/ancel_raoul1615r3.html", "ancel_raoul1615r3")</f>
        <v>0</v>
      </c>
      <c r="H69">
        <f>HYPERLINK("https://www.wikidata.org/wiki/Q3419114", "Q3419114")</f>
        <v>0</v>
      </c>
    </row>
    <row r="70" spans="1:8">
      <c r="A70" t="s">
        <v>76</v>
      </c>
      <c r="B70" t="s">
        <v>5089</v>
      </c>
      <c r="C70" t="s">
        <v>9360</v>
      </c>
      <c r="D70" t="s">
        <v>11454</v>
      </c>
      <c r="E70" s="2">
        <v>22036</v>
      </c>
      <c r="F70">
        <f>HYPERLINK("https://www2.assemblee-nationale.fr/sycomore/fiche/(num_dept)/119", "119.0")</f>
        <v>0</v>
      </c>
      <c r="H70">
        <f>HYPERLINK("https://www.wikidata.org/wiki/Q3102182", "Q3102182")</f>
        <v>0</v>
      </c>
    </row>
    <row r="71" spans="1:8">
      <c r="A71" t="s">
        <v>77</v>
      </c>
      <c r="B71" t="s">
        <v>5090</v>
      </c>
      <c r="C71" t="s">
        <v>9361</v>
      </c>
      <c r="D71" t="s">
        <v>11455</v>
      </c>
      <c r="E71" s="2">
        <v>18168</v>
      </c>
      <c r="F71">
        <f>HYPERLINK("https://www2.assemblee-nationale.fr/sycomore/fiche/(num_dept)/127", "127.0")</f>
        <v>0</v>
      </c>
      <c r="H71">
        <f>HYPERLINK("https://www.wikidata.org/wiki/Q3132579", "Q3132579")</f>
        <v>0</v>
      </c>
    </row>
    <row r="72" spans="1:8">
      <c r="A72" t="s">
        <v>78</v>
      </c>
      <c r="B72" t="s">
        <v>5091</v>
      </c>
      <c r="C72" t="s">
        <v>9362</v>
      </c>
      <c r="D72" t="s">
        <v>11456</v>
      </c>
      <c r="E72" s="2">
        <v>23854</v>
      </c>
      <c r="G72">
        <f>HYPERLINK("https://www.senat.fr/senateur-3eme-republique/andre_adrien1762r3.html", "andre_adrien1762r3")</f>
        <v>0</v>
      </c>
      <c r="H72">
        <f>HYPERLINK("https://www.wikidata.org/wiki/Q2825114", "Q2825114")</f>
        <v>0</v>
      </c>
    </row>
    <row r="73" spans="1:8">
      <c r="A73" t="s">
        <v>79</v>
      </c>
      <c r="B73" t="s">
        <v>5092</v>
      </c>
      <c r="C73" t="s">
        <v>9363</v>
      </c>
      <c r="D73" t="s">
        <v>11457</v>
      </c>
      <c r="E73" s="2">
        <v>16232</v>
      </c>
      <c r="F73">
        <f>HYPERLINK("https://www2.assemblee-nationale.fr/sycomore/fiche/(num_dept)/137", "137.0")</f>
        <v>0</v>
      </c>
      <c r="G73">
        <f>HYPERLINK("https://www.senat.fr/senateur-3eme-republique/andrieu_edouard1688r3.html", "andrieu_edouard1688r3")</f>
        <v>0</v>
      </c>
      <c r="H73">
        <f>HYPERLINK("https://www.wikidata.org/wiki/Q3579721", "Q3579721")</f>
        <v>0</v>
      </c>
    </row>
    <row r="74" spans="1:8">
      <c r="A74" t="s">
        <v>80</v>
      </c>
      <c r="B74" t="s">
        <v>5093</v>
      </c>
      <c r="C74" t="s">
        <v>7754</v>
      </c>
      <c r="D74" t="s">
        <v>11458</v>
      </c>
      <c r="E74" s="2">
        <v>11562</v>
      </c>
      <c r="F74">
        <f>HYPERLINK("https://www2.assemblee-nationale.fr/sycomore/fiche/(num_dept)/139", "139.0")</f>
        <v>0</v>
      </c>
      <c r="G74">
        <f>HYPERLINK("https://www.senat.fr/senateur-3eme-republique/andrieux_louis0059r3.html", "andrieux_louis0059r3")</f>
        <v>0</v>
      </c>
      <c r="H74">
        <f>HYPERLINK("https://www.wikidata.org/wiki/Q1507996", "Q1507996")</f>
        <v>0</v>
      </c>
    </row>
    <row r="75" spans="1:8">
      <c r="A75" t="s">
        <v>81</v>
      </c>
      <c r="B75" t="s">
        <v>5094</v>
      </c>
      <c r="C75" t="s">
        <v>9364</v>
      </c>
      <c r="D75" t="s">
        <v>11459</v>
      </c>
      <c r="E75" s="2">
        <v>17803</v>
      </c>
      <c r="F75">
        <f>HYPERLINK("https://www2.assemblee-nationale.fr/sycomore/fiche/(num_dept)/135", "135.0")</f>
        <v>0</v>
      </c>
      <c r="H75">
        <f>HYPERLINK("https://www.wikidata.org/wiki/Q3102188", "Q3102188")</f>
        <v>0</v>
      </c>
    </row>
    <row r="76" spans="1:8">
      <c r="A76" t="s">
        <v>82</v>
      </c>
      <c r="B76" t="s">
        <v>5095</v>
      </c>
      <c r="C76" t="s">
        <v>9365</v>
      </c>
      <c r="D76" t="s">
        <v>11460</v>
      </c>
      <c r="E76" s="2">
        <v>14963</v>
      </c>
      <c r="F76">
        <f>HYPERLINK("https://www2.assemblee-nationale.fr/sycomore/fiche/(num_dept)/136", "136.0")</f>
        <v>0</v>
      </c>
      <c r="H76">
        <f>HYPERLINK("https://www.wikidata.org/wiki/Q2847958", "Q2847958")</f>
        <v>0</v>
      </c>
    </row>
    <row r="77" spans="1:8">
      <c r="A77" t="s">
        <v>83</v>
      </c>
      <c r="B77" t="s">
        <v>5096</v>
      </c>
      <c r="C77" t="s">
        <v>7754</v>
      </c>
      <c r="D77" t="s">
        <v>11461</v>
      </c>
      <c r="E77" s="2">
        <v>4826</v>
      </c>
      <c r="H77">
        <f>HYPERLINK("https://www.wikidata.org/wiki/Q3261042", "Q3261042")</f>
        <v>0</v>
      </c>
    </row>
    <row r="78" spans="1:8">
      <c r="A78" t="s">
        <v>84</v>
      </c>
      <c r="B78" t="s">
        <v>5096</v>
      </c>
      <c r="C78" t="s">
        <v>9366</v>
      </c>
      <c r="D78" t="s">
        <v>11462</v>
      </c>
      <c r="E78" t="s">
        <v>15823</v>
      </c>
      <c r="F78">
        <f>HYPERLINK("https://www2.assemblee-nationale.fr/sycomore/fiche/(num_dept)/8084", "8084.0")</f>
        <v>0</v>
      </c>
      <c r="H78">
        <f>HYPERLINK("https://www.wikidata.org/wiki/Q15973274", "Q15973274")</f>
        <v>0</v>
      </c>
    </row>
    <row r="79" spans="1:8">
      <c r="A79" t="s">
        <v>85</v>
      </c>
      <c r="B79" t="s">
        <v>5096</v>
      </c>
      <c r="C79" t="s">
        <v>9367</v>
      </c>
      <c r="D79" t="s">
        <v>11456</v>
      </c>
      <c r="E79" s="2">
        <v>23854</v>
      </c>
      <c r="F79">
        <f>HYPERLINK("https://www2.assemblee-nationale.fr/sycomore/fiche/(num_dept)/128", "128.0")</f>
        <v>0</v>
      </c>
      <c r="H79">
        <f>HYPERLINK("https://www.wikidata.org/wiki/Q2825114", "Q2825114")</f>
        <v>0</v>
      </c>
    </row>
    <row r="80" spans="1:8">
      <c r="A80" t="s">
        <v>86</v>
      </c>
      <c r="B80" t="s">
        <v>5097</v>
      </c>
      <c r="C80" t="s">
        <v>9368</v>
      </c>
      <c r="D80" t="s">
        <v>11463</v>
      </c>
      <c r="E80" t="s">
        <v>15824</v>
      </c>
      <c r="G80">
        <f>HYPERLINK("https://www.senat.fr/senateur-3eme-republique/angles_eugene1731r3.html", "angles_eugene1731r3")</f>
        <v>0</v>
      </c>
      <c r="H80">
        <f>HYPERLINK("https://www.wikidata.org/wiki/Q3059688", "Q3059688")</f>
        <v>0</v>
      </c>
    </row>
    <row r="81" spans="1:8">
      <c r="A81" t="s">
        <v>87</v>
      </c>
      <c r="B81" t="s">
        <v>5098</v>
      </c>
      <c r="C81" t="s">
        <v>9369</v>
      </c>
      <c r="D81" t="s">
        <v>11464</v>
      </c>
      <c r="E81" s="2">
        <v>24512</v>
      </c>
      <c r="F81">
        <f>HYPERLINK("https://www2.assemblee-nationale.fr/sycomore/fiche/(num_dept)/147", "147.0")</f>
        <v>0</v>
      </c>
      <c r="H81">
        <f>HYPERLINK("https://www.wikidata.org/wiki/Q2404266", "Q2404266")</f>
        <v>0</v>
      </c>
    </row>
    <row r="82" spans="1:8">
      <c r="A82" t="s">
        <v>88</v>
      </c>
      <c r="B82" t="s">
        <v>5099</v>
      </c>
      <c r="C82" t="s">
        <v>9370</v>
      </c>
      <c r="D82" t="s">
        <v>11465</v>
      </c>
      <c r="E82" s="2">
        <v>11977</v>
      </c>
      <c r="F82">
        <f>HYPERLINK("https://www2.assemblee-nationale.fr/sycomore/fiche/(num_dept)/149", "149.0")</f>
        <v>0</v>
      </c>
      <c r="H82">
        <f>HYPERLINK("https://www.wikidata.org/wiki/Q3093593", "Q3093593")</f>
        <v>0</v>
      </c>
    </row>
    <row r="83" spans="1:8">
      <c r="A83" t="s">
        <v>89</v>
      </c>
      <c r="B83" t="s">
        <v>5100</v>
      </c>
      <c r="C83" t="s">
        <v>9371</v>
      </c>
      <c r="D83" t="s">
        <v>11466</v>
      </c>
      <c r="E83" t="s">
        <v>15825</v>
      </c>
      <c r="G83">
        <f>HYPERLINK("https://www.senat.fr/senateur-3eme-republique/anne_norbert0334r3.html", "anne_norbert0334r3")</f>
        <v>0</v>
      </c>
      <c r="H83">
        <f>HYPERLINK("https://www.wikidata.org/wiki/Q3343475", "Q3343475")</f>
        <v>0</v>
      </c>
    </row>
    <row r="84" spans="1:8">
      <c r="A84" t="s">
        <v>90</v>
      </c>
      <c r="B84" t="s">
        <v>5101</v>
      </c>
      <c r="C84" t="s">
        <v>9372</v>
      </c>
      <c r="D84" t="s">
        <v>11467</v>
      </c>
      <c r="E84" s="2">
        <v>14855</v>
      </c>
      <c r="F84">
        <f>HYPERLINK("https://www2.assemblee-nationale.fr/sycomore/fiche/(num_dept)/152", "152.0")</f>
        <v>0</v>
      </c>
      <c r="H84">
        <f>HYPERLINK("https://www.wikidata.org/wiki/Q15973281", "Q15973281")</f>
        <v>0</v>
      </c>
    </row>
    <row r="85" spans="1:8">
      <c r="A85" t="s">
        <v>91</v>
      </c>
      <c r="B85" t="s">
        <v>5102</v>
      </c>
      <c r="C85" t="s">
        <v>9373</v>
      </c>
      <c r="D85" t="s">
        <v>11468</v>
      </c>
      <c r="E85" s="2">
        <v>15971</v>
      </c>
      <c r="G85">
        <f>HYPERLINK("https://www.senat.fr/senateur-3eme-republique/antier_joseph0515r3.html", "antier_joseph0515r3")</f>
        <v>0</v>
      </c>
      <c r="H85">
        <f>HYPERLINK("https://www.wikidata.org/wiki/Q3184503", "Q3184503")</f>
        <v>0</v>
      </c>
    </row>
    <row r="86" spans="1:8">
      <c r="A86" t="s">
        <v>92</v>
      </c>
      <c r="B86" t="s">
        <v>5103</v>
      </c>
      <c r="C86" t="s">
        <v>9374</v>
      </c>
      <c r="D86" t="s">
        <v>11469</v>
      </c>
      <c r="E86" s="2">
        <v>25999</v>
      </c>
      <c r="F86">
        <f>HYPERLINK("https://www2.assemblee-nationale.fr/sycomore/fiche/(num_dept)/163", "163.0")</f>
        <v>0</v>
      </c>
      <c r="H86">
        <f>HYPERLINK("https://www.wikidata.org/wiki/Q3592042", "Q3592042")</f>
        <v>0</v>
      </c>
    </row>
    <row r="87" spans="1:8">
      <c r="A87" t="s">
        <v>93</v>
      </c>
      <c r="B87" t="s">
        <v>5104</v>
      </c>
      <c r="C87" t="s">
        <v>7754</v>
      </c>
      <c r="D87" t="s">
        <v>11470</v>
      </c>
      <c r="E87" s="2">
        <v>11387</v>
      </c>
      <c r="F87">
        <f>HYPERLINK("https://www2.assemblee-nationale.fr/sycomore/fiche/(num_dept)/157", "157.0")</f>
        <v>0</v>
      </c>
      <c r="H87">
        <f>HYPERLINK("https://www.wikidata.org/wiki/Q3261084", "Q3261084")</f>
        <v>0</v>
      </c>
    </row>
    <row r="88" spans="1:8">
      <c r="A88" t="s">
        <v>94</v>
      </c>
      <c r="B88" t="s">
        <v>5105</v>
      </c>
      <c r="C88" t="s">
        <v>8384</v>
      </c>
      <c r="D88" t="s">
        <v>11471</v>
      </c>
      <c r="E88" s="2">
        <v>21173</v>
      </c>
      <c r="H88">
        <f>HYPERLINK("https://www.wikidata.org/wiki/Q3383753", "Q3383753")</f>
        <v>0</v>
      </c>
    </row>
    <row r="89" spans="1:8">
      <c r="A89" t="s">
        <v>95</v>
      </c>
      <c r="B89" t="s">
        <v>5106</v>
      </c>
      <c r="C89" t="s">
        <v>9375</v>
      </c>
      <c r="D89" t="s">
        <v>11472</v>
      </c>
      <c r="E89" t="s">
        <v>15826</v>
      </c>
      <c r="G89">
        <f>HYPERLINK("https://www.senat.fr/senateur-3eme-republique/arago_emmanuel1087r3.html", "arago_emmanuel1087r3")</f>
        <v>0</v>
      </c>
      <c r="H89">
        <f>HYPERLINK("https://www.wikidata.org/wiki/Q2658508", "Q2658508")</f>
        <v>0</v>
      </c>
    </row>
    <row r="90" spans="1:8">
      <c r="A90" t="s">
        <v>96</v>
      </c>
      <c r="B90" t="s">
        <v>5107</v>
      </c>
      <c r="C90" t="s">
        <v>9376</v>
      </c>
      <c r="D90" t="s">
        <v>11473</v>
      </c>
      <c r="E90" s="2">
        <v>13582</v>
      </c>
      <c r="F90">
        <f>HYPERLINK("https://www2.assemblee-nationale.fr/sycomore/fiche/(num_dept)/169", "169.0")</f>
        <v>0</v>
      </c>
      <c r="H90">
        <f>HYPERLINK("https://www.wikidata.org/wiki/Q3385585", "Q3385585")</f>
        <v>0</v>
      </c>
    </row>
    <row r="91" spans="1:8">
      <c r="A91" t="s">
        <v>97</v>
      </c>
      <c r="B91" t="s">
        <v>5108</v>
      </c>
      <c r="C91" t="s">
        <v>9377</v>
      </c>
      <c r="D91" t="s">
        <v>11474</v>
      </c>
      <c r="G91">
        <f>HYPERLINK("https://www.senat.fr/senateur-3eme-republique/arbel_lucien1344r3.html", "arbel_lucien1344r3")</f>
        <v>0</v>
      </c>
      <c r="H91">
        <f>HYPERLINK("https://www.wikidata.org/wiki/Q3265342", "Q3265342")</f>
        <v>0</v>
      </c>
    </row>
    <row r="92" spans="1:8">
      <c r="A92" t="s">
        <v>98</v>
      </c>
      <c r="B92" t="s">
        <v>5109</v>
      </c>
      <c r="C92" t="s">
        <v>9378</v>
      </c>
      <c r="D92" t="s">
        <v>11475</v>
      </c>
      <c r="E92" s="2">
        <v>12412</v>
      </c>
      <c r="F92">
        <f>HYPERLINK("https://www2.assemblee-nationale.fr/sycomore/fiche/(num_dept)/174", "174.0")</f>
        <v>0</v>
      </c>
      <c r="H92">
        <f>HYPERLINK("https://www.wikidata.org/wiki/Q15973286", "Q15973286")</f>
        <v>0</v>
      </c>
    </row>
    <row r="93" spans="1:8">
      <c r="A93" t="s">
        <v>99</v>
      </c>
      <c r="B93" t="s">
        <v>5110</v>
      </c>
      <c r="C93" t="s">
        <v>9379</v>
      </c>
      <c r="D93" t="s">
        <v>11476</v>
      </c>
      <c r="E93" s="2">
        <v>2613</v>
      </c>
      <c r="F93">
        <f>HYPERLINK("https://www2.assemblee-nationale.fr/sycomore/fiche/(num_dept)/178", "178.0")</f>
        <v>0</v>
      </c>
      <c r="H93">
        <f>HYPERLINK("https://www.wikidata.org/wiki/Q15973313", "Q15973313")</f>
        <v>0</v>
      </c>
    </row>
    <row r="94" spans="1:8">
      <c r="A94" t="s">
        <v>100</v>
      </c>
      <c r="B94" t="s">
        <v>5111</v>
      </c>
      <c r="C94" t="s">
        <v>9380</v>
      </c>
      <c r="D94" t="s">
        <v>11477</v>
      </c>
      <c r="E94" s="2">
        <v>13748</v>
      </c>
      <c r="F94">
        <f>HYPERLINK("https://www2.assemblee-nationale.fr/sycomore/fiche/(num_dept)/180", "180.0")</f>
        <v>0</v>
      </c>
      <c r="H94">
        <f>HYPERLINK("https://www.wikidata.org/wiki/Q2871524", "Q2871524")</f>
        <v>0</v>
      </c>
    </row>
    <row r="95" spans="1:8">
      <c r="A95" t="s">
        <v>101</v>
      </c>
      <c r="B95" t="s">
        <v>5112</v>
      </c>
      <c r="C95" t="s">
        <v>9381</v>
      </c>
      <c r="D95" t="s">
        <v>11478</v>
      </c>
      <c r="E95" s="2">
        <v>2243</v>
      </c>
      <c r="F95">
        <f>HYPERLINK("https://www2.assemblee-nationale.fr/sycomore/fiche/(num_dept)/181", "181.0")</f>
        <v>0</v>
      </c>
      <c r="H95">
        <f>HYPERLINK("https://www.wikidata.org/wiki/Q8320904", "Q8320904")</f>
        <v>0</v>
      </c>
    </row>
    <row r="96" spans="1:8">
      <c r="A96" t="s">
        <v>102</v>
      </c>
      <c r="B96" t="s">
        <v>5113</v>
      </c>
      <c r="C96" t="s">
        <v>9382</v>
      </c>
      <c r="D96" t="s">
        <v>11479</v>
      </c>
      <c r="E96" s="2">
        <v>20899</v>
      </c>
      <c r="F96">
        <f>HYPERLINK("https://www2.assemblee-nationale.fr/sycomore/fiche/(num_dept)/182", "182.0")</f>
        <v>0</v>
      </c>
      <c r="H96">
        <f>HYPERLINK("https://www.wikidata.org/wiki/Q3184531", "Q3184531")</f>
        <v>0</v>
      </c>
    </row>
    <row r="97" spans="1:8">
      <c r="A97" t="s">
        <v>103</v>
      </c>
      <c r="B97" t="s">
        <v>5114</v>
      </c>
      <c r="C97" t="s">
        <v>9383</v>
      </c>
      <c r="D97" t="s">
        <v>11480</v>
      </c>
      <c r="E97" s="2">
        <v>9066</v>
      </c>
      <c r="F97">
        <f>HYPERLINK("https://www2.assemblee-nationale.fr/sycomore/fiche/(num_dept)/184", "184.0")</f>
        <v>0</v>
      </c>
      <c r="H97">
        <f>HYPERLINK("https://www.wikidata.org/wiki/Q15973311", "Q15973311")</f>
        <v>0</v>
      </c>
    </row>
    <row r="98" spans="1:8">
      <c r="A98" t="s">
        <v>104</v>
      </c>
      <c r="B98" t="s">
        <v>5114</v>
      </c>
      <c r="C98" t="s">
        <v>9384</v>
      </c>
      <c r="D98" t="s">
        <v>11481</v>
      </c>
      <c r="E98" s="2">
        <v>16247</v>
      </c>
      <c r="F98">
        <f>HYPERLINK("https://www2.assemblee-nationale.fr/sycomore/fiche/(num_dept)/185", "185.0")</f>
        <v>0</v>
      </c>
      <c r="H98">
        <f>HYPERLINK("https://www.wikidata.org/wiki/Q3270682", "Q3270682")</f>
        <v>0</v>
      </c>
    </row>
    <row r="99" spans="1:8">
      <c r="A99" t="s">
        <v>105</v>
      </c>
      <c r="B99" t="s">
        <v>5115</v>
      </c>
      <c r="C99" t="s">
        <v>9375</v>
      </c>
      <c r="D99" t="s">
        <v>11482</v>
      </c>
      <c r="G99">
        <f>HYPERLINK("https://www.senat.fr/senateur-3eme-republique/arene_emmanuel0489r3.html", "arene_emmanuel0489r3")</f>
        <v>0</v>
      </c>
      <c r="H99">
        <f>HYPERLINK("https://www.wikidata.org/wiki/Q3052547", "Q3052547")</f>
        <v>0</v>
      </c>
    </row>
    <row r="100" spans="1:8">
      <c r="A100" t="s">
        <v>106</v>
      </c>
      <c r="B100" t="s">
        <v>5116</v>
      </c>
      <c r="C100" t="s">
        <v>9385</v>
      </c>
      <c r="D100" t="s">
        <v>11483</v>
      </c>
      <c r="E100" s="2">
        <v>5434</v>
      </c>
      <c r="F100">
        <f>HYPERLINK("https://www2.assemblee-nationale.fr/sycomore/fiche/(num_dept)/190", "190.0")</f>
        <v>0</v>
      </c>
      <c r="H100">
        <f>HYPERLINK("https://www.wikidata.org/wiki/Q3170409", "Q3170409")</f>
        <v>0</v>
      </c>
    </row>
    <row r="101" spans="1:8">
      <c r="A101" t="s">
        <v>107</v>
      </c>
      <c r="B101" t="s">
        <v>5117</v>
      </c>
      <c r="C101" t="s">
        <v>9332</v>
      </c>
      <c r="D101" t="s">
        <v>11484</v>
      </c>
      <c r="E101" t="s">
        <v>15827</v>
      </c>
      <c r="F101">
        <f>HYPERLINK("https://www2.assemblee-nationale.fr/sycomore/fiche/(num_dept)/193", "193.0")</f>
        <v>0</v>
      </c>
      <c r="H101">
        <f>HYPERLINK("https://www.wikidata.org/wiki/Q3056825", "Q3056825")</f>
        <v>0</v>
      </c>
    </row>
    <row r="102" spans="1:8">
      <c r="A102" t="s">
        <v>108</v>
      </c>
      <c r="B102" t="s">
        <v>5118</v>
      </c>
      <c r="C102" t="s">
        <v>9386</v>
      </c>
      <c r="D102" t="s">
        <v>11485</v>
      </c>
      <c r="E102" s="2">
        <v>19481</v>
      </c>
      <c r="G102">
        <f>HYPERLINK("https://www.senat.fr/senateur-3eme-republique/armbruster_raymond0231r3.html", "armbruster_raymond0231r3")</f>
        <v>0</v>
      </c>
      <c r="H102">
        <f>HYPERLINK("https://www.wikidata.org/wiki/Q3420638", "Q3420638")</f>
        <v>0</v>
      </c>
    </row>
    <row r="103" spans="1:8">
      <c r="A103" t="s">
        <v>109</v>
      </c>
      <c r="B103" t="s">
        <v>5119</v>
      </c>
      <c r="C103" t="s">
        <v>7754</v>
      </c>
      <c r="D103" t="s">
        <v>11486</v>
      </c>
      <c r="E103" s="2">
        <v>6471</v>
      </c>
      <c r="F103">
        <f>HYPERLINK("https://www2.assemblee-nationale.fr/sycomore/fiche/(num_dept)/195", "195.0")</f>
        <v>0</v>
      </c>
      <c r="H103">
        <f>HYPERLINK("https://www.wikidata.org/wiki/Q3261103", "Q3261103")</f>
        <v>0</v>
      </c>
    </row>
    <row r="104" spans="1:8">
      <c r="A104" t="s">
        <v>110</v>
      </c>
      <c r="B104" t="s">
        <v>5120</v>
      </c>
      <c r="C104" t="s">
        <v>9387</v>
      </c>
      <c r="D104" t="s">
        <v>11487</v>
      </c>
      <c r="E104" s="2">
        <v>5356</v>
      </c>
      <c r="F104">
        <f>HYPERLINK("https://www2.assemblee-nationale.fr/sycomore/fiche/(num_dept)/197", "197.0")</f>
        <v>0</v>
      </c>
      <c r="H104">
        <f>HYPERLINK("https://www.wikidata.org/wiki/Q15973324", "Q15973324")</f>
        <v>0</v>
      </c>
    </row>
    <row r="105" spans="1:8">
      <c r="A105" t="s">
        <v>111</v>
      </c>
      <c r="B105" t="s">
        <v>5121</v>
      </c>
      <c r="C105" t="s">
        <v>9368</v>
      </c>
      <c r="D105" t="s">
        <v>11488</v>
      </c>
      <c r="E105" t="s">
        <v>15828</v>
      </c>
      <c r="G105">
        <f>HYPERLINK("https://www.senat.fr/senateur-3eme-republique/arnaudeau_eugene1758r3.html", "arnaudeau_eugene1758r3")</f>
        <v>0</v>
      </c>
      <c r="H105">
        <f>HYPERLINK("https://www.wikidata.org/wiki/Q3059698", "Q3059698")</f>
        <v>0</v>
      </c>
    </row>
    <row r="106" spans="1:8">
      <c r="A106" t="s">
        <v>112</v>
      </c>
      <c r="B106" t="s">
        <v>5122</v>
      </c>
      <c r="C106" t="s">
        <v>9388</v>
      </c>
      <c r="D106" t="s">
        <v>11489</v>
      </c>
      <c r="E106" t="s">
        <v>15829</v>
      </c>
      <c r="F106">
        <f>HYPERLINK("https://www2.assemblee-nationale.fr/sycomore/fiche/(num_dept)/201", "201.0")</f>
        <v>0</v>
      </c>
      <c r="H106">
        <f>HYPERLINK("https://www.wikidata.org/wiki/Q15973335", "Q15973335")</f>
        <v>0</v>
      </c>
    </row>
    <row r="107" spans="1:8">
      <c r="A107" t="s">
        <v>113</v>
      </c>
      <c r="B107" t="s">
        <v>5123</v>
      </c>
      <c r="C107" t="s">
        <v>9389</v>
      </c>
      <c r="D107" t="s">
        <v>11490</v>
      </c>
      <c r="E107" s="2">
        <v>20197</v>
      </c>
      <c r="F107">
        <f>HYPERLINK("https://www2.assemblee-nationale.fr/sycomore/fiche/(num_dept)/203", "203.0")</f>
        <v>0</v>
      </c>
      <c r="H107">
        <f>HYPERLINK("https://www.wikidata.org/wiki/Q3288621", "Q3288621")</f>
        <v>0</v>
      </c>
    </row>
    <row r="108" spans="1:8">
      <c r="A108" t="s">
        <v>114</v>
      </c>
      <c r="B108" t="s">
        <v>5124</v>
      </c>
      <c r="C108" t="s">
        <v>7001</v>
      </c>
      <c r="D108" t="s">
        <v>11491</v>
      </c>
      <c r="E108" t="s">
        <v>15830</v>
      </c>
      <c r="F108">
        <f>HYPERLINK("https://www2.assemblee-nationale.fr/sycomore/fiche/(num_dept)/8128", "8128.0")</f>
        <v>0</v>
      </c>
      <c r="H108">
        <f>HYPERLINK("https://www.wikidata.org/wiki/Q3102198", "Q3102198")</f>
        <v>0</v>
      </c>
    </row>
    <row r="109" spans="1:8">
      <c r="A109" t="s">
        <v>115</v>
      </c>
      <c r="B109" t="s">
        <v>5125</v>
      </c>
      <c r="C109" t="s">
        <v>9390</v>
      </c>
      <c r="D109" t="s">
        <v>11492</v>
      </c>
      <c r="E109" s="2">
        <v>620</v>
      </c>
      <c r="F109">
        <f>HYPERLINK("https://www2.assemblee-nationale.fr/sycomore/fiche/(num_dept)/205", "205.0")</f>
        <v>0</v>
      </c>
      <c r="H109">
        <f>HYPERLINK("https://www.wikidata.org/wiki/Q15973359", "Q15973359")</f>
        <v>0</v>
      </c>
    </row>
    <row r="110" spans="1:8">
      <c r="A110" t="s">
        <v>116</v>
      </c>
      <c r="B110" t="s">
        <v>5126</v>
      </c>
      <c r="C110" t="s">
        <v>9368</v>
      </c>
      <c r="D110" t="s">
        <v>11493</v>
      </c>
      <c r="E110" t="s">
        <v>14580</v>
      </c>
      <c r="F110">
        <f>HYPERLINK("https://www2.assemblee-nationale.fr/sycomore/fiche/(num_dept)/208", "208.0")</f>
        <v>0</v>
      </c>
      <c r="H110">
        <f>HYPERLINK("https://www.wikidata.org/wiki/Q15973342", "Q15973342")</f>
        <v>0</v>
      </c>
    </row>
    <row r="111" spans="1:8">
      <c r="A111" t="s">
        <v>117</v>
      </c>
      <c r="B111" t="s">
        <v>5127</v>
      </c>
      <c r="C111" t="s">
        <v>9391</v>
      </c>
      <c r="D111" t="s">
        <v>11494</v>
      </c>
      <c r="E111" t="s">
        <v>15831</v>
      </c>
      <c r="F111">
        <f>HYPERLINK("https://www2.assemblee-nationale.fr/sycomore/fiche/(num_dept)/211", "211.0")</f>
        <v>0</v>
      </c>
      <c r="H111">
        <f>HYPERLINK("https://www.wikidata.org/wiki/Q8316953", "Q8316953")</f>
        <v>0</v>
      </c>
    </row>
    <row r="112" spans="1:8">
      <c r="A112" t="s">
        <v>118</v>
      </c>
      <c r="B112" t="s">
        <v>5128</v>
      </c>
      <c r="C112" t="s">
        <v>7754</v>
      </c>
      <c r="D112" t="s">
        <v>11495</v>
      </c>
      <c r="E112" s="2">
        <v>13861</v>
      </c>
      <c r="G112">
        <f>HYPERLINK("https://www.senat.fr/senateur-3eme-republique/artaud_louis0323r3.html", "artaud_louis0323r3")</f>
        <v>0</v>
      </c>
      <c r="H112">
        <f>HYPERLINK("https://www.wikidata.org/wiki/Q1871492", "Q1871492")</f>
        <v>0</v>
      </c>
    </row>
    <row r="113" spans="1:8">
      <c r="A113" t="s">
        <v>119</v>
      </c>
      <c r="B113" t="s">
        <v>5129</v>
      </c>
      <c r="C113" t="s">
        <v>9362</v>
      </c>
      <c r="D113" t="s">
        <v>11496</v>
      </c>
      <c r="E113" s="2">
        <v>13038</v>
      </c>
      <c r="F113">
        <f>HYPERLINK("https://www2.assemblee-nationale.fr/sycomore/fiche/(num_dept)/213", "213.0")</f>
        <v>0</v>
      </c>
      <c r="H113">
        <f>HYPERLINK("https://www.wikidata.org/wiki/Q15973327", "Q15973327")</f>
        <v>0</v>
      </c>
    </row>
    <row r="114" spans="1:8">
      <c r="A114" t="s">
        <v>120</v>
      </c>
      <c r="B114" t="s">
        <v>5130</v>
      </c>
      <c r="C114" t="s">
        <v>9375</v>
      </c>
      <c r="D114" t="s">
        <v>11482</v>
      </c>
      <c r="E114" s="2">
        <v>3149</v>
      </c>
      <c r="F114">
        <f>HYPERLINK("https://www2.assemblee-nationale.fr/sycomore/fiche/(num_dept)/188", "188.0")</f>
        <v>0</v>
      </c>
      <c r="H114">
        <f>HYPERLINK("https://www.wikidata.org/wiki/Q3052547", "Q3052547")</f>
        <v>0</v>
      </c>
    </row>
    <row r="115" spans="1:8">
      <c r="A115" t="s">
        <v>121</v>
      </c>
      <c r="B115" t="s">
        <v>5131</v>
      </c>
      <c r="C115" t="s">
        <v>9392</v>
      </c>
      <c r="D115" t="s">
        <v>11497</v>
      </c>
      <c r="E115" s="2">
        <v>12435</v>
      </c>
      <c r="F115">
        <f>HYPERLINK("https://www2.assemblee-nationale.fr/sycomore/fiche/(num_dept)/220", "220.0")</f>
        <v>0</v>
      </c>
      <c r="H115">
        <f>HYPERLINK("https://www.wikidata.org/wiki/Q3083848", "Q3083848")</f>
        <v>0</v>
      </c>
    </row>
    <row r="116" spans="1:8">
      <c r="A116" t="s">
        <v>122</v>
      </c>
      <c r="B116" t="s">
        <v>5131</v>
      </c>
      <c r="C116" t="s">
        <v>9393</v>
      </c>
      <c r="D116" t="s">
        <v>11498</v>
      </c>
      <c r="E116" s="2">
        <v>6640</v>
      </c>
      <c r="F116">
        <f>HYPERLINK("https://www2.assemblee-nationale.fr/sycomore/fiche/(num_dept)/222", "222.0")</f>
        <v>0</v>
      </c>
      <c r="G116">
        <f>HYPERLINK("https://www.senat.fr/senateur-3eme-republique/astier_placide0139r3.html", "astier_placide0139r3")</f>
        <v>0</v>
      </c>
      <c r="H116">
        <f>HYPERLINK("https://www.wikidata.org/wiki/Q3390780", "Q3390780")</f>
        <v>0</v>
      </c>
    </row>
    <row r="117" spans="1:8">
      <c r="A117" t="s">
        <v>123</v>
      </c>
      <c r="B117" t="s">
        <v>5131</v>
      </c>
      <c r="C117" t="s">
        <v>9394</v>
      </c>
      <c r="D117" t="s">
        <v>11499</v>
      </c>
      <c r="E117" s="2">
        <v>17431</v>
      </c>
      <c r="F117">
        <f>HYPERLINK("https://www2.assemblee-nationale.fr/sycomore/fiche/(num_dept)/221", "221.0")</f>
        <v>0</v>
      </c>
      <c r="G117">
        <f>HYPERLINK("https://www.senat.fr/senateur-3eme-republique/astier_marcel0136r3.html", "astier_marcel0136r3")</f>
        <v>0</v>
      </c>
      <c r="H117">
        <f>HYPERLINK("https://www.wikidata.org/wiki/Q3288594", "Q3288594")</f>
        <v>0</v>
      </c>
    </row>
    <row r="118" spans="1:8">
      <c r="A118" t="s">
        <v>124</v>
      </c>
      <c r="B118" t="s">
        <v>5132</v>
      </c>
      <c r="C118" t="s">
        <v>9395</v>
      </c>
      <c r="D118" t="s">
        <v>11500</v>
      </c>
      <c r="E118" s="2">
        <v>3452</v>
      </c>
      <c r="F118">
        <f>HYPERLINK("https://www2.assemblee-nationale.fr/sycomore/fiche/(num_dept)/224", "224.0")</f>
        <v>0</v>
      </c>
      <c r="H118">
        <f>HYPERLINK("https://www.wikidata.org/wiki/Q15973329", "Q15973329")</f>
        <v>0</v>
      </c>
    </row>
    <row r="119" spans="1:8">
      <c r="A119" t="s">
        <v>125</v>
      </c>
      <c r="B119" t="s">
        <v>5133</v>
      </c>
      <c r="C119" t="s">
        <v>9373</v>
      </c>
      <c r="D119" t="s">
        <v>11501</v>
      </c>
      <c r="E119" s="2">
        <v>476</v>
      </c>
      <c r="G119">
        <f>HYPERLINK("https://www.senat.fr/senateur-3eme-republique/astor_joseph0814r3.html", "astor_joseph0814r3")</f>
        <v>0</v>
      </c>
      <c r="H119">
        <f>HYPERLINK("https://www.wikidata.org/wiki/Q3184539", "Q3184539")</f>
        <v>0</v>
      </c>
    </row>
    <row r="120" spans="1:8">
      <c r="A120" t="s">
        <v>126</v>
      </c>
      <c r="B120" t="s">
        <v>5134</v>
      </c>
      <c r="C120" t="s">
        <v>9396</v>
      </c>
      <c r="D120" t="s">
        <v>11502</v>
      </c>
      <c r="E120" s="2">
        <v>24465</v>
      </c>
      <c r="F120">
        <f>HYPERLINK("https://www2.assemblee-nationale.fr/sycomore/fiche/(num_dept)/228", "228.0")</f>
        <v>0</v>
      </c>
      <c r="H120">
        <f>HYPERLINK("https://www.wikidata.org/wiki/Q3419119", "Q3419119")</f>
        <v>0</v>
      </c>
    </row>
    <row r="121" spans="1:8">
      <c r="A121" t="s">
        <v>127</v>
      </c>
      <c r="B121" t="s">
        <v>5135</v>
      </c>
      <c r="C121" t="s">
        <v>9397</v>
      </c>
      <c r="D121" t="s">
        <v>11503</v>
      </c>
      <c r="E121" t="s">
        <v>15832</v>
      </c>
      <c r="H121">
        <f>HYPERLINK("https://www.wikidata.org/wiki/Q1639740", "Q1639740")</f>
        <v>0</v>
      </c>
    </row>
    <row r="122" spans="1:8">
      <c r="A122" t="s">
        <v>128</v>
      </c>
      <c r="B122" t="s">
        <v>5136</v>
      </c>
      <c r="C122" t="s">
        <v>9398</v>
      </c>
      <c r="D122" t="s">
        <v>11504</v>
      </c>
      <c r="E122" s="2">
        <v>10384</v>
      </c>
      <c r="F122">
        <f>HYPERLINK("https://www2.assemblee-nationale.fr/sycomore/fiche/(num_dept)/229", "229.0")</f>
        <v>0</v>
      </c>
      <c r="G122">
        <f>HYPERLINK("https://www.senat.fr/senateur-3eme-republique/auber_joseph0851r3.html", "auber_joseph0851r3")</f>
        <v>0</v>
      </c>
      <c r="H122">
        <f>HYPERLINK("https://www.wikidata.org/wiki/Q3188407", "Q3188407")</f>
        <v>0</v>
      </c>
    </row>
    <row r="123" spans="1:8">
      <c r="A123" t="s">
        <v>129</v>
      </c>
      <c r="B123" t="s">
        <v>5137</v>
      </c>
      <c r="C123" t="s">
        <v>9399</v>
      </c>
      <c r="D123" t="s">
        <v>11505</v>
      </c>
      <c r="E123" s="2">
        <v>16210</v>
      </c>
      <c r="F123">
        <f>HYPERLINK("https://www2.assemblee-nationale.fr/sycomore/fiche/(num_dept)/232", "232.0")</f>
        <v>0</v>
      </c>
      <c r="H123">
        <f>HYPERLINK("https://www.wikidata.org/wiki/Q3261122", "Q3261122")</f>
        <v>0</v>
      </c>
    </row>
    <row r="124" spans="1:8">
      <c r="A124" t="s">
        <v>130</v>
      </c>
      <c r="B124" t="s">
        <v>5138</v>
      </c>
      <c r="C124" t="s">
        <v>9400</v>
      </c>
      <c r="D124" t="s">
        <v>11506</v>
      </c>
      <c r="E124" s="2">
        <v>21597</v>
      </c>
      <c r="F124">
        <f>HYPERLINK("https://www2.assemblee-nationale.fr/sycomore/fiche/(num_dept)/238", "238.0")</f>
        <v>0</v>
      </c>
      <c r="H124">
        <f>HYPERLINK("https://www.wikidata.org/wiki/Q3188406", "Q3188406")</f>
        <v>0</v>
      </c>
    </row>
    <row r="125" spans="1:8">
      <c r="A125" t="s">
        <v>131</v>
      </c>
      <c r="B125" t="s">
        <v>5139</v>
      </c>
      <c r="C125" t="s">
        <v>9401</v>
      </c>
      <c r="D125" t="s">
        <v>11507</v>
      </c>
      <c r="E125" s="2">
        <v>14303</v>
      </c>
      <c r="F125">
        <f>HYPERLINK("https://www2.assemblee-nationale.fr/sycomore/fiche/(num_dept)/241", "241.0")</f>
        <v>0</v>
      </c>
      <c r="G125">
        <f>HYPERLINK("https://www.senat.fr/senateur-3eme-republique/aubry_charles0694r3.html", "aubry_charles0694r3")</f>
        <v>0</v>
      </c>
      <c r="H125">
        <f>HYPERLINK("https://www.wikidata.org/wiki/Q20027649", "Q20027649")</f>
        <v>0</v>
      </c>
    </row>
    <row r="126" spans="1:8">
      <c r="A126" t="s">
        <v>132</v>
      </c>
      <c r="B126" t="s">
        <v>5139</v>
      </c>
      <c r="C126" t="s">
        <v>9402</v>
      </c>
      <c r="D126" t="s">
        <v>11508</v>
      </c>
      <c r="E126" s="2">
        <v>18851</v>
      </c>
      <c r="F126">
        <f>HYPERLINK("https://www2.assemblee-nationale.fr/sycomore/fiche/(num_dept)/240", "240.0")</f>
        <v>0</v>
      </c>
      <c r="H126">
        <f>HYPERLINK("https://www.wikidata.org/wiki/Q2830924", "Q2830924")</f>
        <v>0</v>
      </c>
    </row>
    <row r="127" spans="1:8">
      <c r="A127" t="s">
        <v>133</v>
      </c>
      <c r="B127" t="s">
        <v>5140</v>
      </c>
      <c r="C127" t="s">
        <v>7754</v>
      </c>
      <c r="D127" t="s">
        <v>11509</v>
      </c>
      <c r="E127" s="2">
        <v>4774</v>
      </c>
      <c r="G127">
        <f>HYPERLINK("https://www.senat.fr/senateur-3eme-republique/aucoin_louis0153r3.html", "aucoin_louis0153r3")</f>
        <v>0</v>
      </c>
      <c r="H127">
        <f>HYPERLINK("https://www.wikidata.org/wiki/Q3261127", "Q3261127")</f>
        <v>0</v>
      </c>
    </row>
    <row r="128" spans="1:8">
      <c r="A128" t="s">
        <v>134</v>
      </c>
      <c r="B128" t="s">
        <v>5141</v>
      </c>
      <c r="C128" t="s">
        <v>9403</v>
      </c>
      <c r="D128" t="s">
        <v>11510</v>
      </c>
      <c r="E128" s="2">
        <v>732</v>
      </c>
      <c r="F128">
        <f>HYPERLINK("https://www2.assemblee-nationale.fr/sycomore/fiche/(num_dept)/248", "248.0")</f>
        <v>0</v>
      </c>
      <c r="H128">
        <f>HYPERLINK("https://www.wikidata.org/wiki/Q15973370", "Q15973370")</f>
        <v>0</v>
      </c>
    </row>
    <row r="129" spans="1:8">
      <c r="A129" t="s">
        <v>135</v>
      </c>
      <c r="B129" t="s">
        <v>5142</v>
      </c>
      <c r="C129" t="s">
        <v>9404</v>
      </c>
      <c r="D129" t="s">
        <v>11511</v>
      </c>
      <c r="E129" s="2">
        <v>6510</v>
      </c>
      <c r="F129">
        <f>HYPERLINK("https://www2.assemblee-nationale.fr/sycomore/fiche/(num_dept)/251", "251.0")</f>
        <v>0</v>
      </c>
      <c r="G129">
        <f>HYPERLINK("https://www.senat.fr/senateur-3eme-republique/audiffred_jean_honore1321r3.html", "audiffred_jean_honore1321r3")</f>
        <v>0</v>
      </c>
      <c r="H129">
        <f>HYPERLINK("https://www.wikidata.org/wiki/Q3166130", "Q3166130")</f>
        <v>0</v>
      </c>
    </row>
    <row r="130" spans="1:8">
      <c r="A130" t="s">
        <v>136</v>
      </c>
      <c r="B130" t="s">
        <v>5143</v>
      </c>
      <c r="C130" t="s">
        <v>9405</v>
      </c>
      <c r="D130" t="s">
        <v>11512</v>
      </c>
      <c r="E130" s="2">
        <v>9230</v>
      </c>
      <c r="F130">
        <f>HYPERLINK("https://www2.assemblee-nationale.fr/sycomore/fiche/(num_dept)/254", "254.0")</f>
        <v>0</v>
      </c>
      <c r="H130">
        <f>HYPERLINK("https://www.wikidata.org/wiki/Q3102220", "Q3102220")</f>
        <v>0</v>
      </c>
    </row>
    <row r="131" spans="1:8">
      <c r="A131" t="s">
        <v>137</v>
      </c>
      <c r="B131" t="s">
        <v>5144</v>
      </c>
      <c r="C131" t="s">
        <v>9256</v>
      </c>
      <c r="D131" t="s">
        <v>11513</v>
      </c>
      <c r="E131" t="s">
        <v>15833</v>
      </c>
      <c r="G131">
        <f>HYPERLINK("https://www.senat.fr/senateur-3eme-republique/audren_de_kerdrel_vincent0893r3.html", "audren_de_kerdrel_vincent0893r3")</f>
        <v>0</v>
      </c>
      <c r="H131">
        <f>HYPERLINK("https://www.wikidata.org/wiki/Q3559457", "Q3559457")</f>
        <v>0</v>
      </c>
    </row>
    <row r="132" spans="1:8">
      <c r="A132" t="s">
        <v>138</v>
      </c>
      <c r="B132" t="s">
        <v>5144</v>
      </c>
      <c r="C132" t="s">
        <v>8716</v>
      </c>
      <c r="D132" t="s">
        <v>11514</v>
      </c>
      <c r="E132" s="2">
        <v>10771</v>
      </c>
      <c r="G132">
        <f>HYPERLINK("https://www.senat.fr/senateur-3eme-republique/audren_de_kerdrel_roger0915r3.html", "audren_de_kerdrel_roger0915r3")</f>
        <v>0</v>
      </c>
      <c r="H132">
        <f>HYPERLINK("https://www.wikidata.org/wiki/Q3438659", "Q3438659")</f>
        <v>0</v>
      </c>
    </row>
    <row r="133" spans="1:8">
      <c r="A133" t="s">
        <v>139</v>
      </c>
      <c r="B133" t="s">
        <v>5145</v>
      </c>
      <c r="C133" t="s">
        <v>9406</v>
      </c>
      <c r="D133" t="s">
        <v>11515</v>
      </c>
      <c r="E133" s="2">
        <v>5942</v>
      </c>
      <c r="F133">
        <f>HYPERLINK("https://www2.assemblee-nationale.fr/sycomore/fiche/(num_dept)/260", "260.0")</f>
        <v>0</v>
      </c>
      <c r="H133">
        <f>HYPERLINK("https://www.wikidata.org/wiki/Q13080924", "Q13080924")</f>
        <v>0</v>
      </c>
    </row>
    <row r="134" spans="1:8">
      <c r="A134" t="s">
        <v>140</v>
      </c>
      <c r="B134" t="s">
        <v>5145</v>
      </c>
      <c r="C134" t="s">
        <v>9407</v>
      </c>
      <c r="D134" t="s">
        <v>11516</v>
      </c>
      <c r="E134" s="2">
        <v>21074</v>
      </c>
      <c r="F134">
        <f>HYPERLINK("https://www2.assemblee-nationale.fr/sycomore/fiche/(num_dept)/258", "258.0")</f>
        <v>0</v>
      </c>
      <c r="H134">
        <f>HYPERLINK("https://www.wikidata.org/wiki/Q2958432", "Q2958432")</f>
        <v>0</v>
      </c>
    </row>
    <row r="135" spans="1:8">
      <c r="A135" t="s">
        <v>141</v>
      </c>
      <c r="B135" t="s">
        <v>5146</v>
      </c>
      <c r="C135" t="s">
        <v>9408</v>
      </c>
      <c r="D135" t="s">
        <v>11517</v>
      </c>
      <c r="E135" s="2">
        <v>11436</v>
      </c>
      <c r="F135">
        <f>HYPERLINK("https://www2.assemblee-nationale.fr/sycomore/fiche/(num_dept)/261", "261.0")</f>
        <v>0</v>
      </c>
      <c r="H135">
        <f>HYPERLINK("https://www.wikidata.org/wiki/Q653621", "Q653621")</f>
        <v>0</v>
      </c>
    </row>
    <row r="136" spans="1:8">
      <c r="A136" t="s">
        <v>142</v>
      </c>
      <c r="B136" t="s">
        <v>5147</v>
      </c>
      <c r="C136" t="s">
        <v>9409</v>
      </c>
      <c r="D136" t="s">
        <v>11518</v>
      </c>
      <c r="F136">
        <f>HYPERLINK("https://www2.assemblee-nationale.fr/sycomore/fiche/(num_dept)/17848", "17848.0")</f>
        <v>0</v>
      </c>
      <c r="H136">
        <f>HYPERLINK("https://www.wikidata.org/wiki/Q11984202", "Q11984202")</f>
        <v>0</v>
      </c>
    </row>
    <row r="137" spans="1:8">
      <c r="A137" t="s">
        <v>143</v>
      </c>
      <c r="B137" t="s">
        <v>5148</v>
      </c>
      <c r="C137" t="s">
        <v>9410</v>
      </c>
      <c r="D137" t="s">
        <v>11519</v>
      </c>
      <c r="E137" s="2">
        <v>9134</v>
      </c>
      <c r="F137">
        <f>HYPERLINK("https://www2.assemblee-nationale.fr/sycomore/fiche/(num_dept)/267", "267.0")</f>
        <v>0</v>
      </c>
      <c r="H137">
        <f>HYPERLINK("https://www.wikidata.org/wiki/Q15973403", "Q15973403")</f>
        <v>0</v>
      </c>
    </row>
    <row r="138" spans="1:8">
      <c r="A138" t="s">
        <v>144</v>
      </c>
      <c r="B138" t="s">
        <v>5148</v>
      </c>
      <c r="C138" t="s">
        <v>9411</v>
      </c>
      <c r="D138" t="s">
        <v>11520</v>
      </c>
      <c r="E138" s="2">
        <v>9648</v>
      </c>
      <c r="F138">
        <f>HYPERLINK("https://www2.assemblee-nationale.fr/sycomore/fiche/(num_dept)/263", "263.0")</f>
        <v>0</v>
      </c>
      <c r="H138">
        <f>HYPERLINK("https://www.wikidata.org/wiki/Q16025417", "Q16025417")</f>
        <v>0</v>
      </c>
    </row>
    <row r="139" spans="1:8">
      <c r="A139" t="s">
        <v>145</v>
      </c>
      <c r="B139" t="s">
        <v>5148</v>
      </c>
      <c r="C139" t="s">
        <v>9412</v>
      </c>
      <c r="D139" t="s">
        <v>11521</v>
      </c>
      <c r="E139" s="2">
        <v>9386</v>
      </c>
      <c r="F139">
        <f>HYPERLINK("https://www2.assemblee-nationale.fr/sycomore/fiche/(num_dept)/266", "266.0")</f>
        <v>0</v>
      </c>
      <c r="H139">
        <f>HYPERLINK("https://www.wikidata.org/wiki/Q9296511", "Q9296511")</f>
        <v>0</v>
      </c>
    </row>
    <row r="140" spans="1:8">
      <c r="A140" t="s">
        <v>146</v>
      </c>
      <c r="B140" t="s">
        <v>5148</v>
      </c>
      <c r="C140" t="s">
        <v>9413</v>
      </c>
      <c r="D140" t="s">
        <v>11522</v>
      </c>
      <c r="E140" s="2">
        <v>17313</v>
      </c>
      <c r="F140">
        <f>HYPERLINK("https://www2.assemblee-nationale.fr/sycomore/fiche/(num_dept)/265", "265.0")</f>
        <v>0</v>
      </c>
      <c r="H140">
        <f>HYPERLINK("https://www.wikidata.org/wiki/Q15973393", "Q15973393")</f>
        <v>0</v>
      </c>
    </row>
    <row r="141" spans="1:8">
      <c r="A141" t="s">
        <v>147</v>
      </c>
      <c r="B141" t="s">
        <v>5148</v>
      </c>
      <c r="C141" t="s">
        <v>9414</v>
      </c>
      <c r="D141" t="s">
        <v>11523</v>
      </c>
      <c r="E141" s="2">
        <v>21129</v>
      </c>
      <c r="F141">
        <f>HYPERLINK("https://www2.assemblee-nationale.fr/sycomore/fiche/(num_dept)/264", "264.0")</f>
        <v>0</v>
      </c>
      <c r="H141">
        <f>HYPERLINK("https://www.wikidata.org/wiki/Q15973392", "Q15973392")</f>
        <v>0</v>
      </c>
    </row>
    <row r="142" spans="1:8">
      <c r="A142" t="s">
        <v>148</v>
      </c>
      <c r="B142" t="s">
        <v>5149</v>
      </c>
      <c r="C142" t="s">
        <v>9415</v>
      </c>
      <c r="D142" t="s">
        <v>11524</v>
      </c>
      <c r="E142" s="2">
        <v>938</v>
      </c>
      <c r="F142">
        <f>HYPERLINK("https://www2.assemblee-nationale.fr/sycomore/fiche/(num_dept)/270", "270.0")</f>
        <v>0</v>
      </c>
      <c r="H142">
        <f>HYPERLINK("https://www.wikidata.org/wiki/Q15973413", "Q15973413")</f>
        <v>0</v>
      </c>
    </row>
    <row r="143" spans="1:8">
      <c r="A143" t="s">
        <v>149</v>
      </c>
      <c r="B143" t="s">
        <v>5150</v>
      </c>
      <c r="C143" t="s">
        <v>9416</v>
      </c>
      <c r="D143" t="s">
        <v>11525</v>
      </c>
      <c r="E143" s="2">
        <v>20823</v>
      </c>
      <c r="F143">
        <f>HYPERLINK("https://www2.assemblee-nationale.fr/sycomore/fiche/(num_dept)/273", "273.0")</f>
        <v>0</v>
      </c>
      <c r="H143">
        <f>HYPERLINK("https://www.wikidata.org/wiki/Q7120642", "Q7120642")</f>
        <v>0</v>
      </c>
    </row>
    <row r="144" spans="1:8">
      <c r="A144" t="s">
        <v>150</v>
      </c>
      <c r="B144" t="s">
        <v>5151</v>
      </c>
      <c r="C144" t="s">
        <v>9417</v>
      </c>
      <c r="D144" t="s">
        <v>11526</v>
      </c>
      <c r="E144" s="2">
        <v>13911</v>
      </c>
      <c r="F144">
        <f>HYPERLINK("https://www2.assemblee-nationale.fr/sycomore/fiche/(num_dept)/278", "278.0")</f>
        <v>0</v>
      </c>
      <c r="G144">
        <f>HYPERLINK("https://www.senat.fr/senateur-3eme-republique/auray_charles1351r3.html", "auray_charles1351r3")</f>
        <v>0</v>
      </c>
      <c r="H144">
        <f>HYPERLINK("https://www.wikidata.org/wiki/Q2958450", "Q2958450")</f>
        <v>0</v>
      </c>
    </row>
    <row r="145" spans="1:8">
      <c r="A145" t="s">
        <v>151</v>
      </c>
      <c r="B145" t="s">
        <v>5152</v>
      </c>
      <c r="C145" t="s">
        <v>8208</v>
      </c>
      <c r="D145" t="s">
        <v>11527</v>
      </c>
      <c r="E145" s="2">
        <v>3565</v>
      </c>
      <c r="F145">
        <f>HYPERLINK("https://www2.assemblee-nationale.fr/sycomore/fiche/(num_dept)/280", "280.0")</f>
        <v>0</v>
      </c>
      <c r="H145">
        <f>HYPERLINK("https://www.wikidata.org/wiki/Q15973410", "Q15973410")</f>
        <v>0</v>
      </c>
    </row>
    <row r="146" spans="1:8">
      <c r="A146" t="s">
        <v>152</v>
      </c>
      <c r="B146" t="s">
        <v>5153</v>
      </c>
      <c r="C146" t="s">
        <v>9418</v>
      </c>
      <c r="D146" t="s">
        <v>11528</v>
      </c>
      <c r="E146" s="2">
        <v>31963</v>
      </c>
      <c r="F146">
        <f>HYPERLINK("https://www2.assemblee-nationale.fr/sycomore/fiche/(num_dept)/283", "283.0")</f>
        <v>0</v>
      </c>
      <c r="H146">
        <f>HYPERLINK("https://www.wikidata.org/wiki/Q15973407", "Q15973407")</f>
        <v>0</v>
      </c>
    </row>
    <row r="147" spans="1:8">
      <c r="A147" t="s">
        <v>153</v>
      </c>
      <c r="B147" t="s">
        <v>5154</v>
      </c>
      <c r="C147" t="s">
        <v>9419</v>
      </c>
      <c r="D147" t="s">
        <v>11529</v>
      </c>
      <c r="E147" s="2">
        <v>21566</v>
      </c>
      <c r="F147">
        <f>HYPERLINK("https://www2.assemblee-nationale.fr/sycomore/fiche/(num_dept)/284", "284.0")</f>
        <v>0</v>
      </c>
      <c r="H147">
        <f>HYPERLINK("https://www.wikidata.org/wiki/Q3130593", "Q3130593")</f>
        <v>0</v>
      </c>
    </row>
    <row r="148" spans="1:8">
      <c r="A148" t="s">
        <v>154</v>
      </c>
      <c r="B148" t="s">
        <v>5154</v>
      </c>
      <c r="C148" t="s">
        <v>9420</v>
      </c>
      <c r="D148" t="s">
        <v>11530</v>
      </c>
      <c r="E148" s="2">
        <v>24108</v>
      </c>
      <c r="F148">
        <f>HYPERLINK("https://www2.assemblee-nationale.fr/sycomore/fiche/(num_dept)/285", "285.0")</f>
        <v>0</v>
      </c>
      <c r="H148">
        <f>HYPERLINK("https://www.wikidata.org/wiki/Q158772", "Q158772")</f>
        <v>0</v>
      </c>
    </row>
    <row r="149" spans="1:8">
      <c r="A149" t="s">
        <v>155</v>
      </c>
      <c r="B149" t="s">
        <v>5155</v>
      </c>
      <c r="C149" t="s">
        <v>6864</v>
      </c>
      <c r="D149" t="s">
        <v>11531</v>
      </c>
      <c r="E149" s="2">
        <v>10258</v>
      </c>
      <c r="F149">
        <f>HYPERLINK("https://www2.assemblee-nationale.fr/sycomore/fiche/(num_dept)/288", "288.0")</f>
        <v>0</v>
      </c>
      <c r="H149">
        <f>HYPERLINK("https://www.wikidata.org/wiki/Q3083871", "Q3083871")</f>
        <v>0</v>
      </c>
    </row>
    <row r="150" spans="1:8">
      <c r="A150" t="s">
        <v>156</v>
      </c>
      <c r="B150" t="s">
        <v>5156</v>
      </c>
      <c r="C150" t="s">
        <v>9421</v>
      </c>
      <c r="D150" t="s">
        <v>11532</v>
      </c>
      <c r="E150" s="2">
        <v>16531</v>
      </c>
      <c r="F150">
        <f>HYPERLINK("https://www2.assemblee-nationale.fr/sycomore/fiche/(num_dept)/291", "291.0")</f>
        <v>0</v>
      </c>
      <c r="H150">
        <f>HYPERLINK("https://www.wikidata.org/wiki/Q8313867", "Q8313867")</f>
        <v>0</v>
      </c>
    </row>
    <row r="151" spans="1:8">
      <c r="A151" t="s">
        <v>157</v>
      </c>
      <c r="B151" t="s">
        <v>5157</v>
      </c>
      <c r="C151" t="s">
        <v>9422</v>
      </c>
      <c r="D151" t="s">
        <v>11533</v>
      </c>
      <c r="E151" s="2">
        <v>15296</v>
      </c>
      <c r="F151">
        <f>HYPERLINK("https://www2.assemblee-nationale.fr/sycomore/fiche/(num_dept)/292", "292.0")</f>
        <v>0</v>
      </c>
      <c r="H151">
        <f>HYPERLINK("https://www.wikidata.org/wiki/Q3170465", "Q3170465")</f>
        <v>0</v>
      </c>
    </row>
    <row r="152" spans="1:8">
      <c r="A152" t="s">
        <v>158</v>
      </c>
      <c r="B152" t="s">
        <v>5158</v>
      </c>
      <c r="C152" t="s">
        <v>9423</v>
      </c>
      <c r="D152" t="s">
        <v>11534</v>
      </c>
      <c r="E152" t="s">
        <v>15834</v>
      </c>
      <c r="F152">
        <f>HYPERLINK("https://www2.assemblee-nationale.fr/sycomore/fiche/(num_dept)/295", "295.0")</f>
        <v>0</v>
      </c>
      <c r="H152">
        <f>HYPERLINK("https://www.wikidata.org/wiki/Q2833417", "Q2833417")</f>
        <v>0</v>
      </c>
    </row>
    <row r="153" spans="1:8">
      <c r="A153" t="s">
        <v>159</v>
      </c>
      <c r="B153" t="s">
        <v>5159</v>
      </c>
      <c r="C153" t="s">
        <v>9424</v>
      </c>
      <c r="D153" t="s">
        <v>11535</v>
      </c>
      <c r="E153" s="2">
        <v>17915</v>
      </c>
      <c r="F153">
        <f>HYPERLINK("https://www2.assemblee-nationale.fr/sycomore/fiche/(num_dept)/298", "298.0")</f>
        <v>0</v>
      </c>
      <c r="H153">
        <f>HYPERLINK("https://www.wikidata.org/wiki/Q3130596", "Q3130596")</f>
        <v>0</v>
      </c>
    </row>
    <row r="154" spans="1:8">
      <c r="A154" t="s">
        <v>160</v>
      </c>
      <c r="B154" t="s">
        <v>5160</v>
      </c>
      <c r="C154" t="s">
        <v>9425</v>
      </c>
      <c r="D154" t="s">
        <v>11536</v>
      </c>
      <c r="E154" t="s">
        <v>15835</v>
      </c>
      <c r="G154">
        <f>HYPERLINK("https://www.senat.fr/senateur-3eme-republique/ayme_leo1622r3.html", "ayme_leo1622r3")</f>
        <v>0</v>
      </c>
      <c r="H154">
        <f>HYPERLINK("https://www.wikidata.org/wiki/Q3270433", "Q3270433")</f>
        <v>0</v>
      </c>
    </row>
    <row r="155" spans="1:8">
      <c r="A155" t="s">
        <v>161</v>
      </c>
      <c r="B155" t="s">
        <v>5161</v>
      </c>
      <c r="C155" t="s">
        <v>9426</v>
      </c>
      <c r="D155" t="s">
        <v>11537</v>
      </c>
      <c r="E155" s="2">
        <v>13853</v>
      </c>
      <c r="F155">
        <f>HYPERLINK("https://www2.assemblee-nationale.fr/sycomore/fiche/(num_dept)/304", "304.0")</f>
        <v>0</v>
      </c>
      <c r="H155">
        <f>HYPERLINK("https://www.wikidata.org/wiki/Q15973374", "Q15973374")</f>
        <v>0</v>
      </c>
    </row>
    <row r="156" spans="1:8">
      <c r="A156" t="s">
        <v>162</v>
      </c>
      <c r="B156" t="s">
        <v>5162</v>
      </c>
      <c r="C156" t="s">
        <v>9346</v>
      </c>
      <c r="D156" t="s">
        <v>11538</v>
      </c>
      <c r="E156" s="2">
        <v>4925</v>
      </c>
      <c r="F156">
        <f>HYPERLINK("https://www2.assemblee-nationale.fr/sycomore/fiche/(num_dept)/305", "305.0")</f>
        <v>0</v>
      </c>
      <c r="H156">
        <f>HYPERLINK("https://www.wikidata.org/wiki/Q3579728", "Q3579728")</f>
        <v>0</v>
      </c>
    </row>
    <row r="157" spans="1:8">
      <c r="A157" t="s">
        <v>163</v>
      </c>
      <c r="B157" t="s">
        <v>5163</v>
      </c>
      <c r="C157" t="s">
        <v>9368</v>
      </c>
      <c r="D157" t="s">
        <v>11539</v>
      </c>
      <c r="E157" s="2">
        <v>14711</v>
      </c>
      <c r="G157">
        <f>HYPERLINK("https://www.senat.fr/senateur-3eme-republique/azemar_eugene0090r3.html", "azemar_eugene0090r3")</f>
        <v>0</v>
      </c>
      <c r="H157">
        <f>HYPERLINK("https://www.wikidata.org/wiki/Q3059704", "Q3059704")</f>
        <v>0</v>
      </c>
    </row>
    <row r="158" spans="1:8">
      <c r="A158" t="s">
        <v>164</v>
      </c>
      <c r="B158" t="s">
        <v>5164</v>
      </c>
      <c r="C158" t="s">
        <v>9427</v>
      </c>
      <c r="D158" t="s">
        <v>11540</v>
      </c>
      <c r="E158" s="2">
        <v>11129</v>
      </c>
      <c r="F158">
        <f>HYPERLINK("https://www2.assemblee-nationale.fr/sycomore/fiche/(num_dept)/310", "310.0")</f>
        <v>0</v>
      </c>
      <c r="H158">
        <f>HYPERLINK("https://www.wikidata.org/wiki/Q2853627", "Q2853627")</f>
        <v>0</v>
      </c>
    </row>
    <row r="159" spans="1:8">
      <c r="A159" t="s">
        <v>165</v>
      </c>
      <c r="B159" t="s">
        <v>5165</v>
      </c>
      <c r="C159" t="s">
        <v>9428</v>
      </c>
      <c r="D159" t="s">
        <v>11541</v>
      </c>
      <c r="E159" s="2">
        <v>17933</v>
      </c>
      <c r="G159">
        <f>HYPERLINK("https://www.senat.fr/senateur-3eme-republique/babaud_lacroze_leonide0398r3.html", "babaud_lacroze_leonide0398r3")</f>
        <v>0</v>
      </c>
      <c r="H159">
        <f>HYPERLINK("https://www.wikidata.org/wiki/Q3271689", "Q3271689")</f>
        <v>0</v>
      </c>
    </row>
    <row r="160" spans="1:8">
      <c r="A160" t="s">
        <v>166</v>
      </c>
      <c r="B160" t="s">
        <v>5166</v>
      </c>
      <c r="C160" t="s">
        <v>7342</v>
      </c>
      <c r="D160" t="s">
        <v>11542</v>
      </c>
      <c r="E160" s="2">
        <v>13404</v>
      </c>
      <c r="G160">
        <f>HYPERLINK("https://www.senat.fr/senateur-3eme-republique/babin_chevaye_jean1285r3.html", "babin_chevaye_jean1285r3")</f>
        <v>0</v>
      </c>
      <c r="H160">
        <f>HYPERLINK("https://www.wikidata.org/wiki/Q3170485", "Q3170485")</f>
        <v>0</v>
      </c>
    </row>
    <row r="161" spans="1:8">
      <c r="A161" t="s">
        <v>167</v>
      </c>
      <c r="B161" t="s">
        <v>5167</v>
      </c>
      <c r="C161" t="s">
        <v>9324</v>
      </c>
      <c r="D161" t="s">
        <v>11543</v>
      </c>
      <c r="E161" s="2">
        <v>11232</v>
      </c>
      <c r="G161">
        <f>HYPERLINK("https://www.senat.fr/senateur-3eme-republique/bachelet_henri0973r3.html", "bachelet_henri0973r3")</f>
        <v>0</v>
      </c>
      <c r="H161">
        <f>HYPERLINK("https://www.wikidata.org/wiki/Q3130598", "Q3130598")</f>
        <v>0</v>
      </c>
    </row>
    <row r="162" spans="1:8">
      <c r="A162" t="s">
        <v>168</v>
      </c>
      <c r="B162" t="s">
        <v>5167</v>
      </c>
      <c r="C162" t="s">
        <v>9429</v>
      </c>
      <c r="D162" t="s">
        <v>11544</v>
      </c>
      <c r="E162" s="2">
        <v>16650</v>
      </c>
      <c r="G162">
        <f>HYPERLINK("https://www.senat.fr/senateur-3eme-republique/bachelet_alexandre1563r3.html", "bachelet_alexandre1563r3")</f>
        <v>0</v>
      </c>
      <c r="H162">
        <f>HYPERLINK("https://www.wikidata.org/wiki/Q2833420", "Q2833420")</f>
        <v>0</v>
      </c>
    </row>
    <row r="163" spans="1:8">
      <c r="A163" t="s">
        <v>169</v>
      </c>
      <c r="B163" t="s">
        <v>5167</v>
      </c>
      <c r="C163" t="s">
        <v>9430</v>
      </c>
      <c r="D163" t="s">
        <v>11545</v>
      </c>
      <c r="E163" s="2">
        <v>24529</v>
      </c>
      <c r="G163">
        <f>HYPERLINK("https://www.senat.fr/senateur-3eme-republique/bachelet_paul0982r3.html", "bachelet_paul0982r3")</f>
        <v>0</v>
      </c>
      <c r="H163">
        <f>HYPERLINK("https://www.wikidata.org/wiki/Q3370538", "Q3370538")</f>
        <v>0</v>
      </c>
    </row>
    <row r="164" spans="1:8">
      <c r="A164" t="s">
        <v>170</v>
      </c>
      <c r="B164" t="s">
        <v>5168</v>
      </c>
      <c r="C164" t="s">
        <v>6864</v>
      </c>
      <c r="D164" t="s">
        <v>11546</v>
      </c>
      <c r="E164" s="2">
        <v>12190</v>
      </c>
      <c r="F164">
        <f>HYPERLINK("https://www2.assemblee-nationale.fr/sycomore/fiche/(num_dept)/317", "317.0")</f>
        <v>0</v>
      </c>
      <c r="H164">
        <f>HYPERLINK("https://www.wikidata.org/wiki/Q15973432", "Q15973432")</f>
        <v>0</v>
      </c>
    </row>
    <row r="165" spans="1:8">
      <c r="A165" t="s">
        <v>171</v>
      </c>
      <c r="B165" t="s">
        <v>5169</v>
      </c>
      <c r="C165" t="s">
        <v>9430</v>
      </c>
      <c r="D165" t="s">
        <v>11547</v>
      </c>
      <c r="E165" s="2">
        <v>17902</v>
      </c>
      <c r="F165">
        <f>HYPERLINK("https://www2.assemblee-nationale.fr/sycomore/fiche/(num_dept)/322", "322.0")</f>
        <v>0</v>
      </c>
      <c r="H165">
        <f>HYPERLINK("https://www.wikidata.org/wiki/Q3370541", "Q3370541")</f>
        <v>0</v>
      </c>
    </row>
    <row r="166" spans="1:8">
      <c r="A166" t="s">
        <v>172</v>
      </c>
      <c r="B166" t="s">
        <v>5170</v>
      </c>
      <c r="C166" t="s">
        <v>9368</v>
      </c>
      <c r="D166" t="s">
        <v>11548</v>
      </c>
      <c r="E166" t="s">
        <v>15836</v>
      </c>
      <c r="F166">
        <f>HYPERLINK("https://www2.assemblee-nationale.fr/sycomore/fiche/(num_dept)/8071", "8071.0")</f>
        <v>0</v>
      </c>
      <c r="H166">
        <f>HYPERLINK("https://www.wikidata.org/wiki/Q15973428", "Q15973428")</f>
        <v>0</v>
      </c>
    </row>
    <row r="167" spans="1:8">
      <c r="A167" t="s">
        <v>173</v>
      </c>
      <c r="B167" t="s">
        <v>5171</v>
      </c>
      <c r="C167" t="s">
        <v>5058</v>
      </c>
      <c r="D167" t="s">
        <v>11549</v>
      </c>
      <c r="E167" s="2">
        <v>2627</v>
      </c>
      <c r="G167">
        <f>HYPERLINK("https://www.senat.fr/senateur-3eme-republique/baduel_albert0360r3.html", "baduel_albert0360r3")</f>
        <v>0</v>
      </c>
      <c r="H167">
        <f>HYPERLINK("https://www.wikidata.org/wiki/Q2830933", "Q2830933")</f>
        <v>0</v>
      </c>
    </row>
    <row r="168" spans="1:8">
      <c r="A168" t="s">
        <v>174</v>
      </c>
      <c r="B168" t="s">
        <v>5172</v>
      </c>
      <c r="C168" t="s">
        <v>9414</v>
      </c>
      <c r="D168" t="s">
        <v>11550</v>
      </c>
      <c r="E168" s="2">
        <v>8070</v>
      </c>
      <c r="F168">
        <f>HYPERLINK("https://www2.assemblee-nationale.fr/sycomore/fiche/(num_dept)/326", "326.0")</f>
        <v>0</v>
      </c>
      <c r="H168">
        <f>HYPERLINK("https://www.wikidata.org/wiki/Q15973431", "Q15973431")</f>
        <v>0</v>
      </c>
    </row>
    <row r="169" spans="1:8">
      <c r="A169" t="s">
        <v>175</v>
      </c>
      <c r="B169" t="s">
        <v>5173</v>
      </c>
      <c r="C169" t="s">
        <v>9431</v>
      </c>
      <c r="D169" t="s">
        <v>11551</v>
      </c>
      <c r="E169" s="2">
        <v>8495</v>
      </c>
      <c r="F169">
        <f>HYPERLINK("https://www2.assemblee-nationale.fr/sycomore/fiche/(num_dept)/331", "331.0")</f>
        <v>0</v>
      </c>
      <c r="H169">
        <f>HYPERLINK("https://www.wikidata.org/wiki/Q3382742", "Q3382742")</f>
        <v>0</v>
      </c>
    </row>
    <row r="170" spans="1:8">
      <c r="A170" t="s">
        <v>176</v>
      </c>
      <c r="B170" t="s">
        <v>5174</v>
      </c>
      <c r="C170" t="s">
        <v>9432</v>
      </c>
      <c r="D170" t="s">
        <v>11552</v>
      </c>
      <c r="E170" s="2">
        <v>2176</v>
      </c>
      <c r="F170">
        <f>HYPERLINK("https://www2.assemblee-nationale.fr/sycomore/fiche/(num_dept)/333", "333.0")</f>
        <v>0</v>
      </c>
      <c r="H170">
        <f>HYPERLINK("https://www.wikidata.org/wiki/Q13080892", "Q13080892")</f>
        <v>0</v>
      </c>
    </row>
    <row r="171" spans="1:8">
      <c r="A171" t="s">
        <v>177</v>
      </c>
      <c r="B171" t="s">
        <v>5175</v>
      </c>
      <c r="C171" t="s">
        <v>9433</v>
      </c>
      <c r="D171" t="s">
        <v>11553</v>
      </c>
      <c r="E171" s="2">
        <v>24814</v>
      </c>
      <c r="F171">
        <f>HYPERLINK("https://www2.assemblee-nationale.fr/sycomore/fiche/(num_dept)/335", "335.0")</f>
        <v>0</v>
      </c>
      <c r="H171">
        <f>HYPERLINK("https://www.wikidata.org/wiki/Q2847188", "Q2847188")</f>
        <v>0</v>
      </c>
    </row>
    <row r="172" spans="1:8">
      <c r="A172" t="s">
        <v>178</v>
      </c>
      <c r="B172" t="s">
        <v>5176</v>
      </c>
      <c r="C172" t="s">
        <v>9434</v>
      </c>
      <c r="D172" t="s">
        <v>11554</v>
      </c>
      <c r="E172" s="2">
        <v>6748</v>
      </c>
      <c r="F172">
        <f>HYPERLINK("https://www2.assemblee-nationale.fr/sycomore/fiche/(num_dept)/7541", "7541.0")</f>
        <v>0</v>
      </c>
      <c r="H172">
        <f>HYPERLINK("https://www.wikidata.org/wiki/Q3103043", "Q3103043")</f>
        <v>0</v>
      </c>
    </row>
    <row r="173" spans="1:8">
      <c r="A173" t="s">
        <v>179</v>
      </c>
      <c r="B173" t="s">
        <v>5177</v>
      </c>
      <c r="C173" t="s">
        <v>9435</v>
      </c>
      <c r="D173" t="s">
        <v>11555</v>
      </c>
      <c r="E173" s="2">
        <v>13549</v>
      </c>
      <c r="F173">
        <f>HYPERLINK("https://www2.assemblee-nationale.fr/sycomore/fiche/(num_dept)/7540", "7540.0")</f>
        <v>0</v>
      </c>
      <c r="H173">
        <f>HYPERLINK("https://www.wikidata.org/wiki/Q2381659", "Q2381659")</f>
        <v>0</v>
      </c>
    </row>
    <row r="174" spans="1:8">
      <c r="A174" t="s">
        <v>180</v>
      </c>
      <c r="B174" t="s">
        <v>5177</v>
      </c>
      <c r="C174" t="s">
        <v>9436</v>
      </c>
      <c r="D174" t="s">
        <v>11556</v>
      </c>
      <c r="E174" s="2">
        <v>19237</v>
      </c>
      <c r="F174">
        <f>HYPERLINK("https://www2.assemblee-nationale.fr/sycomore/fiche/(num_dept)/7539", "7539.0")</f>
        <v>0</v>
      </c>
      <c r="H174">
        <f>HYPERLINK("https://www.wikidata.org/wiki/Q2831320", "Q2831320")</f>
        <v>0</v>
      </c>
    </row>
    <row r="175" spans="1:8">
      <c r="A175" t="s">
        <v>181</v>
      </c>
      <c r="B175" t="s">
        <v>5178</v>
      </c>
      <c r="C175" t="s">
        <v>9437</v>
      </c>
      <c r="D175" t="s">
        <v>11557</v>
      </c>
      <c r="E175" s="2">
        <v>2385</v>
      </c>
      <c r="F175">
        <f>HYPERLINK("https://www2.assemblee-nationale.fr/sycomore/fiche/(num_dept)/338", "338.0")</f>
        <v>0</v>
      </c>
      <c r="H175">
        <f>HYPERLINK("https://www.wikidata.org/wiki/Q15973444", "Q15973444")</f>
        <v>0</v>
      </c>
    </row>
    <row r="176" spans="1:8">
      <c r="A176" t="s">
        <v>182</v>
      </c>
      <c r="B176" t="s">
        <v>5179</v>
      </c>
      <c r="C176" t="s">
        <v>9324</v>
      </c>
      <c r="D176" t="s">
        <v>11558</v>
      </c>
      <c r="E176" s="2">
        <v>434</v>
      </c>
      <c r="G176">
        <f>HYPERLINK("https://www.senat.fr/senateur-3eme-republique/baillardel_de_lareinty_henri1271r3.html", "baillardel_de_lareinty_henri1271r3")</f>
        <v>0</v>
      </c>
      <c r="H176">
        <f>HYPERLINK("https://www.wikidata.org/wiki/Q3130604", "Q3130604")</f>
        <v>0</v>
      </c>
    </row>
    <row r="177" spans="1:8">
      <c r="A177" t="s">
        <v>183</v>
      </c>
      <c r="B177" t="s">
        <v>5180</v>
      </c>
      <c r="C177" t="s">
        <v>9438</v>
      </c>
      <c r="D177" t="s">
        <v>11559</v>
      </c>
      <c r="E177" s="2">
        <v>16301</v>
      </c>
      <c r="F177">
        <f>HYPERLINK("https://www2.assemblee-nationale.fr/sycomore/fiche/(num_dept)/342", "342.0")</f>
        <v>0</v>
      </c>
      <c r="H177">
        <f>HYPERLINK("https://www.wikidata.org/wiki/Q3557139", "Q3557139")</f>
        <v>0</v>
      </c>
    </row>
    <row r="178" spans="1:8">
      <c r="A178" t="s">
        <v>184</v>
      </c>
      <c r="B178" t="s">
        <v>5181</v>
      </c>
      <c r="C178" t="s">
        <v>9439</v>
      </c>
      <c r="D178" t="s">
        <v>11560</v>
      </c>
      <c r="E178" s="2">
        <v>6152</v>
      </c>
      <c r="F178">
        <f>HYPERLINK("https://www2.assemblee-nationale.fr/sycomore/fiche/(num_dept)/344", "344.0")</f>
        <v>0</v>
      </c>
      <c r="H178">
        <f>HYPERLINK("https://www.wikidata.org/wiki/Q3287690", "Q3287690")</f>
        <v>0</v>
      </c>
    </row>
    <row r="179" spans="1:8">
      <c r="A179" t="s">
        <v>185</v>
      </c>
      <c r="B179" t="s">
        <v>5182</v>
      </c>
      <c r="C179" t="s">
        <v>9373</v>
      </c>
      <c r="D179" t="s">
        <v>11561</v>
      </c>
      <c r="E179" s="2">
        <v>4292</v>
      </c>
      <c r="F179">
        <f>HYPERLINK("https://www2.assemblee-nationale.fr/sycomore/fiche/(num_dept)/346", "346.0")</f>
        <v>0</v>
      </c>
      <c r="H179">
        <f>HYPERLINK("https://www.wikidata.org/wiki/Q15973439", "Q15973439")</f>
        <v>0</v>
      </c>
    </row>
    <row r="180" spans="1:8">
      <c r="A180" t="s">
        <v>186</v>
      </c>
      <c r="B180" t="s">
        <v>5183</v>
      </c>
      <c r="C180" t="s">
        <v>9440</v>
      </c>
      <c r="D180" t="s">
        <v>11562</v>
      </c>
      <c r="E180" s="2">
        <v>11677</v>
      </c>
      <c r="F180">
        <f>HYPERLINK("https://www2.assemblee-nationale.fr/sycomore/fiche/(num_dept)/348", "348.0")</f>
        <v>0</v>
      </c>
      <c r="H180">
        <f>HYPERLINK("https://www.wikidata.org/wiki/Q15973419", "Q15973419")</f>
        <v>0</v>
      </c>
    </row>
    <row r="181" spans="1:8">
      <c r="A181" t="s">
        <v>187</v>
      </c>
      <c r="B181" t="s">
        <v>5184</v>
      </c>
      <c r="C181" t="s">
        <v>9441</v>
      </c>
      <c r="D181" t="s">
        <v>11563</v>
      </c>
      <c r="E181" s="2">
        <v>13299</v>
      </c>
      <c r="F181">
        <f>HYPERLINK("https://www2.assemblee-nationale.fr/sycomore/fiche/(num_dept)/351", "351.0")</f>
        <v>0</v>
      </c>
      <c r="H181">
        <f>HYPERLINK("https://www.wikidata.org/wiki/Q2847193", "Q2847193")</f>
        <v>0</v>
      </c>
    </row>
    <row r="182" spans="1:8">
      <c r="A182" t="s">
        <v>188</v>
      </c>
      <c r="B182" t="s">
        <v>5185</v>
      </c>
      <c r="C182" t="s">
        <v>9442</v>
      </c>
      <c r="D182" t="s">
        <v>11564</v>
      </c>
      <c r="E182" s="2">
        <v>24969</v>
      </c>
      <c r="F182">
        <f>HYPERLINK("https://www2.assemblee-nationale.fr/sycomore/fiche/(num_dept)/354", "354.0")</f>
        <v>0</v>
      </c>
      <c r="H182">
        <f>HYPERLINK("https://www.wikidata.org/wiki/Q3119652", "Q3119652")</f>
        <v>0</v>
      </c>
    </row>
    <row r="183" spans="1:8">
      <c r="A183" t="s">
        <v>189</v>
      </c>
      <c r="B183" t="s">
        <v>5186</v>
      </c>
      <c r="C183" t="s">
        <v>9443</v>
      </c>
      <c r="D183" t="s">
        <v>11565</v>
      </c>
      <c r="E183" t="s">
        <v>15837</v>
      </c>
      <c r="F183">
        <f>HYPERLINK("https://www2.assemblee-nationale.fr/sycomore/fiche/(num_dept)/7894", "7894.0")</f>
        <v>0</v>
      </c>
      <c r="H183">
        <f>HYPERLINK("https://www.wikidata.org/wiki/Q13080813", "Q13080813")</f>
        <v>0</v>
      </c>
    </row>
    <row r="184" spans="1:8">
      <c r="A184" t="s">
        <v>190</v>
      </c>
      <c r="B184" t="s">
        <v>5187</v>
      </c>
      <c r="C184" t="s">
        <v>9355</v>
      </c>
      <c r="D184" t="s">
        <v>11566</v>
      </c>
      <c r="E184" s="2">
        <v>4418</v>
      </c>
      <c r="F184">
        <f>HYPERLINK("https://www2.assemblee-nationale.fr/sycomore/fiche/(num_dept)/358", "358.0")</f>
        <v>0</v>
      </c>
      <c r="H184">
        <f>HYPERLINK("https://www.wikidata.org/wiki/Q2958464", "Q2958464")</f>
        <v>0</v>
      </c>
    </row>
    <row r="185" spans="1:8">
      <c r="A185" t="s">
        <v>191</v>
      </c>
      <c r="B185" t="s">
        <v>5188</v>
      </c>
      <c r="C185" t="s">
        <v>9444</v>
      </c>
      <c r="D185" t="s">
        <v>11567</v>
      </c>
      <c r="E185" s="2">
        <v>6738</v>
      </c>
      <c r="F185">
        <f>HYPERLINK("https://www2.assemblee-nationale.fr/sycomore/fiche/(num_dept)/359", "359.0")</f>
        <v>0</v>
      </c>
      <c r="H185">
        <f>HYPERLINK("https://www.wikidata.org/wiki/Q8343129", "Q8343129")</f>
        <v>0</v>
      </c>
    </row>
    <row r="186" spans="1:8">
      <c r="A186" t="s">
        <v>192</v>
      </c>
      <c r="B186" t="s">
        <v>5189</v>
      </c>
      <c r="C186" t="s">
        <v>9445</v>
      </c>
      <c r="D186" t="s">
        <v>11568</v>
      </c>
      <c r="E186" s="2">
        <v>8184</v>
      </c>
      <c r="F186">
        <f>HYPERLINK("https://www2.assemblee-nationale.fr/sycomore/fiche/(num_dept)/367", "367.0")</f>
        <v>0</v>
      </c>
      <c r="H186">
        <f>HYPERLINK("https://www.wikidata.org/wiki/Q17354003", "Q17354003")</f>
        <v>0</v>
      </c>
    </row>
    <row r="187" spans="1:8">
      <c r="A187" t="s">
        <v>193</v>
      </c>
      <c r="B187" t="s">
        <v>5189</v>
      </c>
      <c r="C187" t="s">
        <v>9446</v>
      </c>
      <c r="D187" t="s">
        <v>11569</v>
      </c>
      <c r="E187" s="2">
        <v>9591</v>
      </c>
      <c r="F187">
        <f>HYPERLINK("https://www2.assemblee-nationale.fr/sycomore/fiche/(num_dept)/366", "366.0")</f>
        <v>0</v>
      </c>
      <c r="H187">
        <f>HYPERLINK("https://www.wikidata.org/wiki/Q15973491", "Q15973491")</f>
        <v>0</v>
      </c>
    </row>
    <row r="188" spans="1:8">
      <c r="A188" t="s">
        <v>194</v>
      </c>
      <c r="B188" t="s">
        <v>5190</v>
      </c>
      <c r="C188" t="s">
        <v>9447</v>
      </c>
      <c r="D188" t="s">
        <v>11570</v>
      </c>
      <c r="E188" s="2">
        <v>18882</v>
      </c>
      <c r="F188">
        <f>HYPERLINK("https://www2.assemblee-nationale.fr/sycomore/fiche/(num_dept)/368", "368.0")</f>
        <v>0</v>
      </c>
      <c r="H188">
        <f>HYPERLINK("https://www.wikidata.org/wiki/Q3130610", "Q3130610")</f>
        <v>0</v>
      </c>
    </row>
    <row r="189" spans="1:8">
      <c r="A189" t="s">
        <v>195</v>
      </c>
      <c r="B189" t="s">
        <v>5191</v>
      </c>
      <c r="C189" t="s">
        <v>9320</v>
      </c>
      <c r="D189" t="s">
        <v>11571</v>
      </c>
      <c r="E189" s="2">
        <v>20507</v>
      </c>
      <c r="F189">
        <f>HYPERLINK("https://www2.assemblee-nationale.fr/sycomore/fiche/(num_dept)/369", "369.0")</f>
        <v>0</v>
      </c>
      <c r="H189">
        <f>HYPERLINK("https://www.wikidata.org/wiki/Q15973498", "Q15973498")</f>
        <v>0</v>
      </c>
    </row>
    <row r="190" spans="1:8">
      <c r="A190" t="s">
        <v>196</v>
      </c>
      <c r="B190" t="s">
        <v>5192</v>
      </c>
      <c r="C190" t="s">
        <v>8384</v>
      </c>
      <c r="D190" t="s">
        <v>11572</v>
      </c>
      <c r="E190" t="s">
        <v>15838</v>
      </c>
      <c r="G190">
        <f>HYPERLINK("https://www.senat.fr/senateur-3eme-republique/baragnon_pierre1429r3.html", "baragnon_pierre1429r3")</f>
        <v>0</v>
      </c>
      <c r="H190">
        <f>HYPERLINK("https://www.wikidata.org/wiki/Q3383853", "Q3383853")</f>
        <v>0</v>
      </c>
    </row>
    <row r="191" spans="1:8">
      <c r="A191" t="s">
        <v>197</v>
      </c>
      <c r="B191" t="s">
        <v>5193</v>
      </c>
      <c r="C191" t="s">
        <v>9448</v>
      </c>
      <c r="D191" t="s">
        <v>11573</v>
      </c>
      <c r="E191" s="2">
        <v>27825</v>
      </c>
      <c r="F191">
        <f>HYPERLINK("https://www2.assemblee-nationale.fr/sycomore/fiche/(num_dept)/375", "375.0")</f>
        <v>0</v>
      </c>
      <c r="H191">
        <f>HYPERLINK("https://www.wikidata.org/wiki/Q13091114", "Q13091114")</f>
        <v>0</v>
      </c>
    </row>
    <row r="192" spans="1:8">
      <c r="A192" t="s">
        <v>198</v>
      </c>
      <c r="B192" t="s">
        <v>5194</v>
      </c>
      <c r="C192" t="s">
        <v>9449</v>
      </c>
      <c r="D192" t="s">
        <v>11574</v>
      </c>
      <c r="E192" t="s">
        <v>15839</v>
      </c>
      <c r="F192">
        <f>HYPERLINK("https://www2.assemblee-nationale.fr/sycomore/fiche/(num_dept)/376", "376.0")</f>
        <v>0</v>
      </c>
      <c r="H192">
        <f>HYPERLINK("https://www.wikidata.org/wiki/Q15973464", "Q15973464")</f>
        <v>0</v>
      </c>
    </row>
    <row r="193" spans="1:8">
      <c r="A193" t="s">
        <v>199</v>
      </c>
      <c r="B193" t="s">
        <v>5195</v>
      </c>
      <c r="C193" t="s">
        <v>9450</v>
      </c>
      <c r="D193" t="s">
        <v>11575</v>
      </c>
      <c r="E193" s="2">
        <v>5350</v>
      </c>
      <c r="F193">
        <f>HYPERLINK("https://www2.assemblee-nationale.fr/sycomore/fiche/(num_dept)/379", "379.0")</f>
        <v>0</v>
      </c>
      <c r="H193">
        <f>HYPERLINK("https://www.wikidata.org/wiki/Q8321160", "Q8321160")</f>
        <v>0</v>
      </c>
    </row>
    <row r="194" spans="1:8">
      <c r="A194" t="s">
        <v>200</v>
      </c>
      <c r="B194" t="s">
        <v>5196</v>
      </c>
      <c r="C194" t="s">
        <v>9337</v>
      </c>
      <c r="D194" t="s">
        <v>11576</v>
      </c>
      <c r="E194" s="2">
        <v>4658</v>
      </c>
      <c r="G194">
        <f>HYPERLINK("https://www.senat.fr/senateur-3eme-republique/barbaza_auguste0272r3.html", "barbaza_auguste0272r3")</f>
        <v>0</v>
      </c>
      <c r="H194">
        <f>HYPERLINK("https://www.wikidata.org/wiki/Q2871044", "Q2871044")</f>
        <v>0</v>
      </c>
    </row>
    <row r="195" spans="1:8">
      <c r="A195" t="s">
        <v>201</v>
      </c>
      <c r="B195" t="s">
        <v>5197</v>
      </c>
      <c r="C195" t="s">
        <v>9430</v>
      </c>
      <c r="D195" t="s">
        <v>11577</v>
      </c>
      <c r="E195" t="s">
        <v>15840</v>
      </c>
      <c r="H195">
        <f>HYPERLINK("https://www.wikidata.org/wiki/Q18384840", "Q18384840")</f>
        <v>0</v>
      </c>
    </row>
    <row r="196" spans="1:8">
      <c r="A196" t="s">
        <v>202</v>
      </c>
      <c r="B196" t="s">
        <v>5198</v>
      </c>
      <c r="C196" t="s">
        <v>9451</v>
      </c>
      <c r="D196" t="s">
        <v>11578</v>
      </c>
      <c r="E196" s="2">
        <v>19205</v>
      </c>
      <c r="F196">
        <f>HYPERLINK("https://www2.assemblee-nationale.fr/sycomore/fiche/(num_dept)/383", "383.0")</f>
        <v>0</v>
      </c>
      <c r="H196">
        <f>HYPERLINK("https://www.wikidata.org/wiki/Q8307197", "Q8307197")</f>
        <v>0</v>
      </c>
    </row>
    <row r="197" spans="1:8">
      <c r="A197" t="s">
        <v>203</v>
      </c>
      <c r="B197" t="s">
        <v>5199</v>
      </c>
      <c r="C197" t="s">
        <v>9452</v>
      </c>
      <c r="D197" t="s">
        <v>11579</v>
      </c>
      <c r="E197" s="2">
        <v>398</v>
      </c>
      <c r="F197">
        <f>HYPERLINK("https://www2.assemblee-nationale.fr/sycomore/fiche/(num_dept)/8086", "8086.0")</f>
        <v>0</v>
      </c>
      <c r="G197">
        <f>HYPERLINK("https://www.senat.fr/senateur-3eme-republique/barbedette_pierre0411r3.html", "barbedette_pierre0411r3")</f>
        <v>0</v>
      </c>
      <c r="H197">
        <f>HYPERLINK("https://www.wikidata.org/wiki/Q3383857", "Q3383857")</f>
        <v>0</v>
      </c>
    </row>
    <row r="198" spans="1:8">
      <c r="A198" t="s">
        <v>204</v>
      </c>
      <c r="B198" t="s">
        <v>5200</v>
      </c>
      <c r="C198" t="s">
        <v>9453</v>
      </c>
      <c r="D198" t="s">
        <v>11580</v>
      </c>
      <c r="E198" s="2">
        <v>13326</v>
      </c>
      <c r="F198">
        <f>HYPERLINK("https://www2.assemblee-nationale.fr/sycomore/fiche/(num_dept)/385", "385.0")</f>
        <v>0</v>
      </c>
      <c r="H198">
        <f>HYPERLINK("https://www.wikidata.org/wiki/Q15973487", "Q15973487")</f>
        <v>0</v>
      </c>
    </row>
    <row r="199" spans="1:8">
      <c r="A199" t="s">
        <v>205</v>
      </c>
      <c r="B199" t="s">
        <v>5201</v>
      </c>
      <c r="C199" t="s">
        <v>9454</v>
      </c>
      <c r="D199" t="s">
        <v>11581</v>
      </c>
      <c r="E199" s="2">
        <v>1912</v>
      </c>
      <c r="G199">
        <f>HYPERLINK("https://www.senat.fr/senateur-3eme-republique/barbey_edouard1693r3.html", "barbey_edouard1693r3")</f>
        <v>0</v>
      </c>
      <c r="H199">
        <f>HYPERLINK("https://www.wikidata.org/wiki/Q1857743", "Q1857743")</f>
        <v>0</v>
      </c>
    </row>
    <row r="200" spans="1:8">
      <c r="A200" t="s">
        <v>206</v>
      </c>
      <c r="B200" t="s">
        <v>5202</v>
      </c>
      <c r="C200" t="s">
        <v>7782</v>
      </c>
      <c r="D200" t="s">
        <v>11582</v>
      </c>
      <c r="E200" s="2">
        <v>7117</v>
      </c>
      <c r="G200">
        <f>HYPERLINK("https://www.senat.fr/senateur-3eme-republique/barbier_leon1349r3.html", "barbier_leon1349r3")</f>
        <v>0</v>
      </c>
      <c r="H200">
        <f>HYPERLINK("https://www.wikidata.org/wiki/Q3270703", "Q3270703")</f>
        <v>0</v>
      </c>
    </row>
    <row r="201" spans="1:8">
      <c r="A201" t="s">
        <v>207</v>
      </c>
      <c r="B201" t="s">
        <v>5203</v>
      </c>
      <c r="C201" t="s">
        <v>9455</v>
      </c>
      <c r="D201" t="s">
        <v>11583</v>
      </c>
      <c r="E201" s="2">
        <v>22743</v>
      </c>
      <c r="F201">
        <f>HYPERLINK("https://www2.assemblee-nationale.fr/sycomore/fiche/(num_dept)/388", "388.0")</f>
        <v>0</v>
      </c>
      <c r="G201">
        <f>HYPERLINK("https://www.senat.fr/senateur-3eme-republique/barbier_andre1813r3.html", "barbier_andre1813r3")</f>
        <v>0</v>
      </c>
      <c r="H201">
        <f>HYPERLINK("https://www.wikidata.org/wiki/Q2847198", "Q2847198")</f>
        <v>0</v>
      </c>
    </row>
    <row r="202" spans="1:8">
      <c r="A202" t="s">
        <v>208</v>
      </c>
      <c r="B202" t="s">
        <v>5204</v>
      </c>
      <c r="C202" t="s">
        <v>9456</v>
      </c>
      <c r="D202" t="s">
        <v>11584</v>
      </c>
      <c r="E202" s="2">
        <v>9830</v>
      </c>
      <c r="F202">
        <f>HYPERLINK("https://www2.assemblee-nationale.fr/sycomore/fiche/(num_dept)/391", "391.0")</f>
        <v>0</v>
      </c>
      <c r="H202">
        <f>HYPERLINK("https://www.wikidata.org/wiki/Q8314018", "Q8314018")</f>
        <v>0</v>
      </c>
    </row>
    <row r="203" spans="1:8">
      <c r="A203" t="s">
        <v>209</v>
      </c>
      <c r="B203" t="s">
        <v>5205</v>
      </c>
      <c r="C203" t="s">
        <v>9457</v>
      </c>
      <c r="D203" t="s">
        <v>11585</v>
      </c>
      <c r="E203" s="2">
        <v>14502</v>
      </c>
      <c r="F203">
        <f>HYPERLINK("https://www2.assemblee-nationale.fr/sycomore/fiche/(num_dept)/392", "392.0")</f>
        <v>0</v>
      </c>
      <c r="H203">
        <f>HYPERLINK("https://www.wikidata.org/wiki/Q15973463", "Q15973463")</f>
        <v>0</v>
      </c>
    </row>
    <row r="204" spans="1:8">
      <c r="A204" t="s">
        <v>210</v>
      </c>
      <c r="B204" t="s">
        <v>5206</v>
      </c>
      <c r="C204" t="s">
        <v>9458</v>
      </c>
      <c r="D204" t="s">
        <v>11586</v>
      </c>
      <c r="E204" s="2">
        <v>5500</v>
      </c>
      <c r="F204">
        <f>HYPERLINK("https://www2.assemblee-nationale.fr/sycomore/fiche/(num_dept)/394", "394.0")</f>
        <v>0</v>
      </c>
      <c r="H204">
        <f>HYPERLINK("https://www.wikidata.org/wiki/Q3083894", "Q3083894")</f>
        <v>0</v>
      </c>
    </row>
    <row r="205" spans="1:8">
      <c r="A205" t="s">
        <v>211</v>
      </c>
      <c r="B205" t="s">
        <v>5207</v>
      </c>
      <c r="C205" t="s">
        <v>9459</v>
      </c>
      <c r="D205" t="s">
        <v>11577</v>
      </c>
      <c r="E205" t="s">
        <v>15840</v>
      </c>
      <c r="F205">
        <f>HYPERLINK("https://www2.assemblee-nationale.fr/sycomore/fiche/(num_dept)/381", "381.0")</f>
        <v>0</v>
      </c>
      <c r="H205">
        <f>HYPERLINK("https://www.wikidata.org/wiki/Q18384840", "Q18384840")</f>
        <v>0</v>
      </c>
    </row>
    <row r="206" spans="1:8">
      <c r="A206" t="s">
        <v>212</v>
      </c>
      <c r="B206" t="s">
        <v>5207</v>
      </c>
      <c r="C206" t="s">
        <v>9460</v>
      </c>
      <c r="D206" t="s">
        <v>11587</v>
      </c>
      <c r="E206" s="2">
        <v>12689</v>
      </c>
      <c r="F206">
        <f>HYPERLINK("https://www2.assemblee-nationale.fr/sycomore/fiche/(num_dept)/382", "382.0")</f>
        <v>0</v>
      </c>
      <c r="H206">
        <f>HYPERLINK("https://www.wikidata.org/wiki/Q13080942", "Q13080942")</f>
        <v>0</v>
      </c>
    </row>
    <row r="207" spans="1:8">
      <c r="A207" t="s">
        <v>213</v>
      </c>
      <c r="B207" t="s">
        <v>5208</v>
      </c>
      <c r="C207" t="s">
        <v>9461</v>
      </c>
      <c r="D207" s="2">
        <v>376</v>
      </c>
      <c r="E207" s="2">
        <v>23943</v>
      </c>
      <c r="F207">
        <f>HYPERLINK("https://www2.assemblee-nationale.fr/sycomore/fiche/(num_dept)/401", "401.0")</f>
        <v>0</v>
      </c>
      <c r="H207">
        <f>HYPERLINK("https://www.wikidata.org/wiki/Q2847200", "Q2847200")</f>
        <v>0</v>
      </c>
    </row>
    <row r="208" spans="1:8">
      <c r="A208" t="s">
        <v>214</v>
      </c>
      <c r="B208" t="s">
        <v>5209</v>
      </c>
      <c r="C208" t="s">
        <v>9462</v>
      </c>
      <c r="D208" t="s">
        <v>11588</v>
      </c>
      <c r="E208" s="2">
        <v>29530</v>
      </c>
      <c r="F208">
        <f>HYPERLINK("https://www2.assemblee-nationale.fr/sycomore/fiche/(num_dept)/402", "402.0")</f>
        <v>0</v>
      </c>
      <c r="H208">
        <f>HYPERLINK("https://www.wikidata.org/wiki/Q3052159", "Q3052159")</f>
        <v>0</v>
      </c>
    </row>
    <row r="209" spans="1:8">
      <c r="A209" t="s">
        <v>215</v>
      </c>
      <c r="B209" t="s">
        <v>5210</v>
      </c>
      <c r="C209" t="s">
        <v>9463</v>
      </c>
      <c r="D209" t="s">
        <v>11589</v>
      </c>
      <c r="E209" t="s">
        <v>15841</v>
      </c>
      <c r="G209">
        <f>HYPERLINK("https://www.senat.fr/senateur-3eme-republique/bardoux_agenor1430r3.html", "bardoux_agenor1430r3")</f>
        <v>0</v>
      </c>
      <c r="H209">
        <f>HYPERLINK("https://www.wikidata.org/wiki/Q2827377", "Q2827377")</f>
        <v>0</v>
      </c>
    </row>
    <row r="210" spans="1:8">
      <c r="A210" t="s">
        <v>216</v>
      </c>
      <c r="B210" t="s">
        <v>5210</v>
      </c>
      <c r="C210" t="s">
        <v>7314</v>
      </c>
      <c r="D210" t="s">
        <v>11590</v>
      </c>
      <c r="E210" s="2">
        <v>21777</v>
      </c>
      <c r="G210">
        <f>HYPERLINK("https://www.senat.fr/senateur-3eme-republique/bardoux_jacques1008r3.html", "bardoux_jacques1008r3")</f>
        <v>0</v>
      </c>
      <c r="H210">
        <f>HYPERLINK("https://www.wikidata.org/wiki/Q3158191", "Q3158191")</f>
        <v>0</v>
      </c>
    </row>
    <row r="211" spans="1:8">
      <c r="A211" t="s">
        <v>217</v>
      </c>
      <c r="B211" t="s">
        <v>5211</v>
      </c>
      <c r="C211" t="s">
        <v>9464</v>
      </c>
      <c r="D211" t="s">
        <v>11591</v>
      </c>
      <c r="E211" t="s">
        <v>15842</v>
      </c>
      <c r="F211">
        <f>HYPERLINK("https://www2.assemblee-nationale.fr/sycomore/fiche/(num_dept)/410", "410.0")</f>
        <v>0</v>
      </c>
      <c r="H211">
        <f>HYPERLINK("https://www.wikidata.org/wiki/Q8308239", "Q8308239")</f>
        <v>0</v>
      </c>
    </row>
    <row r="212" spans="1:8">
      <c r="A212" t="s">
        <v>218</v>
      </c>
      <c r="B212" t="s">
        <v>5212</v>
      </c>
      <c r="C212" t="s">
        <v>9465</v>
      </c>
      <c r="D212" t="s">
        <v>11592</v>
      </c>
      <c r="E212" s="2">
        <v>14994</v>
      </c>
      <c r="F212">
        <f>HYPERLINK("https://www2.assemblee-nationale.fr/sycomore/fiche/(num_dept)/413", "413.0")</f>
        <v>0</v>
      </c>
      <c r="H212">
        <f>HYPERLINK("https://www.wikidata.org/wiki/Q15973475", "Q15973475")</f>
        <v>0</v>
      </c>
    </row>
    <row r="213" spans="1:8">
      <c r="A213" t="s">
        <v>219</v>
      </c>
      <c r="B213" t="s">
        <v>5212</v>
      </c>
      <c r="C213" t="s">
        <v>9466</v>
      </c>
      <c r="D213" t="s">
        <v>11593</v>
      </c>
      <c r="E213" s="2">
        <v>19327</v>
      </c>
      <c r="F213">
        <f>HYPERLINK("https://www2.assemblee-nationale.fr/sycomore/fiche/(num_dept)/414", "414.0")</f>
        <v>0</v>
      </c>
      <c r="H213">
        <f>HYPERLINK("https://www.wikidata.org/wiki/Q8343781", "Q8343781")</f>
        <v>0</v>
      </c>
    </row>
    <row r="214" spans="1:8">
      <c r="A214" t="s">
        <v>220</v>
      </c>
      <c r="B214" t="s">
        <v>5213</v>
      </c>
      <c r="C214" t="s">
        <v>7233</v>
      </c>
      <c r="D214" t="s">
        <v>11594</v>
      </c>
      <c r="E214" t="s">
        <v>15843</v>
      </c>
      <c r="G214">
        <f>HYPERLINK("https://www.senat.fr/senateur-3eme-republique/barne_henry0321r3.html", "barne_henry0321r3")</f>
        <v>0</v>
      </c>
      <c r="H214">
        <f>HYPERLINK("https://www.wikidata.org/wiki/Q1606494", "Q1606494")</f>
        <v>0</v>
      </c>
    </row>
    <row r="215" spans="1:8">
      <c r="A215" t="s">
        <v>221</v>
      </c>
      <c r="B215" t="s">
        <v>5214</v>
      </c>
      <c r="C215" t="s">
        <v>9467</v>
      </c>
      <c r="D215" t="s">
        <v>11595</v>
      </c>
      <c r="E215" s="2">
        <v>2300</v>
      </c>
      <c r="F215">
        <f>HYPERLINK("https://www2.assemblee-nationale.fr/sycomore/fiche/(num_dept)/420", "420.0")</f>
        <v>0</v>
      </c>
      <c r="G215">
        <f>HYPERLINK("https://www.senat.fr/senateur-3eme-republique/barodet_desire1412r3.html", "barodet_desire1412r3")</f>
        <v>0</v>
      </c>
      <c r="H215">
        <f>HYPERLINK("https://www.wikidata.org/wiki/Q1096310", "Q1096310")</f>
        <v>0</v>
      </c>
    </row>
    <row r="216" spans="1:8">
      <c r="A216" t="s">
        <v>222</v>
      </c>
      <c r="B216" t="s">
        <v>5215</v>
      </c>
      <c r="C216" t="s">
        <v>9468</v>
      </c>
      <c r="D216" t="s">
        <v>11596</v>
      </c>
      <c r="E216" s="2">
        <v>10523</v>
      </c>
      <c r="F216">
        <f>HYPERLINK("https://www2.assemblee-nationale.fr/sycomore/fiche/(num_dept)/424", "424.0")</f>
        <v>0</v>
      </c>
      <c r="H216">
        <f>HYPERLINK("https://www.wikidata.org/wiki/Q15465747", "Q15465747")</f>
        <v>0</v>
      </c>
    </row>
    <row r="217" spans="1:8">
      <c r="A217" t="s">
        <v>223</v>
      </c>
      <c r="B217" t="s">
        <v>5215</v>
      </c>
      <c r="C217" t="s">
        <v>9469</v>
      </c>
      <c r="D217" t="s">
        <v>11597</v>
      </c>
      <c r="E217" s="2">
        <v>22041</v>
      </c>
      <c r="F217">
        <f>HYPERLINK("https://www2.assemblee-nationale.fr/sycomore/fiche/(num_dept)/422", "422.0")</f>
        <v>0</v>
      </c>
      <c r="H217">
        <f>HYPERLINK("https://www.wikidata.org/wiki/Q2958475", "Q2958475")</f>
        <v>0</v>
      </c>
    </row>
    <row r="218" spans="1:8">
      <c r="A218" t="s">
        <v>224</v>
      </c>
      <c r="B218" t="s">
        <v>5215</v>
      </c>
      <c r="C218" t="s">
        <v>9470</v>
      </c>
      <c r="D218" t="s">
        <v>11598</v>
      </c>
      <c r="E218" s="2">
        <v>17895</v>
      </c>
      <c r="F218">
        <f>HYPERLINK("https://www2.assemblee-nationale.fr/sycomore/fiche/(num_dept)/423", "423.0")</f>
        <v>0</v>
      </c>
      <c r="H218">
        <f>HYPERLINK("https://www.wikidata.org/wiki/Q3592055", "Q3592055")</f>
        <v>0</v>
      </c>
    </row>
    <row r="219" spans="1:8">
      <c r="A219" t="s">
        <v>225</v>
      </c>
      <c r="B219" t="s">
        <v>5215</v>
      </c>
      <c r="C219" t="s">
        <v>9471</v>
      </c>
      <c r="D219" t="s">
        <v>11599</v>
      </c>
      <c r="E219" s="2">
        <v>7131</v>
      </c>
      <c r="F219">
        <f>HYPERLINK("https://www2.assemblee-nationale.fr/sycomore/fiche/(num_dept)/425", "425.0")</f>
        <v>0</v>
      </c>
      <c r="H219">
        <f>HYPERLINK("https://www.wikidata.org/wiki/Q8307049", "Q8307049")</f>
        <v>0</v>
      </c>
    </row>
    <row r="220" spans="1:8">
      <c r="A220" t="s">
        <v>226</v>
      </c>
      <c r="B220" t="s">
        <v>5216</v>
      </c>
      <c r="C220" t="s">
        <v>9472</v>
      </c>
      <c r="D220" t="s">
        <v>11600</v>
      </c>
      <c r="E220" t="s">
        <v>15844</v>
      </c>
      <c r="F220">
        <f>HYPERLINK("https://www2.assemblee-nationale.fr/sycomore/fiche/(num_dept)/7895", "7895.0")</f>
        <v>0</v>
      </c>
      <c r="H220">
        <f>HYPERLINK("https://www.wikidata.org/wiki/Q2834954", "Q2834954")</f>
        <v>0</v>
      </c>
    </row>
    <row r="221" spans="1:8">
      <c r="A221" t="s">
        <v>227</v>
      </c>
      <c r="B221" t="s">
        <v>5217</v>
      </c>
      <c r="C221" t="s">
        <v>9473</v>
      </c>
      <c r="D221" t="s">
        <v>11601</v>
      </c>
      <c r="E221" s="2">
        <v>19925</v>
      </c>
      <c r="F221">
        <f>HYPERLINK("https://www2.assemblee-nationale.fr/sycomore/fiche/(num_dept)/426", "426.0")</f>
        <v>0</v>
      </c>
      <c r="H221">
        <f>HYPERLINK("https://www.wikidata.org/wiki/Q15973474", "Q15973474")</f>
        <v>0</v>
      </c>
    </row>
    <row r="222" spans="1:8">
      <c r="A222" t="s">
        <v>228</v>
      </c>
      <c r="B222" t="s">
        <v>5218</v>
      </c>
      <c r="C222" t="s">
        <v>9474</v>
      </c>
      <c r="D222" t="s">
        <v>11602</v>
      </c>
      <c r="E222" s="2">
        <v>11751</v>
      </c>
      <c r="F222">
        <f>HYPERLINK("https://www2.assemblee-nationale.fr/sycomore/fiche/(num_dept)/427", "427.0")</f>
        <v>0</v>
      </c>
      <c r="H222">
        <f>HYPERLINK("https://www.wikidata.org/wiki/Q15973477", "Q15973477")</f>
        <v>0</v>
      </c>
    </row>
    <row r="223" spans="1:8">
      <c r="A223" t="s">
        <v>229</v>
      </c>
      <c r="B223" t="s">
        <v>5219</v>
      </c>
      <c r="C223" t="s">
        <v>9475</v>
      </c>
      <c r="D223" s="2">
        <v>13</v>
      </c>
      <c r="E223" s="2">
        <v>27706</v>
      </c>
      <c r="F223">
        <f>HYPERLINK("https://www2.assemblee-nationale.fr/sycomore/fiche/(num_dept)/428", "428.0")</f>
        <v>0</v>
      </c>
      <c r="H223">
        <f>HYPERLINK("https://www.wikidata.org/wiki/Q3047735", "Q3047735")</f>
        <v>0</v>
      </c>
    </row>
    <row r="224" spans="1:8">
      <c r="A224" t="s">
        <v>230</v>
      </c>
      <c r="B224" t="s">
        <v>5220</v>
      </c>
      <c r="C224" t="s">
        <v>9355</v>
      </c>
      <c r="D224" t="s">
        <v>11603</v>
      </c>
      <c r="E224" s="2">
        <v>3884</v>
      </c>
      <c r="G224">
        <f>HYPERLINK("https://www.senat.fr/senateur-3eme-republique/barriere_charles1004r3.html", "barriere_charles1004r3")</f>
        <v>0</v>
      </c>
      <c r="H224">
        <f>HYPERLINK("https://www.wikidata.org/wiki/Q2958482", "Q2958482")</f>
        <v>0</v>
      </c>
    </row>
    <row r="225" spans="1:8">
      <c r="A225" t="s">
        <v>231</v>
      </c>
      <c r="B225" t="s">
        <v>5221</v>
      </c>
      <c r="C225" t="s">
        <v>9476</v>
      </c>
      <c r="D225" t="s">
        <v>11604</v>
      </c>
      <c r="E225" s="2">
        <v>3884</v>
      </c>
      <c r="F225">
        <f>HYPERLINK("https://www2.assemblee-nationale.fr/sycomore/fiche/(num_dept)/9610", "9610.0")</f>
        <v>0</v>
      </c>
      <c r="H225">
        <f>HYPERLINK("https://www.wikidata.org/wiki/Q2958482", "Q2958482")</f>
        <v>0</v>
      </c>
    </row>
    <row r="226" spans="1:8">
      <c r="A226" t="s">
        <v>232</v>
      </c>
      <c r="B226" t="s">
        <v>5222</v>
      </c>
      <c r="C226" t="s">
        <v>9477</v>
      </c>
      <c r="D226" t="s">
        <v>11605</v>
      </c>
      <c r="E226" s="2">
        <v>7466</v>
      </c>
      <c r="F226">
        <f>HYPERLINK("https://www2.assemblee-nationale.fr/sycomore/fiche/(num_dept)/438", "438.0")</f>
        <v>0</v>
      </c>
      <c r="H226">
        <f>HYPERLINK("https://www.wikidata.org/wiki/Q15973548", "Q15973548")</f>
        <v>0</v>
      </c>
    </row>
    <row r="227" spans="1:8">
      <c r="A227" t="s">
        <v>233</v>
      </c>
      <c r="B227" t="s">
        <v>5223</v>
      </c>
      <c r="C227" t="s">
        <v>9414</v>
      </c>
      <c r="D227" t="s">
        <v>11606</v>
      </c>
      <c r="E227" t="s">
        <v>15845</v>
      </c>
      <c r="G227">
        <f>HYPERLINK("https://www.senat.fr/senateur-3eme-republique/barrot_ferdinand1431r3.html", "barrot_ferdinand1431r3")</f>
        <v>0</v>
      </c>
      <c r="H227">
        <f>HYPERLINK("https://www.wikidata.org/wiki/Q1405105", "Q1405105")</f>
        <v>0</v>
      </c>
    </row>
    <row r="228" spans="1:8">
      <c r="A228" t="s">
        <v>234</v>
      </c>
      <c r="B228" t="s">
        <v>5224</v>
      </c>
      <c r="C228" t="s">
        <v>9478</v>
      </c>
      <c r="D228" t="s">
        <v>11607</v>
      </c>
      <c r="E228" s="2">
        <v>8739</v>
      </c>
      <c r="F228">
        <f>HYPERLINK("https://www2.assemblee-nationale.fr/sycomore/fiche/(num_dept)/434", "434.0")</f>
        <v>0</v>
      </c>
      <c r="H228">
        <f>HYPERLINK("https://www.wikidata.org/wiki/Q314957", "Q314957")</f>
        <v>0</v>
      </c>
    </row>
    <row r="229" spans="1:8">
      <c r="A229" t="s">
        <v>235</v>
      </c>
      <c r="B229" t="s">
        <v>5225</v>
      </c>
      <c r="C229" t="s">
        <v>9479</v>
      </c>
      <c r="D229" t="s">
        <v>11608</v>
      </c>
      <c r="E229" t="s">
        <v>15846</v>
      </c>
      <c r="F229">
        <f>HYPERLINK("https://www2.assemblee-nationale.fr/sycomore/fiche/(num_dept)/7896", "7896.0")</f>
        <v>0</v>
      </c>
      <c r="H229">
        <f>HYPERLINK("https://www.wikidata.org/wiki/Q15973486", "Q15973486")</f>
        <v>0</v>
      </c>
    </row>
    <row r="230" spans="1:8">
      <c r="A230" t="s">
        <v>236</v>
      </c>
      <c r="B230" t="s">
        <v>5226</v>
      </c>
      <c r="C230" t="s">
        <v>9480</v>
      </c>
      <c r="D230" t="s">
        <v>11609</v>
      </c>
      <c r="E230" s="2">
        <v>48</v>
      </c>
      <c r="F230">
        <f>HYPERLINK("https://www2.assemblee-nationale.fr/sycomore/fiche/(num_dept)/444", "444.0")</f>
        <v>0</v>
      </c>
      <c r="G230">
        <f>HYPERLINK("https://www.senat.fr/senateur-3eme-republique/barthe_marcel1046r3.html", "barthe_marcel1046r3")</f>
        <v>0</v>
      </c>
      <c r="H230">
        <f>HYPERLINK("https://www.wikidata.org/wiki/Q3288644", "Q3288644")</f>
        <v>0</v>
      </c>
    </row>
    <row r="231" spans="1:8">
      <c r="A231" t="s">
        <v>237</v>
      </c>
      <c r="B231" t="s">
        <v>5226</v>
      </c>
      <c r="C231" t="s">
        <v>9346</v>
      </c>
      <c r="D231" t="s">
        <v>11610</v>
      </c>
      <c r="E231" s="2">
        <v>18104</v>
      </c>
      <c r="F231">
        <f>HYPERLINK("https://www2.assemblee-nationale.fr/sycomore/fiche/(num_dept)/442", "442.0")</f>
        <v>0</v>
      </c>
      <c r="H231">
        <f>HYPERLINK("https://www.wikidata.org/wiki/Q3579735", "Q3579735")</f>
        <v>0</v>
      </c>
    </row>
    <row r="232" spans="1:8">
      <c r="A232" t="s">
        <v>238</v>
      </c>
      <c r="B232" t="s">
        <v>5227</v>
      </c>
      <c r="C232" t="s">
        <v>9471</v>
      </c>
      <c r="D232" t="s">
        <v>11611</v>
      </c>
      <c r="E232" t="s">
        <v>15847</v>
      </c>
      <c r="G232">
        <f>HYPERLINK("https://www.senat.fr/senateur-3eme-republique/barthelemy_saint_hilaire_jules1432r3.html", "barthelemy_saint_hilaire_jules1432r3")</f>
        <v>0</v>
      </c>
      <c r="H232">
        <f>HYPERLINK("https://www.wikidata.org/wiki/Q1332164", "Q1332164")</f>
        <v>0</v>
      </c>
    </row>
    <row r="233" spans="1:8">
      <c r="A233" t="s">
        <v>239</v>
      </c>
      <c r="B233" t="s">
        <v>5228</v>
      </c>
      <c r="C233" t="s">
        <v>9320</v>
      </c>
      <c r="D233" t="s">
        <v>11612</v>
      </c>
      <c r="E233" s="2">
        <v>10266</v>
      </c>
      <c r="F233">
        <f>HYPERLINK("https://www2.assemblee-nationale.fr/sycomore/fiche/(num_dept)/450", "450.0")</f>
        <v>0</v>
      </c>
      <c r="H233">
        <f>HYPERLINK("https://www.wikidata.org/wiki/Q3425801", "Q3425801")</f>
        <v>0</v>
      </c>
    </row>
    <row r="234" spans="1:8">
      <c r="A234" t="s">
        <v>240</v>
      </c>
      <c r="B234" t="s">
        <v>5229</v>
      </c>
      <c r="C234" t="s">
        <v>7754</v>
      </c>
      <c r="D234" t="s">
        <v>11613</v>
      </c>
      <c r="E234" s="2">
        <v>12701</v>
      </c>
      <c r="F234">
        <f>HYPERLINK("https://www2.assemblee-nationale.fr/sycomore/fiche/(num_dept)/451", "451.0")</f>
        <v>0</v>
      </c>
      <c r="G234">
        <f>HYPERLINK("https://www.senat.fr/senateur-3eme-republique/barthou_louis1071r3.html", "barthou_louis1071r3")</f>
        <v>0</v>
      </c>
      <c r="H234">
        <f>HYPERLINK("https://www.wikidata.org/wiki/Q271887", "Q271887")</f>
        <v>0</v>
      </c>
    </row>
    <row r="235" spans="1:8">
      <c r="A235" t="s">
        <v>241</v>
      </c>
      <c r="B235" t="s">
        <v>5229</v>
      </c>
      <c r="C235" t="s">
        <v>7754</v>
      </c>
      <c r="D235" t="s">
        <v>11614</v>
      </c>
      <c r="E235" s="2">
        <v>12701</v>
      </c>
      <c r="H235">
        <f>HYPERLINK("https://www.wikidata.org/wiki/Q271887", "Q271887")</f>
        <v>0</v>
      </c>
    </row>
    <row r="236" spans="1:8">
      <c r="A236" t="s">
        <v>242</v>
      </c>
      <c r="B236" t="s">
        <v>5230</v>
      </c>
      <c r="C236" t="s">
        <v>9373</v>
      </c>
      <c r="D236" t="s">
        <v>11615</v>
      </c>
      <c r="E236" s="2">
        <v>16571</v>
      </c>
      <c r="F236">
        <f>HYPERLINK("https://www2.assemblee-nationale.fr/sycomore/fiche/(num_dept)/448", "448.0")</f>
        <v>0</v>
      </c>
      <c r="H236">
        <f>HYPERLINK("https://www.wikidata.org/wiki/Q3184567", "Q3184567")</f>
        <v>0</v>
      </c>
    </row>
    <row r="237" spans="1:8">
      <c r="A237" t="s">
        <v>243</v>
      </c>
      <c r="B237" t="s">
        <v>5230</v>
      </c>
      <c r="C237" t="s">
        <v>7001</v>
      </c>
      <c r="D237" t="s">
        <v>11616</v>
      </c>
      <c r="E237" s="2">
        <v>12177</v>
      </c>
      <c r="F237">
        <f>HYPERLINK("https://www2.assemblee-nationale.fr/sycomore/fiche/(num_dept)/447", "447.0")</f>
        <v>0</v>
      </c>
      <c r="H237">
        <f>HYPERLINK("https://www.wikidata.org/wiki/Q15973524", "Q15973524")</f>
        <v>0</v>
      </c>
    </row>
    <row r="238" spans="1:8">
      <c r="A238" t="s">
        <v>244</v>
      </c>
      <c r="B238" t="s">
        <v>5230</v>
      </c>
      <c r="C238" t="s">
        <v>9481</v>
      </c>
      <c r="D238" t="s">
        <v>11617</v>
      </c>
      <c r="E238" s="2">
        <v>16263</v>
      </c>
      <c r="F238">
        <f>HYPERLINK("https://www2.assemblee-nationale.fr/sycomore/fiche/(num_dept)/446", "446.0")</f>
        <v>0</v>
      </c>
      <c r="H238">
        <f>HYPERLINK("https://www.wikidata.org/wiki/Q3102240", "Q3102240")</f>
        <v>0</v>
      </c>
    </row>
    <row r="239" spans="1:8">
      <c r="A239" t="s">
        <v>245</v>
      </c>
      <c r="B239" t="s">
        <v>5231</v>
      </c>
      <c r="C239" t="s">
        <v>9482</v>
      </c>
      <c r="D239" t="s">
        <v>11618</v>
      </c>
      <c r="E239" s="2">
        <v>6073</v>
      </c>
      <c r="F239">
        <f>HYPERLINK("https://www2.assemblee-nationale.fr/sycomore/fiche/(num_dept)/452", "452.0")</f>
        <v>0</v>
      </c>
      <c r="H239">
        <f>HYPERLINK("https://www.wikidata.org/wiki/Q15973515", "Q15973515")</f>
        <v>0</v>
      </c>
    </row>
    <row r="240" spans="1:8">
      <c r="A240" t="s">
        <v>246</v>
      </c>
      <c r="B240" t="s">
        <v>5232</v>
      </c>
      <c r="C240" t="s">
        <v>9483</v>
      </c>
      <c r="D240" t="s">
        <v>11619</v>
      </c>
      <c r="E240" t="s">
        <v>15848</v>
      </c>
      <c r="F240">
        <f>HYPERLINK("https://www2.assemblee-nationale.fr/sycomore/fiche/(num_dept)/8100", "8100.0")</f>
        <v>0</v>
      </c>
      <c r="H240">
        <f>HYPERLINK("https://www.wikidata.org/wiki/Q15973523", "Q15973523")</f>
        <v>0</v>
      </c>
    </row>
    <row r="241" spans="1:8">
      <c r="A241" t="s">
        <v>247</v>
      </c>
      <c r="B241" t="s">
        <v>5232</v>
      </c>
      <c r="C241" t="s">
        <v>9484</v>
      </c>
      <c r="D241" t="s">
        <v>11620</v>
      </c>
      <c r="E241" t="s">
        <v>15849</v>
      </c>
      <c r="F241">
        <f>HYPERLINK("https://www2.assemblee-nationale.fr/sycomore/fiche/(num_dept)/8319", "8319.0")</f>
        <v>0</v>
      </c>
      <c r="H241">
        <f>HYPERLINK("https://www.wikidata.org/wiki/Q15973528", "Q15973528")</f>
        <v>0</v>
      </c>
    </row>
    <row r="242" spans="1:8">
      <c r="A242" t="s">
        <v>248</v>
      </c>
      <c r="B242" t="s">
        <v>5233</v>
      </c>
      <c r="C242" t="s">
        <v>9485</v>
      </c>
      <c r="D242" t="s">
        <v>11621</v>
      </c>
      <c r="E242" s="2">
        <v>28157</v>
      </c>
      <c r="F242">
        <f>HYPERLINK("https://www2.assemblee-nationale.fr/sycomore/fiche/(num_dept)/453", "453.0")</f>
        <v>0</v>
      </c>
      <c r="H242">
        <f>HYPERLINK("https://www.wikidata.org/wiki/Q3170620", "Q3170620")</f>
        <v>0</v>
      </c>
    </row>
    <row r="243" spans="1:8">
      <c r="A243" t="s">
        <v>249</v>
      </c>
      <c r="B243" t="s">
        <v>5234</v>
      </c>
      <c r="C243" t="s">
        <v>9486</v>
      </c>
      <c r="D243" t="s">
        <v>11622</v>
      </c>
      <c r="E243" s="2">
        <v>13897</v>
      </c>
      <c r="F243">
        <f>HYPERLINK("https://www2.assemblee-nationale.fr/sycomore/fiche/(num_dept)/407", "407.0")</f>
        <v>0</v>
      </c>
      <c r="H243">
        <f>HYPERLINK("https://www.wikidata.org/wiki/Q15973471", "Q15973471")</f>
        <v>0</v>
      </c>
    </row>
    <row r="244" spans="1:8">
      <c r="A244" t="s">
        <v>250</v>
      </c>
      <c r="B244" t="s">
        <v>5235</v>
      </c>
      <c r="C244" t="s">
        <v>9487</v>
      </c>
      <c r="D244" t="s">
        <v>11623</v>
      </c>
      <c r="E244" s="2">
        <v>25974</v>
      </c>
      <c r="F244">
        <f>HYPERLINK("https://www2.assemblee-nationale.fr/sycomore/fiche/(num_dept)/409", "409.0")</f>
        <v>0</v>
      </c>
      <c r="H244">
        <f>HYPERLINK("https://www.wikidata.org/wiki/Q3270710", "Q3270710")</f>
        <v>0</v>
      </c>
    </row>
    <row r="245" spans="1:8">
      <c r="A245" t="s">
        <v>251</v>
      </c>
      <c r="B245" t="s">
        <v>5236</v>
      </c>
      <c r="C245" t="s">
        <v>9488</v>
      </c>
      <c r="D245" t="s">
        <v>11624</v>
      </c>
      <c r="E245" s="2">
        <v>14886</v>
      </c>
      <c r="F245">
        <f>HYPERLINK("https://www2.assemblee-nationale.fr/sycomore/fiche/(num_dept)/461", "461.0")</f>
        <v>0</v>
      </c>
      <c r="H245">
        <f>HYPERLINK("https://www.wikidata.org/wiki/Q15973541", "Q15973541")</f>
        <v>0</v>
      </c>
    </row>
    <row r="246" spans="1:8">
      <c r="A246" t="s">
        <v>252</v>
      </c>
      <c r="B246" t="s">
        <v>5237</v>
      </c>
      <c r="C246" t="s">
        <v>9489</v>
      </c>
      <c r="D246" t="s">
        <v>11625</v>
      </c>
      <c r="E246" s="2">
        <v>10269</v>
      </c>
      <c r="F246">
        <f>HYPERLINK("https://www2.assemblee-nationale.fr/sycomore/fiche/(num_dept)/462", "462.0")</f>
        <v>0</v>
      </c>
      <c r="H246">
        <f>HYPERLINK("https://www.wikidata.org/wiki/Q3588329", "Q3588329")</f>
        <v>0</v>
      </c>
    </row>
    <row r="247" spans="1:8">
      <c r="A247" t="s">
        <v>253</v>
      </c>
      <c r="B247" t="s">
        <v>5238</v>
      </c>
      <c r="C247" t="s">
        <v>9490</v>
      </c>
      <c r="D247" t="s">
        <v>11626</v>
      </c>
      <c r="E247" s="2">
        <v>20823</v>
      </c>
      <c r="F247">
        <f>HYPERLINK("https://www2.assemblee-nationale.fr/sycomore/fiche/(num_dept)/463", "463.0")</f>
        <v>0</v>
      </c>
      <c r="H247">
        <f>HYPERLINK("https://www.wikidata.org/wiki/Q2834957", "Q2834957")</f>
        <v>0</v>
      </c>
    </row>
    <row r="248" spans="1:8">
      <c r="A248" t="s">
        <v>254</v>
      </c>
      <c r="B248" t="s">
        <v>5239</v>
      </c>
      <c r="C248" t="s">
        <v>9373</v>
      </c>
      <c r="D248" t="s">
        <v>11627</v>
      </c>
      <c r="E248" s="2">
        <v>21895</v>
      </c>
      <c r="F248">
        <f>HYPERLINK("https://www2.assemblee-nationale.fr/sycomore/fiche/(num_dept)/464", "464.0")</f>
        <v>0</v>
      </c>
      <c r="H248">
        <f>HYPERLINK("https://www.wikidata.org/wiki/Q3184568", "Q3184568")</f>
        <v>0</v>
      </c>
    </row>
    <row r="249" spans="1:8">
      <c r="A249" t="s">
        <v>255</v>
      </c>
      <c r="B249" t="s">
        <v>5240</v>
      </c>
      <c r="C249" t="s">
        <v>9491</v>
      </c>
      <c r="D249" t="s">
        <v>11628</v>
      </c>
      <c r="E249" t="s">
        <v>15850</v>
      </c>
      <c r="F249">
        <f>HYPERLINK("https://www2.assemblee-nationale.fr/sycomore/fiche/(num_dept)/8284", "8284.0")</f>
        <v>0</v>
      </c>
      <c r="H249">
        <f>HYPERLINK("https://www.wikidata.org/wiki/Q3579970", "Q3579970")</f>
        <v>0</v>
      </c>
    </row>
    <row r="250" spans="1:8">
      <c r="A250" t="s">
        <v>256</v>
      </c>
      <c r="B250" t="s">
        <v>5240</v>
      </c>
      <c r="C250" t="s">
        <v>9492</v>
      </c>
      <c r="D250" t="s">
        <v>11629</v>
      </c>
      <c r="E250" s="2">
        <v>14983</v>
      </c>
      <c r="F250">
        <f>HYPERLINK("https://www2.assemblee-nationale.fr/sycomore/fiche/(num_dept)/4170", "4170.0")</f>
        <v>0</v>
      </c>
      <c r="H250">
        <f>HYPERLINK("https://www.wikidata.org/wiki/Q3262750", "Q3262750")</f>
        <v>0</v>
      </c>
    </row>
    <row r="251" spans="1:8">
      <c r="A251" t="s">
        <v>257</v>
      </c>
      <c r="B251" t="s">
        <v>5241</v>
      </c>
      <c r="C251" t="s">
        <v>9493</v>
      </c>
      <c r="D251" t="s">
        <v>11630</v>
      </c>
      <c r="E251" s="2">
        <v>5157</v>
      </c>
      <c r="G251">
        <f>HYPERLINK("https://www.senat.fr/senateur-3eme-republique/bassinet_athanase1557r3.html", "bassinet_athanase1557r3")</f>
        <v>0</v>
      </c>
      <c r="H251">
        <f>HYPERLINK("https://www.wikidata.org/wiki/Q13080814", "Q13080814")</f>
        <v>0</v>
      </c>
    </row>
    <row r="252" spans="1:8">
      <c r="A252" t="s">
        <v>258</v>
      </c>
      <c r="B252" t="s">
        <v>5242</v>
      </c>
      <c r="C252" t="s">
        <v>9494</v>
      </c>
      <c r="D252" t="s">
        <v>11631</v>
      </c>
      <c r="E252" s="2">
        <v>1191</v>
      </c>
      <c r="F252">
        <f>HYPERLINK("https://www2.assemblee-nationale.fr/sycomore/fiche/(num_dept)/470", "470.0")</f>
        <v>0</v>
      </c>
      <c r="H252">
        <f>HYPERLINK("https://www.wikidata.org/wiki/Q15973504", "Q15973504")</f>
        <v>0</v>
      </c>
    </row>
    <row r="253" spans="1:8">
      <c r="A253" t="s">
        <v>259</v>
      </c>
      <c r="B253" t="s">
        <v>5242</v>
      </c>
      <c r="C253" t="s">
        <v>9495</v>
      </c>
      <c r="D253" t="s">
        <v>11632</v>
      </c>
      <c r="E253" s="2">
        <v>27331</v>
      </c>
      <c r="F253">
        <f>HYPERLINK("https://www2.assemblee-nationale.fr/sycomore/fiche/(num_dept)/471", "471.0")</f>
        <v>0</v>
      </c>
      <c r="H253">
        <f>HYPERLINK("https://www.wikidata.org/wiki/Q2058829", "Q2058829")</f>
        <v>0</v>
      </c>
    </row>
    <row r="254" spans="1:8">
      <c r="A254" t="s">
        <v>260</v>
      </c>
      <c r="B254" t="s">
        <v>5243</v>
      </c>
      <c r="C254" t="s">
        <v>9471</v>
      </c>
      <c r="D254" t="s">
        <v>11633</v>
      </c>
      <c r="E254" s="2">
        <v>4499</v>
      </c>
      <c r="G254">
        <f>HYPERLINK("https://www.senat.fr/senateur-3eme-republique/bastide_jules1581r3.html", "bastide_jules1581r3")</f>
        <v>0</v>
      </c>
      <c r="H254">
        <f>HYPERLINK("https://www.wikidata.org/wiki/Q3188420", "Q3188420")</f>
        <v>0</v>
      </c>
    </row>
    <row r="255" spans="1:8">
      <c r="A255" t="s">
        <v>261</v>
      </c>
      <c r="B255" t="s">
        <v>5244</v>
      </c>
      <c r="C255" t="s">
        <v>9496</v>
      </c>
      <c r="D255" t="s">
        <v>11634</v>
      </c>
      <c r="E255" s="2">
        <v>20826</v>
      </c>
      <c r="F255">
        <f>HYPERLINK("https://www2.assemblee-nationale.fr/sycomore/fiche/(num_dept)/475", "475.0")</f>
        <v>0</v>
      </c>
      <c r="H255">
        <f>HYPERLINK("https://www.wikidata.org/wiki/Q3184572", "Q3184572")</f>
        <v>0</v>
      </c>
    </row>
    <row r="256" spans="1:8">
      <c r="A256" t="s">
        <v>262</v>
      </c>
      <c r="B256" t="s">
        <v>5245</v>
      </c>
      <c r="C256" t="s">
        <v>9414</v>
      </c>
      <c r="D256" t="s">
        <v>11482</v>
      </c>
      <c r="E256" s="2">
        <v>11446</v>
      </c>
      <c r="G256">
        <f>HYPERLINK("https://www.senat.fr/senateur-3eme-republique/baston_de_la_riboisiere_ferdinand0556r3.html", "baston_de_la_riboisiere_ferdinand0556r3")</f>
        <v>0</v>
      </c>
      <c r="H256">
        <f>HYPERLINK("https://www.wikidata.org/wiki/Q3068526", "Q3068526")</f>
        <v>0</v>
      </c>
    </row>
    <row r="257" spans="1:8">
      <c r="A257" t="s">
        <v>263</v>
      </c>
      <c r="B257" t="s">
        <v>5246</v>
      </c>
      <c r="C257" t="s">
        <v>9438</v>
      </c>
      <c r="D257" t="s">
        <v>11635</v>
      </c>
      <c r="E257" s="2">
        <v>3106</v>
      </c>
      <c r="G257">
        <f>HYPERLINK("https://www.senat.fr/senateur-3eme-republique/bataille_victor0993r3.html", "bataille_victor0993r3")</f>
        <v>0</v>
      </c>
      <c r="H257">
        <f>HYPERLINK("https://www.wikidata.org/wiki/Q3557148", "Q3557148")</f>
        <v>0</v>
      </c>
    </row>
    <row r="258" spans="1:8">
      <c r="A258" t="s">
        <v>264</v>
      </c>
      <c r="B258" t="s">
        <v>5247</v>
      </c>
      <c r="C258" t="s">
        <v>9497</v>
      </c>
      <c r="D258" t="s">
        <v>11636</v>
      </c>
      <c r="E258" s="2">
        <v>27708</v>
      </c>
      <c r="F258">
        <f>HYPERLINK("https://www2.assemblee-nationale.fr/sycomore/fiche/(num_dept)/477", "477.0")</f>
        <v>0</v>
      </c>
      <c r="H258">
        <f>HYPERLINK("https://www.wikidata.org/wiki/Q3557147", "Q3557147")</f>
        <v>0</v>
      </c>
    </row>
    <row r="259" spans="1:8">
      <c r="A259" t="s">
        <v>265</v>
      </c>
      <c r="B259" t="s">
        <v>5248</v>
      </c>
      <c r="C259" t="s">
        <v>9498</v>
      </c>
      <c r="D259" t="s">
        <v>11637</v>
      </c>
      <c r="E259" t="s">
        <v>15851</v>
      </c>
      <c r="G259">
        <f>HYPERLINK("https://www.senat.fr/senateur-3eme-republique/batbie_anselme0151r3.html", "batbie_anselme0151r3")</f>
        <v>0</v>
      </c>
      <c r="H259">
        <f>HYPERLINK("https://www.wikidata.org/wiki/Q2852466", "Q2852466")</f>
        <v>0</v>
      </c>
    </row>
    <row r="260" spans="1:8">
      <c r="A260" t="s">
        <v>266</v>
      </c>
      <c r="B260" t="s">
        <v>5249</v>
      </c>
      <c r="C260" t="s">
        <v>9499</v>
      </c>
      <c r="D260" t="s">
        <v>11638</v>
      </c>
      <c r="E260" s="2">
        <v>4502</v>
      </c>
      <c r="F260">
        <f>HYPERLINK("https://www2.assemblee-nationale.fr/sycomore/fiche/(num_dept)/7897", "7897.0")</f>
        <v>0</v>
      </c>
      <c r="H260">
        <f>HYPERLINK("https://www.wikidata.org/wiki/Q16025525", "Q16025525")</f>
        <v>0</v>
      </c>
    </row>
    <row r="261" spans="1:8">
      <c r="A261" t="s">
        <v>267</v>
      </c>
      <c r="B261" t="s">
        <v>5250</v>
      </c>
      <c r="C261" t="s">
        <v>9500</v>
      </c>
      <c r="D261" t="s">
        <v>11639</v>
      </c>
      <c r="E261" t="s">
        <v>15852</v>
      </c>
      <c r="F261">
        <f>HYPERLINK("https://www2.assemblee-nationale.fr/sycomore/fiche/(num_dept)/481", "481.0")</f>
        <v>0</v>
      </c>
      <c r="H261">
        <f>HYPERLINK("https://www.wikidata.org/wiki/Q15973508", "Q15973508")</f>
        <v>0</v>
      </c>
    </row>
    <row r="262" spans="1:8">
      <c r="A262" t="s">
        <v>268</v>
      </c>
      <c r="B262" t="s">
        <v>5250</v>
      </c>
      <c r="C262" t="s">
        <v>9501</v>
      </c>
      <c r="D262" t="s">
        <v>11640</v>
      </c>
      <c r="E262" s="2">
        <v>10951</v>
      </c>
      <c r="F262">
        <f>HYPERLINK("https://www2.assemblee-nationale.fr/sycomore/fiche/(num_dept)/482", "482.0")</f>
        <v>0</v>
      </c>
      <c r="H262">
        <f>HYPERLINK("https://www.wikidata.org/wiki/Q15973525", "Q15973525")</f>
        <v>0</v>
      </c>
    </row>
    <row r="263" spans="1:8">
      <c r="A263" t="s">
        <v>269</v>
      </c>
      <c r="B263" t="s">
        <v>5251</v>
      </c>
      <c r="C263" t="s">
        <v>6686</v>
      </c>
      <c r="D263" t="s">
        <v>11641</v>
      </c>
      <c r="E263" s="2">
        <v>9472</v>
      </c>
      <c r="F263">
        <f>HYPERLINK("https://www2.assemblee-nationale.fr/sycomore/fiche/(num_dept)/485", "485.0")</f>
        <v>0</v>
      </c>
      <c r="H263">
        <f>HYPERLINK("https://www.wikidata.org/wiki/Q3592057", "Q3592057")</f>
        <v>0</v>
      </c>
    </row>
    <row r="264" spans="1:8">
      <c r="A264" t="s">
        <v>270</v>
      </c>
      <c r="B264" t="s">
        <v>5252</v>
      </c>
      <c r="C264" t="s">
        <v>9502</v>
      </c>
      <c r="D264" t="s">
        <v>11642</v>
      </c>
      <c r="E264" s="2">
        <v>12124</v>
      </c>
      <c r="F264">
        <f>HYPERLINK("https://www2.assemblee-nationale.fr/sycomore/fiche/(num_dept)/4171", "4171.0")</f>
        <v>0</v>
      </c>
      <c r="H264">
        <f>HYPERLINK("https://www.wikidata.org/wiki/Q3068680", "Q3068680")</f>
        <v>0</v>
      </c>
    </row>
    <row r="265" spans="1:8">
      <c r="A265" t="s">
        <v>271</v>
      </c>
      <c r="B265" t="s">
        <v>5253</v>
      </c>
      <c r="C265" t="s">
        <v>7754</v>
      </c>
      <c r="D265" t="s">
        <v>11643</v>
      </c>
      <c r="E265" t="s">
        <v>15853</v>
      </c>
      <c r="F265">
        <f>HYPERLINK("https://www2.assemblee-nationale.fr/sycomore/fiche/(num_dept)/486", "486.0")</f>
        <v>0</v>
      </c>
      <c r="H265">
        <f>HYPERLINK("https://www.wikidata.org/wiki/Q15973538", "Q15973538")</f>
        <v>0</v>
      </c>
    </row>
    <row r="266" spans="1:8">
      <c r="A266" t="s">
        <v>272</v>
      </c>
      <c r="B266" t="s">
        <v>5254</v>
      </c>
      <c r="C266" t="s">
        <v>9503</v>
      </c>
      <c r="D266" t="s">
        <v>11644</v>
      </c>
      <c r="E266" s="2">
        <v>5487</v>
      </c>
      <c r="G266">
        <f>HYPERLINK("https://www.senat.fr/senateur-3eme-republique/baudens_gustave1078r3.html", "baudens_gustave1078r3")</f>
        <v>0</v>
      </c>
      <c r="H266">
        <f>HYPERLINK("https://www.wikidata.org/wiki/Q3121110", "Q3121110")</f>
        <v>0</v>
      </c>
    </row>
    <row r="267" spans="1:8">
      <c r="A267" t="s">
        <v>273</v>
      </c>
      <c r="B267" t="s">
        <v>5255</v>
      </c>
      <c r="C267" t="s">
        <v>9504</v>
      </c>
      <c r="D267" t="s">
        <v>11645</v>
      </c>
      <c r="E267" s="2">
        <v>12133</v>
      </c>
      <c r="F267">
        <f>HYPERLINK("https://www2.assemblee-nationale.fr/sycomore/fiche/(num_dept)/488", "488.0")</f>
        <v>0</v>
      </c>
      <c r="G267">
        <f>HYPERLINK("https://www.senat.fr/senateur-3eme-republique/baudet_charles0578r3.html", "baudet_charles0578r3")</f>
        <v>0</v>
      </c>
      <c r="H267">
        <f>HYPERLINK("https://www.wikidata.org/wiki/Q2958489", "Q2958489")</f>
        <v>0</v>
      </c>
    </row>
    <row r="268" spans="1:8">
      <c r="A268" t="s">
        <v>274</v>
      </c>
      <c r="B268" t="s">
        <v>5255</v>
      </c>
      <c r="C268" t="s">
        <v>9505</v>
      </c>
      <c r="D268" t="s">
        <v>11646</v>
      </c>
      <c r="E268" s="2">
        <v>6598</v>
      </c>
      <c r="F268">
        <f>HYPERLINK("https://www2.assemblee-nationale.fr/sycomore/fiche/(num_dept)/489", "489.0")</f>
        <v>0</v>
      </c>
      <c r="G268">
        <f>HYPERLINK("https://www.senat.fr/senateur-3eme-republique/baudet_louis0776r3.html", "baudet_louis0776r3")</f>
        <v>0</v>
      </c>
      <c r="H268">
        <f>HYPERLINK("https://www.wikidata.org/wiki/Q3261189", "Q3261189")</f>
        <v>0</v>
      </c>
    </row>
    <row r="269" spans="1:8">
      <c r="A269" t="s">
        <v>275</v>
      </c>
      <c r="B269" t="s">
        <v>5256</v>
      </c>
      <c r="C269" t="s">
        <v>9368</v>
      </c>
      <c r="D269" t="s">
        <v>11647</v>
      </c>
      <c r="E269" s="2">
        <v>6676</v>
      </c>
      <c r="F269">
        <f>HYPERLINK("https://www2.assemblee-nationale.fr/sycomore/fiche/(num_dept)/490", "490.0")</f>
        <v>0</v>
      </c>
      <c r="H269">
        <f>HYPERLINK("https://www.wikidata.org/wiki/Q8344677", "Q8344677")</f>
        <v>0</v>
      </c>
    </row>
    <row r="270" spans="1:8">
      <c r="A270" t="s">
        <v>276</v>
      </c>
      <c r="B270" t="s">
        <v>5256</v>
      </c>
      <c r="C270" t="s">
        <v>9506</v>
      </c>
      <c r="D270" t="s">
        <v>11648</v>
      </c>
      <c r="E270" s="2">
        <v>6421</v>
      </c>
      <c r="F270">
        <f>HYPERLINK("https://www2.assemblee-nationale.fr/sycomore/fiche/(num_dept)/491", "491.0")</f>
        <v>0</v>
      </c>
      <c r="G270">
        <f>HYPERLINK("https://www.senat.fr/senateur-3eme-republique/baudin_pierre0016r3.html", "baudin_pierre0016r3")</f>
        <v>0</v>
      </c>
      <c r="H270">
        <f>HYPERLINK("https://www.wikidata.org/wiki/Q2993834", "Q2993834")</f>
        <v>0</v>
      </c>
    </row>
    <row r="271" spans="1:8">
      <c r="A271" t="s">
        <v>277</v>
      </c>
      <c r="B271" t="s">
        <v>5257</v>
      </c>
      <c r="C271" t="s">
        <v>9312</v>
      </c>
      <c r="D271" t="s">
        <v>11649</v>
      </c>
      <c r="E271" s="2">
        <v>20678</v>
      </c>
      <c r="F271">
        <f>HYPERLINK("https://www2.assemblee-nationale.fr/sycomore/fiche/(num_dept)/495", "495.0")</f>
        <v>0</v>
      </c>
      <c r="H271">
        <f>HYPERLINK("https://www.wikidata.org/wiki/Q15973531", "Q15973531")</f>
        <v>0</v>
      </c>
    </row>
    <row r="272" spans="1:8">
      <c r="A272" t="s">
        <v>278</v>
      </c>
      <c r="B272" t="s">
        <v>5258</v>
      </c>
      <c r="C272" t="s">
        <v>9507</v>
      </c>
      <c r="D272" t="s">
        <v>11650</v>
      </c>
      <c r="E272" s="2">
        <v>20657</v>
      </c>
      <c r="F272">
        <f>HYPERLINK("https://www2.assemblee-nationale.fr/sycomore/fiche/(num_dept)/497", "497.0")</f>
        <v>0</v>
      </c>
      <c r="H272">
        <f>HYPERLINK("https://www.wikidata.org/wiki/Q3383900", "Q3383900")</f>
        <v>0</v>
      </c>
    </row>
    <row r="273" spans="1:8">
      <c r="A273" t="s">
        <v>279</v>
      </c>
      <c r="B273" t="s">
        <v>5259</v>
      </c>
      <c r="C273" t="s">
        <v>9430</v>
      </c>
      <c r="D273" t="s">
        <v>11651</v>
      </c>
      <c r="E273" s="2">
        <v>23417</v>
      </c>
      <c r="H273">
        <f>HYPERLINK("https://www.wikidata.org/wiki/Q477880", "Q477880")</f>
        <v>0</v>
      </c>
    </row>
    <row r="274" spans="1:8">
      <c r="A274" t="s">
        <v>280</v>
      </c>
      <c r="B274" t="s">
        <v>5260</v>
      </c>
      <c r="C274" t="s">
        <v>9508</v>
      </c>
      <c r="D274" t="s">
        <v>11652</v>
      </c>
      <c r="E274" s="2">
        <v>25013</v>
      </c>
      <c r="F274">
        <f>HYPERLINK("https://www2.assemblee-nationale.fr/sycomore/fiche/(num_dept)/498", "498.0")</f>
        <v>0</v>
      </c>
      <c r="H274">
        <f>HYPERLINK("https://www.wikidata.org/wiki/Q2958491", "Q2958491")</f>
        <v>0</v>
      </c>
    </row>
    <row r="275" spans="1:8">
      <c r="A275" t="s">
        <v>281</v>
      </c>
      <c r="B275" t="s">
        <v>5261</v>
      </c>
      <c r="C275" t="s">
        <v>7942</v>
      </c>
      <c r="D275" t="s">
        <v>11653</v>
      </c>
      <c r="E275" s="2">
        <v>30327</v>
      </c>
      <c r="G275">
        <f>HYPERLINK("https://www.senat.fr/senateur-3eme-republique/baufle_maurice0680r3.html", "baufle_maurice0680r3")</f>
        <v>0</v>
      </c>
      <c r="H275">
        <f>HYPERLINK("https://www.wikidata.org/wiki/Q3300373", "Q3300373")</f>
        <v>0</v>
      </c>
    </row>
    <row r="276" spans="1:8">
      <c r="A276" t="s">
        <v>282</v>
      </c>
      <c r="B276" t="s">
        <v>5262</v>
      </c>
      <c r="C276" t="s">
        <v>9509</v>
      </c>
      <c r="D276" t="s">
        <v>11654</v>
      </c>
      <c r="E276" s="2">
        <v>3691</v>
      </c>
      <c r="F276">
        <f>HYPERLINK("https://www2.assemblee-nationale.fr/sycomore/fiche/(num_dept)/502", "502.0")</f>
        <v>0</v>
      </c>
      <c r="H276">
        <f>HYPERLINK("https://www.wikidata.org/wiki/Q3188340", "Q3188340")</f>
        <v>0</v>
      </c>
    </row>
    <row r="277" spans="1:8">
      <c r="A277" t="s">
        <v>283</v>
      </c>
      <c r="B277" t="s">
        <v>5263</v>
      </c>
      <c r="C277" t="s">
        <v>9510</v>
      </c>
      <c r="D277" t="s">
        <v>11655</v>
      </c>
      <c r="E277" t="s">
        <v>15854</v>
      </c>
      <c r="F277">
        <f>HYPERLINK("https://www2.assemblee-nationale.fr/sycomore/fiche/(num_dept)/8152", "8152.0")</f>
        <v>0</v>
      </c>
      <c r="H277">
        <f>HYPERLINK("https://www.wikidata.org/wiki/Q15973585", "Q15973585")</f>
        <v>0</v>
      </c>
    </row>
    <row r="278" spans="1:8">
      <c r="A278" t="s">
        <v>284</v>
      </c>
      <c r="B278" t="s">
        <v>5264</v>
      </c>
      <c r="C278" t="s">
        <v>7782</v>
      </c>
      <c r="D278" t="s">
        <v>11656</v>
      </c>
      <c r="E278" s="2">
        <v>15628</v>
      </c>
      <c r="F278">
        <f>HYPERLINK("https://www2.assemblee-nationale.fr/sycomore/fiche/(num_dept)/513", "513.0")</f>
        <v>0</v>
      </c>
      <c r="H278">
        <f>HYPERLINK("https://www.wikidata.org/wiki/Q15973583", "Q15973583")</f>
        <v>0</v>
      </c>
    </row>
    <row r="279" spans="1:8">
      <c r="A279" t="s">
        <v>285</v>
      </c>
      <c r="B279" t="s">
        <v>5265</v>
      </c>
      <c r="C279" t="s">
        <v>6686</v>
      </c>
      <c r="D279" t="s">
        <v>11657</v>
      </c>
      <c r="E279" s="2">
        <v>5641</v>
      </c>
      <c r="G279">
        <f>HYPERLINK("https://www.senat.fr/senateur-3eme-republique/bayol_etienne1737r3.html", "bayol_etienne1737r3")</f>
        <v>0</v>
      </c>
      <c r="H279">
        <f>HYPERLINK("https://www.wikidata.org/wiki/Q3592058", "Q3592058")</f>
        <v>0</v>
      </c>
    </row>
    <row r="280" spans="1:8">
      <c r="A280" t="s">
        <v>286</v>
      </c>
      <c r="B280" t="s">
        <v>5265</v>
      </c>
      <c r="C280" t="s">
        <v>9511</v>
      </c>
      <c r="D280" t="s">
        <v>11658</v>
      </c>
      <c r="E280" s="2">
        <v>2103</v>
      </c>
      <c r="G280">
        <f>HYPERLINK("https://www.senat.fr/senateur-3eme-republique/bayol_jean_marie0328r3.html", "bayol_jean_marie0328r3")</f>
        <v>0</v>
      </c>
      <c r="H280">
        <f>HYPERLINK("https://www.wikidata.org/wiki/Q1685032", "Q1685032")</f>
        <v>0</v>
      </c>
    </row>
    <row r="281" spans="1:8">
      <c r="A281" t="s">
        <v>287</v>
      </c>
      <c r="B281" t="s">
        <v>5266</v>
      </c>
      <c r="C281" t="s">
        <v>9512</v>
      </c>
      <c r="D281" t="s">
        <v>11659</v>
      </c>
      <c r="E281" s="2">
        <v>19297</v>
      </c>
      <c r="F281">
        <f>HYPERLINK("https://www2.assemblee-nationale.fr/sycomore/fiche/(num_dept)/520", "520.0")</f>
        <v>0</v>
      </c>
      <c r="G281">
        <f>HYPERLINK("https://www.senat.fr/senateur-3eme-republique/bazile_gaston0835r3.html", "bazile_gaston0835r3")</f>
        <v>0</v>
      </c>
      <c r="H281">
        <f>HYPERLINK("https://www.wikidata.org/wiki/Q1495550", "Q1495550")</f>
        <v>0</v>
      </c>
    </row>
    <row r="282" spans="1:8">
      <c r="A282" t="s">
        <v>288</v>
      </c>
      <c r="B282" t="s">
        <v>5267</v>
      </c>
      <c r="C282" t="s">
        <v>7342</v>
      </c>
      <c r="D282" t="s">
        <v>11660</v>
      </c>
      <c r="E282" t="s">
        <v>15855</v>
      </c>
      <c r="G282">
        <f>HYPERLINK("https://www.senat.fr/senateur-3eme-republique/bazille_jean0236r3.html", "bazille_jean0236r3")</f>
        <v>0</v>
      </c>
      <c r="H282">
        <f>HYPERLINK("https://www.wikidata.org/wiki/Q3170658", "Q3170658")</f>
        <v>0</v>
      </c>
    </row>
    <row r="283" spans="1:8">
      <c r="A283" t="s">
        <v>289</v>
      </c>
      <c r="B283" t="s">
        <v>5268</v>
      </c>
      <c r="C283" t="s">
        <v>9513</v>
      </c>
      <c r="D283" t="s">
        <v>11661</v>
      </c>
      <c r="E283" s="2">
        <v>33</v>
      </c>
      <c r="F283">
        <f>HYPERLINK("https://www2.assemblee-nationale.fr/sycomore/fiche/(num_dept)/521", "521.0")</f>
        <v>0</v>
      </c>
      <c r="H283">
        <f>HYPERLINK("https://www.wikidata.org/wiki/Q15973565", "Q15973565")</f>
        <v>0</v>
      </c>
    </row>
    <row r="284" spans="1:8">
      <c r="A284" t="s">
        <v>290</v>
      </c>
      <c r="B284" t="s">
        <v>5269</v>
      </c>
      <c r="C284" t="s">
        <v>9514</v>
      </c>
      <c r="D284" t="s">
        <v>11662</v>
      </c>
      <c r="E284" s="2">
        <v>4025</v>
      </c>
      <c r="F284">
        <f>HYPERLINK("https://www2.assemblee-nationale.fr/sycomore/fiche/(num_dept)/522", "522.0")</f>
        <v>0</v>
      </c>
      <c r="H284">
        <f>HYPERLINK("https://www.wikidata.org/wiki/Q15973551", "Q15973551")</f>
        <v>0</v>
      </c>
    </row>
    <row r="285" spans="1:8">
      <c r="A285" t="s">
        <v>291</v>
      </c>
      <c r="B285" t="s">
        <v>5270</v>
      </c>
      <c r="C285" t="s">
        <v>9515</v>
      </c>
      <c r="D285" t="s">
        <v>11663</v>
      </c>
      <c r="E285" s="2">
        <v>6279</v>
      </c>
      <c r="G285">
        <f>HYPERLINK("https://www.senat.fr/senateur-3eme-republique/bazire_elphege1045r3.html", "bazire_elphege1045r3")</f>
        <v>0</v>
      </c>
      <c r="H285">
        <f>HYPERLINK("https://www.wikidata.org/wiki/Q3051673", "Q3051673")</f>
        <v>0</v>
      </c>
    </row>
    <row r="286" spans="1:8">
      <c r="A286" t="s">
        <v>292</v>
      </c>
      <c r="B286" t="s">
        <v>5271</v>
      </c>
      <c r="C286" t="s">
        <v>9516</v>
      </c>
      <c r="D286" t="s">
        <v>11664</v>
      </c>
      <c r="E286" s="2">
        <v>8754</v>
      </c>
      <c r="F286">
        <f>HYPERLINK("https://www2.assemblee-nationale.fr/sycomore/fiche/(num_dept)/524", "524.0")</f>
        <v>0</v>
      </c>
      <c r="H286">
        <f>HYPERLINK("https://www.wikidata.org/wiki/Q16025472", "Q16025472")</f>
        <v>0</v>
      </c>
    </row>
    <row r="287" spans="1:8">
      <c r="A287" t="s">
        <v>293</v>
      </c>
      <c r="B287" t="s">
        <v>5272</v>
      </c>
      <c r="C287" t="s">
        <v>9355</v>
      </c>
      <c r="D287" t="s">
        <v>11665</v>
      </c>
      <c r="E287" s="2">
        <v>6295</v>
      </c>
      <c r="F287">
        <f>HYPERLINK("https://www2.assemblee-nationale.fr/sycomore/fiche/(num_dept)/337", "337.0")</f>
        <v>0</v>
      </c>
      <c r="H287">
        <f>HYPERLINK("https://www.wikidata.org/wiki/Q2958501", "Q2958501")</f>
        <v>0</v>
      </c>
    </row>
    <row r="288" spans="1:8">
      <c r="A288" t="s">
        <v>294</v>
      </c>
      <c r="B288" t="s">
        <v>5273</v>
      </c>
      <c r="C288" t="s">
        <v>7001</v>
      </c>
      <c r="D288" t="s">
        <v>11666</v>
      </c>
      <c r="E288" s="2">
        <v>29842</v>
      </c>
      <c r="F288">
        <f>HYPERLINK("https://www2.assemblee-nationale.fr/sycomore/fiche/(num_dept)/530", "530.0")</f>
        <v>0</v>
      </c>
      <c r="H288">
        <f>HYPERLINK("https://www.wikidata.org/wiki/Q3102255", "Q3102255")</f>
        <v>0</v>
      </c>
    </row>
    <row r="289" spans="1:8">
      <c r="A289" t="s">
        <v>295</v>
      </c>
      <c r="B289" t="s">
        <v>5274</v>
      </c>
      <c r="C289" t="s">
        <v>9517</v>
      </c>
      <c r="D289" s="2">
        <v>553</v>
      </c>
      <c r="E289" s="2">
        <v>31583</v>
      </c>
      <c r="F289">
        <f>HYPERLINK("https://www2.assemblee-nationale.fr/sycomore/fiche/(num_dept)/532", "532.0")</f>
        <v>0</v>
      </c>
      <c r="H289">
        <f>HYPERLINK("https://www.wikidata.org/wiki/Q2847242", "Q2847242")</f>
        <v>0</v>
      </c>
    </row>
    <row r="290" spans="1:8">
      <c r="A290" t="s">
        <v>296</v>
      </c>
      <c r="B290" t="s">
        <v>5275</v>
      </c>
      <c r="C290" t="s">
        <v>7342</v>
      </c>
      <c r="D290" t="s">
        <v>11667</v>
      </c>
      <c r="E290" s="2">
        <v>24197</v>
      </c>
      <c r="G290">
        <f>HYPERLINK("https://www.senat.fr/senateur-3eme-republique/beaumont_jean0050r3.html", "beaumont_jean0050r3")</f>
        <v>0</v>
      </c>
      <c r="H290">
        <f>HYPERLINK("https://www.wikidata.org/wiki/Q55030753", "Q55030753")</f>
        <v>0</v>
      </c>
    </row>
    <row r="291" spans="1:8">
      <c r="A291" t="s">
        <v>297</v>
      </c>
      <c r="B291" t="s">
        <v>5276</v>
      </c>
      <c r="C291" t="s">
        <v>6864</v>
      </c>
      <c r="D291" t="s">
        <v>11668</v>
      </c>
      <c r="E291" s="2">
        <v>5960</v>
      </c>
      <c r="G291">
        <f>HYPERLINK("https://www.senat.fr/senateur-3eme-republique/beaupin_francois1237r3.html", "beaupin_francois1237r3")</f>
        <v>0</v>
      </c>
      <c r="H291">
        <f>HYPERLINK("https://www.wikidata.org/wiki/Q3083924", "Q3083924")</f>
        <v>0</v>
      </c>
    </row>
    <row r="292" spans="1:8">
      <c r="A292" t="s">
        <v>298</v>
      </c>
      <c r="B292" t="s">
        <v>5277</v>
      </c>
      <c r="C292" t="s">
        <v>9355</v>
      </c>
      <c r="D292" t="s">
        <v>11669</v>
      </c>
      <c r="E292" s="2">
        <v>6069</v>
      </c>
      <c r="F292">
        <f>HYPERLINK("https://www2.assemblee-nationale.fr/sycomore/fiche/(num_dept)/538", "538.0")</f>
        <v>0</v>
      </c>
      <c r="H292">
        <f>HYPERLINK("https://www.wikidata.org/wiki/Q2958509", "Q2958509")</f>
        <v>0</v>
      </c>
    </row>
    <row r="293" spans="1:8">
      <c r="A293" t="s">
        <v>299</v>
      </c>
      <c r="B293" t="s">
        <v>5278</v>
      </c>
      <c r="C293" t="s">
        <v>9518</v>
      </c>
      <c r="D293" t="s">
        <v>11670</v>
      </c>
      <c r="E293" s="2">
        <v>7021</v>
      </c>
      <c r="F293">
        <f>HYPERLINK("https://www2.assemblee-nationale.fr/sycomore/fiche/(num_dept)/540", "540.0")</f>
        <v>0</v>
      </c>
      <c r="H293">
        <f>HYPERLINK("https://www.wikidata.org/wiki/Q3370596", "Q3370596")</f>
        <v>0</v>
      </c>
    </row>
    <row r="294" spans="1:8">
      <c r="A294" t="s">
        <v>300</v>
      </c>
      <c r="B294" t="s">
        <v>5278</v>
      </c>
      <c r="C294" t="s">
        <v>9519</v>
      </c>
      <c r="D294" t="s">
        <v>11671</v>
      </c>
      <c r="E294" s="2">
        <v>6962</v>
      </c>
      <c r="F294">
        <f>HYPERLINK("https://www2.assemblee-nationale.fr/sycomore/fiche/(num_dept)/541", "541.0")</f>
        <v>0</v>
      </c>
      <c r="H294">
        <f>HYPERLINK("https://www.wikidata.org/wiki/Q16798433", "Q16798433")</f>
        <v>0</v>
      </c>
    </row>
    <row r="295" spans="1:8">
      <c r="A295" t="s">
        <v>301</v>
      </c>
      <c r="B295" t="s">
        <v>5278</v>
      </c>
      <c r="C295" t="s">
        <v>9520</v>
      </c>
      <c r="D295" t="s">
        <v>11672</v>
      </c>
      <c r="E295" s="2">
        <v>4857</v>
      </c>
      <c r="F295">
        <f>HYPERLINK("https://www2.assemblee-nationale.fr/sycomore/fiche/(num_dept)/6324", "6324.0")</f>
        <v>0</v>
      </c>
      <c r="H295">
        <f>HYPERLINK("https://www.wikidata.org/wiki/Q3133056", "Q3133056")</f>
        <v>0</v>
      </c>
    </row>
    <row r="296" spans="1:8">
      <c r="A296" t="s">
        <v>302</v>
      </c>
      <c r="B296" t="s">
        <v>5279</v>
      </c>
      <c r="C296" t="s">
        <v>9521</v>
      </c>
      <c r="D296" t="s">
        <v>11673</v>
      </c>
      <c r="E296" s="2">
        <v>344</v>
      </c>
      <c r="F296">
        <f>HYPERLINK("https://www2.assemblee-nationale.fr/sycomore/fiche/(num_dept)/542", "542.0")</f>
        <v>0</v>
      </c>
      <c r="H296">
        <f>HYPERLINK("https://www.wikidata.org/wiki/Q15973577", "Q15973577")</f>
        <v>0</v>
      </c>
    </row>
    <row r="297" spans="1:8">
      <c r="A297" t="s">
        <v>303</v>
      </c>
      <c r="B297" t="s">
        <v>5280</v>
      </c>
      <c r="C297" t="s">
        <v>9522</v>
      </c>
      <c r="D297" t="s">
        <v>11674</v>
      </c>
      <c r="E297" s="2">
        <v>20860</v>
      </c>
      <c r="F297">
        <f>HYPERLINK("https://www2.assemblee-nationale.fr/sycomore/fiche/(num_dept)/545", "545.0")</f>
        <v>0</v>
      </c>
      <c r="H297">
        <f>HYPERLINK("https://www.wikidata.org/wiki/Q2871048", "Q2871048")</f>
        <v>0</v>
      </c>
    </row>
    <row r="298" spans="1:8">
      <c r="A298" t="s">
        <v>304</v>
      </c>
      <c r="B298" t="s">
        <v>5281</v>
      </c>
      <c r="C298" t="s">
        <v>7001</v>
      </c>
      <c r="D298" t="s">
        <v>11675</v>
      </c>
      <c r="E298" s="2">
        <v>9230</v>
      </c>
      <c r="G298">
        <f>HYPERLINK("https://www.senat.fr/senateur-3eme-republique/beauvisage_georges1129r3.html", "beauvisage_georges1129r3")</f>
        <v>0</v>
      </c>
      <c r="H298">
        <f>HYPERLINK("https://www.wikidata.org/wiki/Q3102691", "Q3102691")</f>
        <v>0</v>
      </c>
    </row>
    <row r="299" spans="1:8">
      <c r="A299" t="s">
        <v>305</v>
      </c>
      <c r="B299" t="s">
        <v>5282</v>
      </c>
      <c r="C299" t="s">
        <v>9523</v>
      </c>
      <c r="D299" t="s">
        <v>11676</v>
      </c>
      <c r="E299" s="2">
        <v>20329</v>
      </c>
      <c r="F299">
        <f>HYPERLINK("https://www2.assemblee-nationale.fr/sycomore/fiche/(num_dept)/548", "548.0")</f>
        <v>0</v>
      </c>
      <c r="H299">
        <f>HYPERLINK("https://www.wikidata.org/wiki/Q16025560", "Q16025560")</f>
        <v>0</v>
      </c>
    </row>
    <row r="300" spans="1:8">
      <c r="A300" t="s">
        <v>306</v>
      </c>
      <c r="B300" t="s">
        <v>5283</v>
      </c>
      <c r="C300" t="s">
        <v>5058</v>
      </c>
      <c r="D300" t="s">
        <v>11677</v>
      </c>
      <c r="E300" s="2">
        <v>17383</v>
      </c>
      <c r="F300">
        <f>HYPERLINK("https://www2.assemblee-nationale.fr/sycomore/fiche/(num_dept)/564", "564.0")</f>
        <v>0</v>
      </c>
      <c r="H300">
        <f>HYPERLINK("https://www.wikidata.org/wiki/Q2830945", "Q2830945")</f>
        <v>0</v>
      </c>
    </row>
    <row r="301" spans="1:8">
      <c r="A301" t="s">
        <v>307</v>
      </c>
      <c r="B301" t="s">
        <v>5284</v>
      </c>
      <c r="C301" t="s">
        <v>9401</v>
      </c>
      <c r="D301" t="s">
        <v>11678</v>
      </c>
      <c r="E301" s="2">
        <v>18289</v>
      </c>
      <c r="F301">
        <f>HYPERLINK("https://www2.assemblee-nationale.fr/sycomore/fiche/(num_dept)/567", "567.0")</f>
        <v>0</v>
      </c>
      <c r="H301">
        <f>HYPERLINK("https://www.wikidata.org/wiki/Q2958648", "Q2958648")</f>
        <v>0</v>
      </c>
    </row>
    <row r="302" spans="1:8">
      <c r="A302" t="s">
        <v>308</v>
      </c>
      <c r="B302" t="s">
        <v>5285</v>
      </c>
      <c r="C302" t="s">
        <v>9524</v>
      </c>
      <c r="D302" t="s">
        <v>11679</v>
      </c>
      <c r="E302" s="2">
        <v>8810</v>
      </c>
      <c r="F302">
        <f>HYPERLINK("https://www2.assemblee-nationale.fr/sycomore/fiche/(num_dept)/569", "569.0")</f>
        <v>0</v>
      </c>
      <c r="H302">
        <f>HYPERLINK("https://www.wikidata.org/wiki/Q16685207", "Q16685207")</f>
        <v>0</v>
      </c>
    </row>
    <row r="303" spans="1:8">
      <c r="A303" t="s">
        <v>309</v>
      </c>
      <c r="B303" t="s">
        <v>5286</v>
      </c>
      <c r="C303" t="s">
        <v>6864</v>
      </c>
      <c r="D303" t="s">
        <v>11680</v>
      </c>
      <c r="E303" t="s">
        <v>15856</v>
      </c>
      <c r="F303">
        <f>HYPERLINK("https://www2.assemblee-nationale.fr/sycomore/fiche/(num_dept)/8243", "8243.0")</f>
        <v>0</v>
      </c>
      <c r="H303">
        <f>HYPERLINK("https://www.wikidata.org/wiki/Q3083927", "Q3083927")</f>
        <v>0</v>
      </c>
    </row>
    <row r="304" spans="1:8">
      <c r="A304" t="s">
        <v>310</v>
      </c>
      <c r="B304" t="s">
        <v>5287</v>
      </c>
      <c r="C304" t="s">
        <v>9525</v>
      </c>
      <c r="D304" t="s">
        <v>11681</v>
      </c>
      <c r="E304" s="2">
        <v>15657</v>
      </c>
      <c r="F304">
        <f>HYPERLINK("https://www2.assemblee-nationale.fr/sycomore/fiche/(num_dept)/580", "580.0")</f>
        <v>0</v>
      </c>
      <c r="H304">
        <f>HYPERLINK("https://www.wikidata.org/wiki/Q15973579", "Q15973579")</f>
        <v>0</v>
      </c>
    </row>
    <row r="305" spans="1:8">
      <c r="A305" t="s">
        <v>311</v>
      </c>
      <c r="B305" t="s">
        <v>5288</v>
      </c>
      <c r="C305" t="s">
        <v>9512</v>
      </c>
      <c r="D305" t="s">
        <v>11682</v>
      </c>
      <c r="E305" s="2">
        <v>11427</v>
      </c>
      <c r="G305">
        <f>HYPERLINK("https://www.senat.fr/senateur-3eme-republique/belhomme_gaston0756r3.html", "belhomme_gaston0756r3")</f>
        <v>0</v>
      </c>
      <c r="H305">
        <f>HYPERLINK("https://www.wikidata.org/wiki/Q3098913", "Q3098913")</f>
        <v>0</v>
      </c>
    </row>
    <row r="306" spans="1:8">
      <c r="A306" t="s">
        <v>312</v>
      </c>
      <c r="B306" t="s">
        <v>5289</v>
      </c>
      <c r="C306" t="s">
        <v>9430</v>
      </c>
      <c r="D306" t="s">
        <v>11683</v>
      </c>
      <c r="E306" s="2">
        <v>11046</v>
      </c>
      <c r="F306">
        <f>HYPERLINK("https://www2.assemblee-nationale.fr/sycomore/fiche/(num_dept)/585", "585.0")</f>
        <v>0</v>
      </c>
      <c r="H306">
        <f>HYPERLINK("https://www.wikidata.org/wiki/Q3370603", "Q3370603")</f>
        <v>0</v>
      </c>
    </row>
    <row r="307" spans="1:8">
      <c r="A307" t="s">
        <v>313</v>
      </c>
      <c r="B307" t="s">
        <v>5290</v>
      </c>
      <c r="C307" t="s">
        <v>8691</v>
      </c>
      <c r="D307" t="s">
        <v>11684</v>
      </c>
      <c r="E307" s="2">
        <v>24267</v>
      </c>
      <c r="F307">
        <f>HYPERLINK("https://www2.assemblee-nationale.fr/sycomore/fiche/(num_dept)/586", "586.0")</f>
        <v>0</v>
      </c>
      <c r="G307">
        <f>HYPERLINK("https://www.senat.fr/senateur-3eme-republique/bellanger_robert0561r3.html", "bellanger_robert0561r3")</f>
        <v>0</v>
      </c>
      <c r="H307">
        <f>HYPERLINK("https://www.wikidata.org/wiki/Q3434547", "Q3434547")</f>
        <v>0</v>
      </c>
    </row>
    <row r="308" spans="1:8">
      <c r="A308" t="s">
        <v>314</v>
      </c>
      <c r="B308" t="s">
        <v>5291</v>
      </c>
      <c r="C308" t="s">
        <v>9526</v>
      </c>
      <c r="D308" t="s">
        <v>11685</v>
      </c>
      <c r="E308" s="2">
        <v>5548</v>
      </c>
      <c r="F308">
        <f>HYPERLINK("https://www2.assemblee-nationale.fr/sycomore/fiche/(num_dept)/587", "587.0")</f>
        <v>0</v>
      </c>
      <c r="G308">
        <f>HYPERLINK("https://www.senat.fr/senateur-3eme-republique/belle_antoine0299r3.html", "belle_antoine0299r3")</f>
        <v>0</v>
      </c>
      <c r="H308">
        <f>HYPERLINK("https://www.wikidata.org/wiki/Q2853457", "Q2853457")</f>
        <v>0</v>
      </c>
    </row>
    <row r="309" spans="1:8">
      <c r="A309" t="s">
        <v>315</v>
      </c>
      <c r="B309" t="s">
        <v>5292</v>
      </c>
      <c r="C309" t="s">
        <v>9355</v>
      </c>
      <c r="D309" t="s">
        <v>11686</v>
      </c>
      <c r="E309" s="2">
        <v>23385</v>
      </c>
      <c r="F309">
        <f>HYPERLINK("https://www2.assemblee-nationale.fr/sycomore/fiche/(num_dept)/589", "589.0")</f>
        <v>0</v>
      </c>
      <c r="H309">
        <f>HYPERLINK("https://www.wikidata.org/wiki/Q15973603", "Q15973603")</f>
        <v>0</v>
      </c>
    </row>
    <row r="310" spans="1:8">
      <c r="A310" t="s">
        <v>316</v>
      </c>
      <c r="B310" t="s">
        <v>5293</v>
      </c>
      <c r="C310" t="s">
        <v>9527</v>
      </c>
      <c r="D310" t="s">
        <v>11687</v>
      </c>
      <c r="E310" s="2">
        <v>5264</v>
      </c>
      <c r="F310">
        <f>HYPERLINK("https://www2.assemblee-nationale.fr/sycomore/fiche/(num_dept)/590", "590.0")</f>
        <v>0</v>
      </c>
      <c r="H310">
        <f>HYPERLINK("https://www.wikidata.org/wiki/Q13080890", "Q13080890")</f>
        <v>0</v>
      </c>
    </row>
    <row r="311" spans="1:8">
      <c r="A311" t="s">
        <v>317</v>
      </c>
      <c r="B311" t="s">
        <v>5294</v>
      </c>
      <c r="C311" t="s">
        <v>9528</v>
      </c>
      <c r="D311" t="s">
        <v>11688</v>
      </c>
      <c r="E311" s="2">
        <v>13234</v>
      </c>
      <c r="F311">
        <f>HYPERLINK("https://www2.assemblee-nationale.fr/sycomore/fiche/(num_dept)/591", "591.0")</f>
        <v>0</v>
      </c>
      <c r="H311">
        <f>HYPERLINK("https://www.wikidata.org/wiki/Q8306708", "Q8306708")</f>
        <v>0</v>
      </c>
    </row>
    <row r="312" spans="1:8">
      <c r="A312" t="s">
        <v>318</v>
      </c>
      <c r="B312" t="s">
        <v>5295</v>
      </c>
      <c r="C312" t="s">
        <v>9529</v>
      </c>
      <c r="D312" t="s">
        <v>11689</v>
      </c>
      <c r="E312" s="2">
        <v>24889</v>
      </c>
      <c r="F312">
        <f>HYPERLINK("https://www2.assemblee-nationale.fr/sycomore/fiche/(num_dept)/593", "593.0")</f>
        <v>0</v>
      </c>
      <c r="H312">
        <f>HYPERLINK("https://www.wikidata.org/wiki/Q15973626", "Q15973626")</f>
        <v>0</v>
      </c>
    </row>
    <row r="313" spans="1:8">
      <c r="A313" t="s">
        <v>319</v>
      </c>
      <c r="B313" t="s">
        <v>5296</v>
      </c>
      <c r="C313" t="s">
        <v>8006</v>
      </c>
      <c r="D313" t="s">
        <v>11690</v>
      </c>
      <c r="E313" t="s">
        <v>15857</v>
      </c>
      <c r="F313">
        <f>HYPERLINK("https://www2.assemblee-nationale.fr/sycomore/fiche/(num_dept)/8091", "8091.0")</f>
        <v>0</v>
      </c>
      <c r="H313">
        <f>HYPERLINK("https://www.wikidata.org/wiki/Q3308976", "Q3308976")</f>
        <v>0</v>
      </c>
    </row>
    <row r="314" spans="1:8">
      <c r="A314" t="s">
        <v>320</v>
      </c>
      <c r="B314" t="s">
        <v>5297</v>
      </c>
      <c r="C314" t="s">
        <v>8691</v>
      </c>
      <c r="D314" t="s">
        <v>11691</v>
      </c>
      <c r="E314" s="2">
        <v>19460</v>
      </c>
      <c r="G314">
        <f>HYPERLINK("https://www.senat.fr/senateur-3eme-republique/belmont_robert1189r3.html", "belmont_robert1189r3")</f>
        <v>0</v>
      </c>
      <c r="H314">
        <f>HYPERLINK("https://www.wikidata.org/wiki/Q3434550", "Q3434550")</f>
        <v>0</v>
      </c>
    </row>
    <row r="315" spans="1:8">
      <c r="A315" t="s">
        <v>321</v>
      </c>
      <c r="B315" t="s">
        <v>5298</v>
      </c>
      <c r="C315" t="s">
        <v>9530</v>
      </c>
      <c r="D315" t="s">
        <v>11692</v>
      </c>
      <c r="E315" s="2">
        <v>2396</v>
      </c>
      <c r="F315">
        <f>HYPERLINK("https://www2.assemblee-nationale.fr/sycomore/fiche/(num_dept)/8164", "8164.0")</f>
        <v>0</v>
      </c>
      <c r="H315">
        <f>HYPERLINK("https://www.wikidata.org/wiki/Q3170685", "Q3170685")</f>
        <v>0</v>
      </c>
    </row>
    <row r="316" spans="1:8">
      <c r="A316" t="s">
        <v>322</v>
      </c>
      <c r="B316" t="s">
        <v>5299</v>
      </c>
      <c r="C316" t="s">
        <v>9362</v>
      </c>
      <c r="D316" t="s">
        <v>11693</v>
      </c>
      <c r="E316" s="2">
        <v>23604</v>
      </c>
      <c r="G316">
        <f>HYPERLINK("https://www.senat.fr/senateur-3eme-republique/bels_adrien0083r4.html", "bels_adrien0083r4")</f>
        <v>0</v>
      </c>
      <c r="H316">
        <f>HYPERLINK("https://www.wikidata.org/wiki/Q2825124", "Q2825124")</f>
        <v>0</v>
      </c>
    </row>
    <row r="317" spans="1:8">
      <c r="A317" t="s">
        <v>323</v>
      </c>
      <c r="B317" t="s">
        <v>5300</v>
      </c>
      <c r="C317" t="s">
        <v>9531</v>
      </c>
      <c r="D317" t="s">
        <v>11694</v>
      </c>
      <c r="E317" s="2">
        <v>17363</v>
      </c>
      <c r="F317">
        <f>HYPERLINK("https://www2.assemblee-nationale.fr/sycomore/fiche/(num_dept)/597", "597.0")</f>
        <v>0</v>
      </c>
      <c r="H317">
        <f>HYPERLINK("https://www.wikidata.org/wiki/Q3098912", "Q3098912")</f>
        <v>0</v>
      </c>
    </row>
    <row r="318" spans="1:8">
      <c r="A318" t="s">
        <v>324</v>
      </c>
      <c r="B318" t="s">
        <v>5301</v>
      </c>
      <c r="C318" t="s">
        <v>9332</v>
      </c>
      <c r="D318" t="s">
        <v>11695</v>
      </c>
      <c r="E318" s="2">
        <v>15524</v>
      </c>
      <c r="F318">
        <f>HYPERLINK("https://www2.assemblee-nationale.fr/sycomore/fiche/(num_dept)/598", "598.0")</f>
        <v>0</v>
      </c>
      <c r="G318">
        <f>HYPERLINK("https://www.senat.fr/senateur-3eme-republique/beluel_ernest0112r3.html", "beluel_ernest0112r3")</f>
        <v>0</v>
      </c>
      <c r="H318">
        <f>HYPERLINK("https://www.wikidata.org/wiki/Q3056836", "Q3056836")</f>
        <v>0</v>
      </c>
    </row>
    <row r="319" spans="1:8">
      <c r="A319" t="s">
        <v>325</v>
      </c>
      <c r="B319" t="s">
        <v>5302</v>
      </c>
      <c r="C319" t="s">
        <v>9532</v>
      </c>
      <c r="D319" t="s">
        <v>11696</v>
      </c>
      <c r="E319" s="2">
        <v>19016</v>
      </c>
      <c r="G319">
        <f>HYPERLINK("https://www.senat.fr/senateur-3eme-republique/benard_leonus0852r3.html", "benard_leonus0852r3")</f>
        <v>0</v>
      </c>
      <c r="H319">
        <f>HYPERLINK("https://www.wikidata.org/wiki/Q3271752", "Q3271752")</f>
        <v>0</v>
      </c>
    </row>
    <row r="320" spans="1:8">
      <c r="A320" t="s">
        <v>326</v>
      </c>
      <c r="B320" t="s">
        <v>5303</v>
      </c>
      <c r="C320" t="s">
        <v>9533</v>
      </c>
      <c r="D320" t="s">
        <v>11697</v>
      </c>
      <c r="G320">
        <f>HYPERLINK("https://www.senat.fr/senateur-3eme-republique/benazet_paul_antoine0262r3.html", "benazet_paul_antoine0262r3")</f>
        <v>0</v>
      </c>
      <c r="H320">
        <f>HYPERLINK("https://www.wikidata.org/wiki/Q3370245", "Q3370245")</f>
        <v>0</v>
      </c>
    </row>
    <row r="321" spans="1:8">
      <c r="A321" t="s">
        <v>327</v>
      </c>
      <c r="B321" t="s">
        <v>5303</v>
      </c>
      <c r="C321" t="s">
        <v>7754</v>
      </c>
      <c r="D321" t="s">
        <v>11698</v>
      </c>
      <c r="E321" s="2">
        <v>17799</v>
      </c>
      <c r="G321">
        <f>HYPERLINK("https://www.senat.fr/senateur-3eme-republique/benazet_paul_louis0281r3.html", "benazet_paul_louis0281r3")</f>
        <v>0</v>
      </c>
      <c r="H321">
        <f>HYPERLINK("https://www.wikidata.org/wiki/Q3370779", "Q3370779")</f>
        <v>0</v>
      </c>
    </row>
    <row r="322" spans="1:8">
      <c r="A322" t="s">
        <v>328</v>
      </c>
      <c r="B322" t="s">
        <v>5304</v>
      </c>
      <c r="C322" t="s">
        <v>9524</v>
      </c>
      <c r="D322" t="s">
        <v>11699</v>
      </c>
      <c r="E322" s="2">
        <v>19444</v>
      </c>
      <c r="F322">
        <f>HYPERLINK("https://www2.assemblee-nationale.fr/sycomore/fiche/(num_dept)/613", "613.0")</f>
        <v>0</v>
      </c>
      <c r="G322">
        <f>HYPERLINK("https://www.senat.fr/senateur-3eme-republique/bender_emile1125r3.html", "bender_emile1125r3")</f>
        <v>0</v>
      </c>
      <c r="H322">
        <f>HYPERLINK("https://www.wikidata.org/wiki/Q3588335", "Q3588335")</f>
        <v>0</v>
      </c>
    </row>
    <row r="323" spans="1:8">
      <c r="A323" t="s">
        <v>329</v>
      </c>
      <c r="B323" t="s">
        <v>5305</v>
      </c>
      <c r="C323" t="s">
        <v>7754</v>
      </c>
      <c r="D323" t="s">
        <v>11700</v>
      </c>
      <c r="E323" t="s">
        <v>15858</v>
      </c>
      <c r="G323">
        <f>HYPERLINK("https://www.senat.fr/senateur-3eme-republique/benoist_louis1578r3.html", "benoist_louis1578r3")</f>
        <v>0</v>
      </c>
      <c r="H323">
        <f>HYPERLINK("https://www.wikidata.org/wiki/Q3261216", "Q3261216")</f>
        <v>0</v>
      </c>
    </row>
    <row r="324" spans="1:8">
      <c r="A324" t="s">
        <v>330</v>
      </c>
      <c r="B324" t="s">
        <v>5306</v>
      </c>
      <c r="C324" t="s">
        <v>5058</v>
      </c>
      <c r="D324" t="s">
        <v>11701</v>
      </c>
      <c r="E324" s="2">
        <v>3898</v>
      </c>
      <c r="F324">
        <f>HYPERLINK("https://www2.assemblee-nationale.fr/sycomore/fiche/(num_dept)/8168", "8168.0")</f>
        <v>0</v>
      </c>
      <c r="H324">
        <f>HYPERLINK("https://www.wikidata.org/wiki/Q15973591", "Q15973591")</f>
        <v>0</v>
      </c>
    </row>
    <row r="325" spans="1:8">
      <c r="A325" t="s">
        <v>331</v>
      </c>
      <c r="B325" t="s">
        <v>5306</v>
      </c>
      <c r="C325" t="s">
        <v>9534</v>
      </c>
      <c r="D325" t="s">
        <v>11702</v>
      </c>
      <c r="E325" s="2">
        <v>8548</v>
      </c>
      <c r="F325">
        <f>HYPERLINK("https://www2.assemblee-nationale.fr/sycomore/fiche/(num_dept)/632", "632.0")</f>
        <v>0</v>
      </c>
      <c r="H325">
        <f>HYPERLINK("https://www.wikidata.org/wiki/Q2831655", "Q2831655")</f>
        <v>0</v>
      </c>
    </row>
    <row r="326" spans="1:8">
      <c r="A326" t="s">
        <v>332</v>
      </c>
      <c r="B326" t="s">
        <v>5305</v>
      </c>
      <c r="C326" t="s">
        <v>7314</v>
      </c>
      <c r="D326" t="s">
        <v>11703</v>
      </c>
      <c r="E326" s="2">
        <v>24740</v>
      </c>
      <c r="G326">
        <f>HYPERLINK("https://www.senat.fr/senateur-3eme-republique/benoist_jacques0779r3.html", "benoist_jacques0779r3")</f>
        <v>0</v>
      </c>
      <c r="H326">
        <f>HYPERLINK("https://www.wikidata.org/wiki/Q3158233", "Q3158233")</f>
        <v>0</v>
      </c>
    </row>
    <row r="327" spans="1:8">
      <c r="A327" t="s">
        <v>333</v>
      </c>
      <c r="B327" t="s">
        <v>5307</v>
      </c>
      <c r="C327" t="s">
        <v>9535</v>
      </c>
      <c r="D327" t="s">
        <v>11704</v>
      </c>
      <c r="E327" s="2">
        <v>2232</v>
      </c>
      <c r="F327">
        <f>HYPERLINK("https://www2.assemblee-nationale.fr/sycomore/fiche/(num_dept)/636", "636.0")</f>
        <v>0</v>
      </c>
      <c r="H327">
        <f>HYPERLINK("https://www.wikidata.org/wiki/Q16025420", "Q16025420")</f>
        <v>0</v>
      </c>
    </row>
    <row r="328" spans="1:8">
      <c r="A328" t="s">
        <v>334</v>
      </c>
      <c r="B328" t="s">
        <v>5308</v>
      </c>
      <c r="C328" t="s">
        <v>7342</v>
      </c>
      <c r="D328" t="s">
        <v>11705</v>
      </c>
      <c r="E328" s="2">
        <v>7984</v>
      </c>
      <c r="G328">
        <f>HYPERLINK("https://www.senat.fr/senateur-3eme-republique/bepmale_jean0103r3.html", "bepmale_jean0103r3")</f>
        <v>0</v>
      </c>
      <c r="H328">
        <f>HYPERLINK("https://www.wikidata.org/wiki/Q3170701", "Q3170701")</f>
        <v>0</v>
      </c>
    </row>
    <row r="329" spans="1:8">
      <c r="A329" t="s">
        <v>335</v>
      </c>
      <c r="B329" t="s">
        <v>5309</v>
      </c>
      <c r="C329" t="s">
        <v>9536</v>
      </c>
      <c r="D329" t="s">
        <v>11706</v>
      </c>
      <c r="E329" s="2">
        <v>7984</v>
      </c>
      <c r="F329">
        <f>HYPERLINK("https://www2.assemblee-nationale.fr/sycomore/fiche/(num_dept)/642", "642.0")</f>
        <v>0</v>
      </c>
      <c r="H329">
        <f>HYPERLINK("https://www.wikidata.org/wiki/Q3170701", "Q3170701")</f>
        <v>0</v>
      </c>
    </row>
    <row r="330" spans="1:8">
      <c r="A330" t="s">
        <v>336</v>
      </c>
      <c r="B330" t="s">
        <v>5310</v>
      </c>
      <c r="C330" t="s">
        <v>9537</v>
      </c>
      <c r="D330" t="s">
        <v>11707</v>
      </c>
      <c r="E330" s="2">
        <v>3233</v>
      </c>
      <c r="G330">
        <f>HYPERLINK("https://www.senat.fr/senateur-3eme-republique/beral_eloi0609r3.html", "beral_eloi0609r3")</f>
        <v>0</v>
      </c>
      <c r="H330">
        <f>HYPERLINK("https://www.wikidata.org/wiki/Q3051624", "Q3051624")</f>
        <v>0</v>
      </c>
    </row>
    <row r="331" spans="1:8">
      <c r="A331" t="s">
        <v>337</v>
      </c>
      <c r="B331" t="s">
        <v>5311</v>
      </c>
      <c r="C331" t="s">
        <v>8384</v>
      </c>
      <c r="D331" t="s">
        <v>11708</v>
      </c>
      <c r="E331" s="2">
        <v>1109</v>
      </c>
      <c r="G331">
        <f>HYPERLINK("https://www.senat.fr/senateur-3eme-republique/beraldi_pierre0256r3.html", "beraldi_pierre0256r3")</f>
        <v>0</v>
      </c>
      <c r="H331">
        <f>HYPERLINK("https://www.wikidata.org/wiki/Q3383259", "Q3383259")</f>
        <v>0</v>
      </c>
    </row>
    <row r="332" spans="1:8">
      <c r="A332" t="s">
        <v>338</v>
      </c>
      <c r="B332" t="s">
        <v>5312</v>
      </c>
      <c r="C332" t="s">
        <v>9429</v>
      </c>
      <c r="D332" t="s">
        <v>11709</v>
      </c>
      <c r="E332" s="2">
        <v>8511</v>
      </c>
      <c r="G332">
        <f>HYPERLINK("https://www.senat.fr/senateur-3eme-republique/berard_alexandre0019r3.html", "berard_alexandre0019r3")</f>
        <v>0</v>
      </c>
      <c r="H332">
        <f>HYPERLINK("https://www.wikidata.org/wiki/Q2833511", "Q2833511")</f>
        <v>0</v>
      </c>
    </row>
    <row r="333" spans="1:8">
      <c r="A333" t="s">
        <v>339</v>
      </c>
      <c r="B333" t="s">
        <v>5312</v>
      </c>
      <c r="C333" t="s">
        <v>9438</v>
      </c>
      <c r="D333" t="s">
        <v>11710</v>
      </c>
      <c r="E333" s="2">
        <v>11640</v>
      </c>
      <c r="G333">
        <f>HYPERLINK("https://www.senat.fr/senateur-3eme-republique/berard_victor0445r3.html", "berard_victor0445r3")</f>
        <v>0</v>
      </c>
      <c r="H333">
        <f>HYPERLINK("https://www.wikidata.org/wiki/Q2484224", "Q2484224")</f>
        <v>0</v>
      </c>
    </row>
    <row r="334" spans="1:8">
      <c r="A334" t="s">
        <v>340</v>
      </c>
      <c r="B334" t="s">
        <v>5312</v>
      </c>
      <c r="C334" t="s">
        <v>7782</v>
      </c>
      <c r="D334" t="s">
        <v>11711</v>
      </c>
      <c r="E334" s="2">
        <v>21971</v>
      </c>
      <c r="G334">
        <f>HYPERLINK("https://www.senat.fr/senateur-3eme-republique/berard_leon1053r3.html", "berard_leon1053r3")</f>
        <v>0</v>
      </c>
      <c r="H334">
        <f>HYPERLINK("https://www.wikidata.org/wiki/Q716823", "Q716823")</f>
        <v>0</v>
      </c>
    </row>
    <row r="335" spans="1:8">
      <c r="A335" t="s">
        <v>341</v>
      </c>
      <c r="B335" t="s">
        <v>5313</v>
      </c>
      <c r="C335" t="s">
        <v>9337</v>
      </c>
      <c r="D335" t="s">
        <v>11712</v>
      </c>
      <c r="E335" s="2">
        <v>1860</v>
      </c>
      <c r="G335">
        <f>HYPERLINK("https://www.senat.fr/senateur-3eme-republique/beraud_auguste1703r3.html", "beraud_auguste1703r3")</f>
        <v>0</v>
      </c>
      <c r="H335">
        <f>HYPERLINK("https://www.wikidata.org/wiki/Q2871095", "Q2871095")</f>
        <v>0</v>
      </c>
    </row>
    <row r="336" spans="1:8">
      <c r="A336" t="s">
        <v>342</v>
      </c>
      <c r="B336" t="s">
        <v>5314</v>
      </c>
      <c r="C336" t="s">
        <v>9538</v>
      </c>
      <c r="D336" t="s">
        <v>11713</v>
      </c>
      <c r="E336" s="2">
        <v>2093</v>
      </c>
      <c r="F336">
        <f>HYPERLINK("https://www2.assemblee-nationale.fr/sycomore/fiche/(num_dept)/654", "654.0")</f>
        <v>0</v>
      </c>
      <c r="G336">
        <f>HYPERLINK("https://www.senat.fr/senateur-3eme-republique/berdoly_martial1057r3.html", "berdoly_martial1057r3")</f>
        <v>0</v>
      </c>
      <c r="H336">
        <f>HYPERLINK("https://www.wikidata.org/wiki/Q733735", "Q733735")</f>
        <v>0</v>
      </c>
    </row>
    <row r="337" spans="1:8">
      <c r="A337" t="s">
        <v>343</v>
      </c>
      <c r="B337" t="s">
        <v>5315</v>
      </c>
      <c r="C337" t="s">
        <v>9355</v>
      </c>
      <c r="D337" t="s">
        <v>11714</v>
      </c>
      <c r="E337" s="2">
        <v>4821</v>
      </c>
      <c r="G337">
        <f>HYPERLINK("https://www.senat.fr/senateur-3eme-republique/berenger_charles0122r3.html", "berenger_charles0122r3")</f>
        <v>0</v>
      </c>
      <c r="H337">
        <f>HYPERLINK("https://www.wikidata.org/wiki/Q2373686", "Q2373686")</f>
        <v>0</v>
      </c>
    </row>
    <row r="338" spans="1:8">
      <c r="A338" t="s">
        <v>344</v>
      </c>
      <c r="B338" t="s">
        <v>5315</v>
      </c>
      <c r="C338" t="s">
        <v>9320</v>
      </c>
      <c r="D338" t="s">
        <v>11715</v>
      </c>
      <c r="E338" s="2">
        <v>5720</v>
      </c>
      <c r="G338">
        <f>HYPERLINK("https://www.senat.fr/senateur-3eme-republique/berenger_rene1434r3.html", "berenger_rene1434r3")</f>
        <v>0</v>
      </c>
      <c r="H338">
        <f>HYPERLINK("https://www.wikidata.org/wiki/Q3425950", "Q3425950")</f>
        <v>0</v>
      </c>
    </row>
    <row r="339" spans="1:8">
      <c r="A339" t="s">
        <v>345</v>
      </c>
      <c r="B339" t="s">
        <v>5315</v>
      </c>
      <c r="C339" t="s">
        <v>7233</v>
      </c>
      <c r="D339" t="s">
        <v>11716</v>
      </c>
      <c r="E339" s="2">
        <v>19132</v>
      </c>
      <c r="G339">
        <f>HYPERLINK("https://www.senat.fr/senateur-3eme-republique/berenger_henry0845r3.html", "berenger_henry0845r3")</f>
        <v>0</v>
      </c>
      <c r="H339">
        <f>HYPERLINK("https://www.wikidata.org/wiki/Q377169", "Q377169")</f>
        <v>0</v>
      </c>
    </row>
    <row r="340" spans="1:8">
      <c r="A340" t="s">
        <v>346</v>
      </c>
      <c r="B340" t="s">
        <v>5316</v>
      </c>
      <c r="C340" t="s">
        <v>9539</v>
      </c>
      <c r="D340" t="s">
        <v>11717</v>
      </c>
      <c r="E340" t="s">
        <v>15859</v>
      </c>
      <c r="F340">
        <f>HYPERLINK("https://www2.assemblee-nationale.fr/sycomore/fiche/(num_dept)/17832", "17832.0")</f>
        <v>0</v>
      </c>
      <c r="H340">
        <f>HYPERLINK("https://www.wikidata.org/wiki/Q2831379", "Q2831379")</f>
        <v>0</v>
      </c>
    </row>
    <row r="341" spans="1:8">
      <c r="A341" t="s">
        <v>347</v>
      </c>
      <c r="B341" t="s">
        <v>5317</v>
      </c>
      <c r="C341" t="s">
        <v>9524</v>
      </c>
      <c r="D341" t="s">
        <v>11718</v>
      </c>
      <c r="G341">
        <f>HYPERLINK("https://www.senat.fr/senateur-3eme-republique/bergeon_emile1621r3.html", "bergeon_emile1621r3")</f>
        <v>0</v>
      </c>
      <c r="H341">
        <f>HYPERLINK("https://www.wikidata.org/wiki/Q3588338", "Q3588338")</f>
        <v>0</v>
      </c>
    </row>
    <row r="342" spans="1:8">
      <c r="A342" t="s">
        <v>348</v>
      </c>
      <c r="B342" t="s">
        <v>5318</v>
      </c>
      <c r="C342" t="s">
        <v>9540</v>
      </c>
      <c r="D342" t="s">
        <v>11719</v>
      </c>
      <c r="E342" s="2">
        <v>17361</v>
      </c>
      <c r="F342">
        <f>HYPERLINK("https://www2.assemblee-nationale.fr/sycomore/fiche/(num_dept)/662", "662.0")</f>
        <v>0</v>
      </c>
      <c r="G342">
        <f>HYPERLINK("https://www.senat.fr/senateur-3eme-republique/bergeon_benoit0324r3.html", "bergeon_benoit0324r3")</f>
        <v>0</v>
      </c>
      <c r="H342">
        <f>HYPERLINK("https://www.wikidata.org/wiki/Q818101", "Q818101")</f>
        <v>0</v>
      </c>
    </row>
    <row r="343" spans="1:8">
      <c r="A343" t="s">
        <v>349</v>
      </c>
      <c r="B343" t="s">
        <v>5319</v>
      </c>
      <c r="C343" t="s">
        <v>9541</v>
      </c>
      <c r="D343" t="s">
        <v>11720</v>
      </c>
      <c r="E343" s="2">
        <v>1141</v>
      </c>
      <c r="F343">
        <f>HYPERLINK("https://www2.assemblee-nationale.fr/sycomore/fiche/(num_dept)/663", "663.0")</f>
        <v>0</v>
      </c>
      <c r="H343">
        <f>HYPERLINK("https://www.wikidata.org/wiki/Q8307059", "Q8307059")</f>
        <v>0</v>
      </c>
    </row>
    <row r="344" spans="1:8">
      <c r="A344" t="s">
        <v>350</v>
      </c>
      <c r="B344" t="s">
        <v>5319</v>
      </c>
      <c r="C344" t="s">
        <v>9542</v>
      </c>
      <c r="D344" t="s">
        <v>11721</v>
      </c>
      <c r="E344" s="2">
        <v>3842</v>
      </c>
      <c r="F344">
        <f>HYPERLINK("https://www2.assemblee-nationale.fr/sycomore/fiche/(num_dept)/664", "664.0")</f>
        <v>0</v>
      </c>
      <c r="H344">
        <f>HYPERLINK("https://www.wikidata.org/wiki/Q13080880", "Q13080880")</f>
        <v>0</v>
      </c>
    </row>
    <row r="345" spans="1:8">
      <c r="A345" t="s">
        <v>351</v>
      </c>
      <c r="B345" t="s">
        <v>5320</v>
      </c>
      <c r="C345" t="s">
        <v>8370</v>
      </c>
      <c r="D345" t="s">
        <v>11722</v>
      </c>
      <c r="E345" s="2">
        <v>4466</v>
      </c>
      <c r="G345">
        <f>HYPERLINK("https://www.senat.fr/senateur-3eme-republique/berger_philippe1818r3.html", "berger_philippe1818r3")</f>
        <v>0</v>
      </c>
      <c r="H345">
        <f>HYPERLINK("https://www.wikidata.org/wiki/Q3379328", "Q3379328")</f>
        <v>0</v>
      </c>
    </row>
    <row r="346" spans="1:8">
      <c r="A346" t="s">
        <v>352</v>
      </c>
      <c r="B346" t="s">
        <v>5319</v>
      </c>
      <c r="C346" t="s">
        <v>9543</v>
      </c>
      <c r="D346" t="s">
        <v>11723</v>
      </c>
      <c r="E346" s="2">
        <v>101</v>
      </c>
      <c r="F346">
        <f>HYPERLINK("https://www2.assemblee-nationale.fr/sycomore/fiche/(num_dept)/7898", "7898.0")</f>
        <v>0</v>
      </c>
      <c r="H346">
        <f>HYPERLINK("https://www.wikidata.org/wiki/Q21581605", "Q21581605")</f>
        <v>0</v>
      </c>
    </row>
    <row r="347" spans="1:8">
      <c r="A347" t="s">
        <v>353</v>
      </c>
      <c r="B347" t="s">
        <v>5319</v>
      </c>
      <c r="C347" t="s">
        <v>9544</v>
      </c>
      <c r="D347" t="s">
        <v>11724</v>
      </c>
      <c r="E347" s="2">
        <v>11947</v>
      </c>
      <c r="F347">
        <f>HYPERLINK("https://www2.assemblee-nationale.fr/sycomore/fiche/(num_dept)/668", "668.0")</f>
        <v>0</v>
      </c>
      <c r="G347">
        <f>HYPERLINK("https://www.senat.fr/senateur-3eme-republique/berger_pierre0378r3.html", "berger_pierre0378r3")</f>
        <v>0</v>
      </c>
      <c r="H347">
        <f>HYPERLINK("https://www.wikidata.org/wiki/Q3383934", "Q3383934")</f>
        <v>0</v>
      </c>
    </row>
    <row r="348" spans="1:8">
      <c r="A348" t="s">
        <v>354</v>
      </c>
      <c r="B348" t="s">
        <v>5319</v>
      </c>
      <c r="C348" t="s">
        <v>9478</v>
      </c>
      <c r="D348" t="s">
        <v>11725</v>
      </c>
      <c r="E348" s="2">
        <v>14454</v>
      </c>
      <c r="F348">
        <f>HYPERLINK("https://www2.assemblee-nationale.fr/sycomore/fiche/(num_dept)/667", "667.0")</f>
        <v>0</v>
      </c>
      <c r="H348">
        <f>HYPERLINK("https://www.wikidata.org/wiki/Q3300391", "Q3300391")</f>
        <v>0</v>
      </c>
    </row>
    <row r="349" spans="1:8">
      <c r="A349" t="s">
        <v>355</v>
      </c>
      <c r="B349" t="s">
        <v>5321</v>
      </c>
      <c r="C349" t="s">
        <v>9545</v>
      </c>
      <c r="D349" t="s">
        <v>11726</v>
      </c>
      <c r="E349" s="2">
        <v>4426</v>
      </c>
      <c r="F349">
        <f>HYPERLINK("https://www2.assemblee-nationale.fr/sycomore/fiche/(num_dept)/670", "670.0")</f>
        <v>0</v>
      </c>
      <c r="H349">
        <f>HYPERLINK("https://www.wikidata.org/wiki/Q15973639", "Q15973639")</f>
        <v>0</v>
      </c>
    </row>
    <row r="350" spans="1:8">
      <c r="A350" t="s">
        <v>356</v>
      </c>
      <c r="B350" t="s">
        <v>5321</v>
      </c>
      <c r="C350" t="s">
        <v>9546</v>
      </c>
      <c r="D350" t="s">
        <v>11727</v>
      </c>
      <c r="E350" s="2">
        <v>15039</v>
      </c>
      <c r="F350">
        <f>HYPERLINK("https://www2.assemblee-nationale.fr/sycomore/fiche/(num_dept)/671", "671.0")</f>
        <v>0</v>
      </c>
      <c r="H350">
        <f>HYPERLINK("https://www.wikidata.org/wiki/Q15973654", "Q15973654")</f>
        <v>0</v>
      </c>
    </row>
    <row r="351" spans="1:8">
      <c r="A351" t="s">
        <v>357</v>
      </c>
      <c r="B351" t="s">
        <v>5322</v>
      </c>
      <c r="C351" t="s">
        <v>9512</v>
      </c>
      <c r="D351" t="s">
        <v>11728</v>
      </c>
      <c r="E351" s="2">
        <v>27070</v>
      </c>
      <c r="F351">
        <f>HYPERLINK("https://www2.assemblee-nationale.fr/sycomore/fiche/(num_dept)/672", "672.0")</f>
        <v>0</v>
      </c>
      <c r="H351">
        <f>HYPERLINK("https://www.wikidata.org/wiki/Q3098916", "Q3098916")</f>
        <v>0</v>
      </c>
    </row>
    <row r="352" spans="1:8">
      <c r="A352" t="s">
        <v>358</v>
      </c>
      <c r="B352" t="s">
        <v>5323</v>
      </c>
      <c r="C352" t="s">
        <v>9547</v>
      </c>
      <c r="D352" t="s">
        <v>11729</v>
      </c>
      <c r="E352" s="2">
        <v>18628</v>
      </c>
      <c r="F352">
        <f>HYPERLINK("https://www2.assemblee-nationale.fr/sycomore/fiche/(num_dept)/673", "673.0")</f>
        <v>0</v>
      </c>
      <c r="H352">
        <f>HYPERLINK("https://www.wikidata.org/wiki/Q15973659", "Q15973659")</f>
        <v>0</v>
      </c>
    </row>
    <row r="353" spans="1:8">
      <c r="A353" t="s">
        <v>359</v>
      </c>
      <c r="B353" t="s">
        <v>5324</v>
      </c>
      <c r="C353" t="s">
        <v>9482</v>
      </c>
      <c r="D353" t="s">
        <v>11730</v>
      </c>
      <c r="E353" t="s">
        <v>15860</v>
      </c>
      <c r="F353">
        <f>HYPERLINK("https://www2.assemblee-nationale.fr/sycomore/fiche/(num_dept)/674", "674.0")</f>
        <v>0</v>
      </c>
      <c r="G353">
        <f>HYPERLINK("https://www.senat.fr/senateur-3eme-republique/berlet_albert0929r3.html", "berlet_albert0929r3")</f>
        <v>0</v>
      </c>
      <c r="H353">
        <f>HYPERLINK("https://www.wikidata.org/wiki/Q2384848", "Q2384848")</f>
        <v>0</v>
      </c>
    </row>
    <row r="354" spans="1:8">
      <c r="A354" t="s">
        <v>360</v>
      </c>
      <c r="B354" t="s">
        <v>5325</v>
      </c>
      <c r="C354" t="s">
        <v>9524</v>
      </c>
      <c r="D354" t="s">
        <v>11731</v>
      </c>
      <c r="E354" s="2">
        <v>17027</v>
      </c>
      <c r="F354">
        <f>HYPERLINK("https://www2.assemblee-nationale.fr/sycomore/fiche/(num_dept)/675", "675.0")</f>
        <v>0</v>
      </c>
      <c r="H354">
        <f>HYPERLINK("https://www.wikidata.org/wiki/Q3588339", "Q3588339")</f>
        <v>0</v>
      </c>
    </row>
    <row r="355" spans="1:8">
      <c r="A355" t="s">
        <v>361</v>
      </c>
      <c r="B355" t="s">
        <v>5326</v>
      </c>
      <c r="C355" t="s">
        <v>9548</v>
      </c>
      <c r="D355" t="s">
        <v>11732</v>
      </c>
      <c r="E355" s="2">
        <v>9737</v>
      </c>
      <c r="F355">
        <f>HYPERLINK("https://www2.assemblee-nationale.fr/sycomore/fiche/(num_dept)/676", "676.0")</f>
        <v>0</v>
      </c>
      <c r="H355">
        <f>HYPERLINK("https://www.wikidata.org/wiki/Q15973656", "Q15973656")</f>
        <v>0</v>
      </c>
    </row>
    <row r="356" spans="1:8">
      <c r="A356" t="s">
        <v>362</v>
      </c>
      <c r="B356" t="s">
        <v>5327</v>
      </c>
      <c r="C356" t="s">
        <v>9549</v>
      </c>
      <c r="D356" t="s">
        <v>11733</v>
      </c>
      <c r="E356" s="2">
        <v>12363</v>
      </c>
      <c r="F356">
        <f>HYPERLINK("https://www2.assemblee-nationale.fr/sycomore/fiche/(num_dept)/679", "679.0")</f>
        <v>0</v>
      </c>
      <c r="H356">
        <f>HYPERLINK("https://www.wikidata.org/wiki/Q15973664", "Q15973664")</f>
        <v>0</v>
      </c>
    </row>
    <row r="357" spans="1:8">
      <c r="A357" t="s">
        <v>363</v>
      </c>
      <c r="B357" t="s">
        <v>5328</v>
      </c>
      <c r="C357" t="s">
        <v>9430</v>
      </c>
      <c r="D357" t="s">
        <v>11734</v>
      </c>
      <c r="E357" s="2">
        <v>915</v>
      </c>
      <c r="G357">
        <f>HYPERLINK("https://www.senat.fr/senateur-3eme-republique/bernard_dutreil_paul0962r3.html", "bernard_dutreil_paul0962r3")</f>
        <v>0</v>
      </c>
      <c r="H357">
        <f>HYPERLINK("https://www.wikidata.org/wiki/Q3370616", "Q3370616")</f>
        <v>0</v>
      </c>
    </row>
    <row r="358" spans="1:8">
      <c r="A358" t="s">
        <v>364</v>
      </c>
      <c r="B358" t="s">
        <v>5329</v>
      </c>
      <c r="C358" t="s">
        <v>9337</v>
      </c>
      <c r="D358" t="s">
        <v>11735</v>
      </c>
      <c r="E358" t="s">
        <v>14437</v>
      </c>
      <c r="G358">
        <f>HYPERLINK("https://www.senat.fr/senateur-3eme-republique/bernard_auguste0936r3.html", "bernard_auguste0936r3")</f>
        <v>0</v>
      </c>
      <c r="H358">
        <f>HYPERLINK("https://www.wikidata.org/wiki/Q2871056", "Q2871056")</f>
        <v>0</v>
      </c>
    </row>
    <row r="359" spans="1:8">
      <c r="A359" t="s">
        <v>365</v>
      </c>
      <c r="B359" t="s">
        <v>5330</v>
      </c>
      <c r="C359" t="s">
        <v>9550</v>
      </c>
      <c r="D359" t="s">
        <v>11736</v>
      </c>
      <c r="E359" s="2">
        <v>1967</v>
      </c>
      <c r="F359">
        <f>HYPERLINK("https://www2.assemblee-nationale.fr/sycomore/fiche/(num_dept)/8189", "8189.0")</f>
        <v>0</v>
      </c>
      <c r="H359">
        <f>HYPERLINK("https://www.wikidata.org/wiki/Q2870998", "Q2870998")</f>
        <v>0</v>
      </c>
    </row>
    <row r="360" spans="1:8">
      <c r="A360" t="s">
        <v>366</v>
      </c>
      <c r="B360" t="s">
        <v>5330</v>
      </c>
      <c r="C360" t="s">
        <v>9551</v>
      </c>
      <c r="D360" t="s">
        <v>11737</v>
      </c>
      <c r="E360" s="2">
        <v>2899</v>
      </c>
      <c r="F360">
        <f>HYPERLINK("https://www2.assemblee-nationale.fr/sycomore/fiche/(num_dept)/685", "685.0")</f>
        <v>0</v>
      </c>
      <c r="G360">
        <f>HYPERLINK("https://www.senat.fr/senateur-3eme-republique/bernard_jean0686r3.html", "bernard_jean0686r3")</f>
        <v>0</v>
      </c>
      <c r="H360">
        <f>HYPERLINK("https://www.wikidata.org/wiki/Q3170720", "Q3170720")</f>
        <v>0</v>
      </c>
    </row>
    <row r="361" spans="1:8">
      <c r="A361" t="s">
        <v>367</v>
      </c>
      <c r="B361" t="s">
        <v>5330</v>
      </c>
      <c r="C361" t="s">
        <v>9518</v>
      </c>
      <c r="D361" t="s">
        <v>11738</v>
      </c>
      <c r="E361" s="2">
        <v>9056</v>
      </c>
      <c r="F361">
        <f>HYPERLINK("https://www2.assemblee-nationale.fr/sycomore/fiche/(num_dept)/693", "693.0")</f>
        <v>0</v>
      </c>
      <c r="H361">
        <f>HYPERLINK("https://www.wikidata.org/wiki/Q28120688", "Q28120688")</f>
        <v>0</v>
      </c>
    </row>
    <row r="362" spans="1:8">
      <c r="A362" t="s">
        <v>368</v>
      </c>
      <c r="B362" t="s">
        <v>5330</v>
      </c>
      <c r="C362" t="s">
        <v>9552</v>
      </c>
      <c r="D362" t="s">
        <v>11739</v>
      </c>
      <c r="E362" s="2">
        <v>18391</v>
      </c>
      <c r="F362">
        <f>HYPERLINK("https://www2.assemblee-nationale.fr/sycomore/fiche/(num_dept)/680", "680.0")</f>
        <v>0</v>
      </c>
      <c r="H362">
        <f>HYPERLINK("https://www.wikidata.org/wiki/Q15973658", "Q15973658")</f>
        <v>0</v>
      </c>
    </row>
    <row r="363" spans="1:8">
      <c r="A363" t="s">
        <v>369</v>
      </c>
      <c r="B363" t="s">
        <v>5330</v>
      </c>
      <c r="C363" t="s">
        <v>7942</v>
      </c>
      <c r="D363" t="s">
        <v>11740</v>
      </c>
      <c r="E363" s="2">
        <v>6128</v>
      </c>
      <c r="F363">
        <f>HYPERLINK("https://www2.assemblee-nationale.fr/sycomore/fiche/(num_dept)/690", "690.0")</f>
        <v>0</v>
      </c>
      <c r="H363">
        <f>HYPERLINK("https://www.wikidata.org/wiki/Q3300399", "Q3300399")</f>
        <v>0</v>
      </c>
    </row>
    <row r="364" spans="1:8">
      <c r="A364" t="s">
        <v>370</v>
      </c>
      <c r="B364" t="s">
        <v>5330</v>
      </c>
      <c r="C364" t="s">
        <v>7754</v>
      </c>
      <c r="D364" t="s">
        <v>11741</v>
      </c>
      <c r="E364" s="2">
        <v>20513</v>
      </c>
      <c r="F364">
        <f>HYPERLINK("https://www2.assemblee-nationale.fr/sycomore/fiche/(num_dept)/688", "688.0")</f>
        <v>0</v>
      </c>
      <c r="H364">
        <f>HYPERLINK("https://www.wikidata.org/wiki/Q3261225", "Q3261225")</f>
        <v>0</v>
      </c>
    </row>
    <row r="365" spans="1:8">
      <c r="A365" t="s">
        <v>371</v>
      </c>
      <c r="B365" t="s">
        <v>5331</v>
      </c>
      <c r="C365" t="s">
        <v>9553</v>
      </c>
      <c r="D365" t="s">
        <v>11742</v>
      </c>
      <c r="E365" s="2">
        <v>11330</v>
      </c>
      <c r="F365">
        <f>HYPERLINK("https://www2.assemblee-nationale.fr/sycomore/fiche/(num_dept)/704", "704.0")</f>
        <v>0</v>
      </c>
      <c r="H365">
        <f>HYPERLINK("https://www.wikidata.org/wiki/Q15973644", "Q15973644")</f>
        <v>0</v>
      </c>
    </row>
    <row r="366" spans="1:8">
      <c r="A366" t="s">
        <v>372</v>
      </c>
      <c r="B366" t="s">
        <v>5332</v>
      </c>
      <c r="C366" t="s">
        <v>9324</v>
      </c>
      <c r="D366" t="s">
        <v>11743</v>
      </c>
      <c r="E366" s="2">
        <v>5150</v>
      </c>
      <c r="G366">
        <f>HYPERLINK("https://www.senat.fr/senateur-3eme-republique/bernere_henri0188r3.html", "bernere_henri0188r3")</f>
        <v>0</v>
      </c>
      <c r="H366">
        <f>HYPERLINK("https://www.wikidata.org/wiki/Q3130668", "Q3130668")</f>
        <v>0</v>
      </c>
    </row>
    <row r="367" spans="1:8">
      <c r="A367" t="s">
        <v>373</v>
      </c>
      <c r="B367" t="s">
        <v>5333</v>
      </c>
      <c r="C367" t="s">
        <v>9554</v>
      </c>
      <c r="D367" t="s">
        <v>11744</v>
      </c>
      <c r="E367" s="2">
        <v>17170</v>
      </c>
      <c r="F367">
        <f>HYPERLINK("https://www2.assemblee-nationale.fr/sycomore/fiche/(num_dept)/705", "705.0")</f>
        <v>0</v>
      </c>
      <c r="H367">
        <f>HYPERLINK("https://www.wikidata.org/wiki/Q3170723", "Q3170723")</f>
        <v>0</v>
      </c>
    </row>
    <row r="368" spans="1:8">
      <c r="A368" t="s">
        <v>374</v>
      </c>
      <c r="B368" t="s">
        <v>5334</v>
      </c>
      <c r="C368" t="s">
        <v>9555</v>
      </c>
      <c r="D368" t="s">
        <v>11745</v>
      </c>
      <c r="E368" t="s">
        <v>15861</v>
      </c>
      <c r="F368">
        <f>HYPERLINK("https://www2.assemblee-nationale.fr/sycomore/fiche/(num_dept)/7899", "7899.0")</f>
        <v>0</v>
      </c>
      <c r="H368">
        <f>HYPERLINK("https://www.wikidata.org/wiki/Q11984749", "Q11984749")</f>
        <v>0</v>
      </c>
    </row>
    <row r="369" spans="1:8">
      <c r="A369" t="s">
        <v>375</v>
      </c>
      <c r="B369" t="s">
        <v>5334</v>
      </c>
      <c r="C369" t="s">
        <v>9556</v>
      </c>
      <c r="D369" t="s">
        <v>11746</v>
      </c>
      <c r="E369" s="2">
        <v>12206</v>
      </c>
      <c r="F369">
        <f>HYPERLINK("https://www2.assemblee-nationale.fr/sycomore/fiche/(num_dept)/706", "706.0")</f>
        <v>0</v>
      </c>
      <c r="H369">
        <f>HYPERLINK("https://www.wikidata.org/wiki/Q8308256", "Q8308256")</f>
        <v>0</v>
      </c>
    </row>
    <row r="370" spans="1:8">
      <c r="A370" t="s">
        <v>376</v>
      </c>
      <c r="B370" t="s">
        <v>5334</v>
      </c>
      <c r="C370" t="s">
        <v>9430</v>
      </c>
      <c r="D370" t="s">
        <v>11747</v>
      </c>
      <c r="E370" s="2">
        <v>21052</v>
      </c>
      <c r="H370">
        <f>HYPERLINK("https://www.wikidata.org/wiki/Q3370621", "Q3370621")</f>
        <v>0</v>
      </c>
    </row>
    <row r="371" spans="1:8">
      <c r="A371" t="s">
        <v>377</v>
      </c>
      <c r="B371" t="s">
        <v>5334</v>
      </c>
      <c r="C371" t="s">
        <v>9557</v>
      </c>
      <c r="D371" t="s">
        <v>11748</v>
      </c>
      <c r="E371" s="2">
        <v>21052</v>
      </c>
      <c r="F371">
        <f>HYPERLINK("https://www2.assemblee-nationale.fr/sycomore/fiche/(num_dept)/707", "707.0")</f>
        <v>0</v>
      </c>
      <c r="H371">
        <f>HYPERLINK("https://www.wikidata.org/wiki/Q3370622", "Q3370622")</f>
        <v>0</v>
      </c>
    </row>
    <row r="372" spans="1:8">
      <c r="A372" t="s">
        <v>378</v>
      </c>
      <c r="B372" t="s">
        <v>5335</v>
      </c>
      <c r="C372" t="s">
        <v>9558</v>
      </c>
      <c r="D372" t="s">
        <v>11749</v>
      </c>
      <c r="E372" s="2">
        <v>10487</v>
      </c>
      <c r="F372">
        <f>HYPERLINK("https://www2.assemblee-nationale.fr/sycomore/fiche/(num_dept)/708", "708.0")</f>
        <v>0</v>
      </c>
      <c r="H372">
        <f>HYPERLINK("https://www.wikidata.org/wiki/Q15973681", "Q15973681")</f>
        <v>0</v>
      </c>
    </row>
    <row r="373" spans="1:8">
      <c r="A373" t="s">
        <v>379</v>
      </c>
      <c r="B373" t="s">
        <v>5336</v>
      </c>
      <c r="C373" t="s">
        <v>9559</v>
      </c>
      <c r="D373" t="s">
        <v>11750</v>
      </c>
      <c r="E373" s="2">
        <v>634</v>
      </c>
      <c r="F373">
        <f>HYPERLINK("https://www2.assemblee-nationale.fr/sycomore/fiche/(num_dept)/709", "709.0")</f>
        <v>0</v>
      </c>
      <c r="H373">
        <f>HYPERLINK("https://www.wikidata.org/wiki/Q8317133", "Q8317133")</f>
        <v>0</v>
      </c>
    </row>
    <row r="374" spans="1:8">
      <c r="A374" t="s">
        <v>380</v>
      </c>
      <c r="B374" t="s">
        <v>5336</v>
      </c>
      <c r="C374" t="s">
        <v>9560</v>
      </c>
      <c r="D374" t="s">
        <v>11751</v>
      </c>
      <c r="E374" s="2">
        <v>928</v>
      </c>
      <c r="F374">
        <f>HYPERLINK("https://www2.assemblee-nationale.fr/sycomore/fiche/(num_dept)/710", "710.0")</f>
        <v>0</v>
      </c>
      <c r="H374">
        <f>HYPERLINK("https://www.wikidata.org/wiki/Q3188996", "Q3188996")</f>
        <v>0</v>
      </c>
    </row>
    <row r="375" spans="1:8">
      <c r="A375" t="s">
        <v>381</v>
      </c>
      <c r="B375" t="s">
        <v>5337</v>
      </c>
      <c r="C375" t="s">
        <v>9561</v>
      </c>
      <c r="D375" t="s">
        <v>11752</v>
      </c>
      <c r="E375" s="2">
        <v>4209</v>
      </c>
      <c r="F375">
        <f>HYPERLINK("https://www2.assemblee-nationale.fr/sycomore/fiche/(num_dept)/8271", "8271.0")</f>
        <v>0</v>
      </c>
      <c r="G375">
        <f>HYPERLINK("https://www.senat.fr/senateur-3eme-republique/bernot_achille1669r3.html", "bernot_achille1669r3")</f>
        <v>0</v>
      </c>
      <c r="H375">
        <f>HYPERLINK("https://www.wikidata.org/wiki/Q2823026", "Q2823026")</f>
        <v>0</v>
      </c>
    </row>
    <row r="376" spans="1:8">
      <c r="A376" t="s">
        <v>382</v>
      </c>
      <c r="B376" t="s">
        <v>5338</v>
      </c>
      <c r="C376" t="s">
        <v>9562</v>
      </c>
      <c r="D376" t="s">
        <v>11753</v>
      </c>
      <c r="E376" s="2">
        <v>14309</v>
      </c>
      <c r="F376">
        <f>HYPERLINK("https://www2.assemblee-nationale.fr/sycomore/fiche/(num_dept)/712", "712.0")</f>
        <v>0</v>
      </c>
      <c r="H376">
        <f>HYPERLINK("https://www.wikidata.org/wiki/Q15973637", "Q15973637")</f>
        <v>0</v>
      </c>
    </row>
    <row r="377" spans="1:8">
      <c r="A377" t="s">
        <v>383</v>
      </c>
      <c r="B377" t="s">
        <v>5339</v>
      </c>
      <c r="C377" t="s">
        <v>9563</v>
      </c>
      <c r="D377" t="s">
        <v>11754</v>
      </c>
      <c r="E377" s="2">
        <v>5578</v>
      </c>
      <c r="F377">
        <f>HYPERLINK("https://www2.assemblee-nationale.fr/sycomore/fiche/(num_dept)/715", "715.0")</f>
        <v>0</v>
      </c>
      <c r="H377">
        <f>HYPERLINK("https://www.wikidata.org/wiki/Q3102282", "Q3102282")</f>
        <v>0</v>
      </c>
    </row>
    <row r="378" spans="1:8">
      <c r="A378" t="s">
        <v>384</v>
      </c>
      <c r="B378" t="s">
        <v>5340</v>
      </c>
      <c r="C378" t="s">
        <v>9430</v>
      </c>
      <c r="D378" t="s">
        <v>11755</v>
      </c>
      <c r="E378" s="2">
        <v>14850</v>
      </c>
      <c r="F378">
        <f>HYPERLINK("https://www2.assemblee-nationale.fr/sycomore/fiche/(num_dept)/716", "716.0")</f>
        <v>0</v>
      </c>
      <c r="G378">
        <f>HYPERLINK("https://www.senat.fr/senateur-3eme-republique/bersez_paul1400r3.html", "bersez_paul1400r3")</f>
        <v>0</v>
      </c>
      <c r="H378">
        <f>HYPERLINK("https://www.wikidata.org/wiki/Q3370626", "Q3370626")</f>
        <v>0</v>
      </c>
    </row>
    <row r="379" spans="1:8">
      <c r="A379" t="s">
        <v>385</v>
      </c>
      <c r="B379" t="s">
        <v>5341</v>
      </c>
      <c r="C379" t="s">
        <v>9430</v>
      </c>
      <c r="D379" t="s">
        <v>11756</v>
      </c>
      <c r="E379" t="s">
        <v>15862</v>
      </c>
      <c r="H379">
        <f>HYPERLINK("https://www.wikidata.org/wiki/Q735370", "Q735370")</f>
        <v>0</v>
      </c>
    </row>
    <row r="380" spans="1:8">
      <c r="A380" t="s">
        <v>386</v>
      </c>
      <c r="B380" t="s">
        <v>5341</v>
      </c>
      <c r="C380" t="s">
        <v>9430</v>
      </c>
      <c r="D380" t="s">
        <v>11757</v>
      </c>
      <c r="E380" t="s">
        <v>15862</v>
      </c>
      <c r="F380">
        <f>HYPERLINK("https://www2.assemblee-nationale.fr/sycomore/fiche/(num_dept)/718", "718.0")</f>
        <v>0</v>
      </c>
      <c r="H380">
        <f>HYPERLINK("https://www.wikidata.org/wiki/Q735370", "Q735370")</f>
        <v>0</v>
      </c>
    </row>
    <row r="381" spans="1:8">
      <c r="A381" t="s">
        <v>387</v>
      </c>
      <c r="B381" t="s">
        <v>5342</v>
      </c>
      <c r="C381" t="s">
        <v>9564</v>
      </c>
      <c r="D381" t="s">
        <v>11758</v>
      </c>
      <c r="E381" t="s">
        <v>15863</v>
      </c>
      <c r="G381">
        <f>HYPERLINK("https://www.senat.fr/senateur-3eme-republique/bertauld_alfred1435r3.html", "bertauld_alfred1435r3")</f>
        <v>0</v>
      </c>
      <c r="H381">
        <f>HYPERLINK("https://www.wikidata.org/wiki/Q2957921", "Q2957921")</f>
        <v>0</v>
      </c>
    </row>
    <row r="382" spans="1:8">
      <c r="A382" t="s">
        <v>388</v>
      </c>
      <c r="B382" t="s">
        <v>5343</v>
      </c>
      <c r="C382" t="s">
        <v>9565</v>
      </c>
      <c r="D382" t="s">
        <v>11759</v>
      </c>
      <c r="E382" s="2">
        <v>4158</v>
      </c>
      <c r="F382">
        <f>HYPERLINK("https://www2.assemblee-nationale.fr/sycomore/fiche/(num_dept)/720", "720.0")</f>
        <v>0</v>
      </c>
      <c r="H382">
        <f>HYPERLINK("https://www.wikidata.org/wiki/Q3300415", "Q3300415")</f>
        <v>0</v>
      </c>
    </row>
    <row r="383" spans="1:8">
      <c r="A383" t="s">
        <v>389</v>
      </c>
      <c r="B383" t="s">
        <v>5344</v>
      </c>
      <c r="C383" t="s">
        <v>9566</v>
      </c>
      <c r="D383" t="s">
        <v>11760</v>
      </c>
      <c r="E383" s="2">
        <v>11768</v>
      </c>
      <c r="F383">
        <f>HYPERLINK("https://www2.assemblee-nationale.fr/sycomore/fiche/(num_dept)/721", "721.0")</f>
        <v>0</v>
      </c>
      <c r="H383">
        <f>HYPERLINK("https://www.wikidata.org/wiki/Q8343134", "Q8343134")</f>
        <v>0</v>
      </c>
    </row>
    <row r="384" spans="1:8">
      <c r="A384" t="s">
        <v>390</v>
      </c>
      <c r="B384" t="s">
        <v>5345</v>
      </c>
      <c r="C384" t="s">
        <v>9567</v>
      </c>
      <c r="D384" t="s">
        <v>11761</v>
      </c>
      <c r="E384" s="2">
        <v>2634</v>
      </c>
      <c r="G384">
        <f>HYPERLINK("https://www.senat.fr/senateur-3eme-republique/berthelot_marcellin1436r3.html", "berthelot_marcellin1436r3")</f>
        <v>0</v>
      </c>
      <c r="H384">
        <f>HYPERLINK("https://www.wikidata.org/wiki/Q18425", "Q18425")</f>
        <v>0</v>
      </c>
    </row>
    <row r="385" spans="1:8">
      <c r="A385" t="s">
        <v>391</v>
      </c>
      <c r="B385" t="s">
        <v>5345</v>
      </c>
      <c r="C385" t="s">
        <v>9568</v>
      </c>
      <c r="D385" t="s">
        <v>11762</v>
      </c>
      <c r="E385" s="2">
        <v>14037</v>
      </c>
      <c r="F385">
        <f>HYPERLINK("https://www2.assemblee-nationale.fr/sycomore/fiche/(num_dept)/722", "722.0")</f>
        <v>0</v>
      </c>
      <c r="G385">
        <f>HYPERLINK("https://www.senat.fr/senateur-3eme-republique/berthelot_andre1417r3.html", "berthelot_andre1417r3")</f>
        <v>0</v>
      </c>
      <c r="H385">
        <f>HYPERLINK("https://www.wikidata.org/wiki/Q2847279", "Q2847279")</f>
        <v>0</v>
      </c>
    </row>
    <row r="386" spans="1:8">
      <c r="A386" t="s">
        <v>392</v>
      </c>
      <c r="B386" t="s">
        <v>5346</v>
      </c>
      <c r="C386" t="s">
        <v>9569</v>
      </c>
      <c r="D386" t="s">
        <v>11763</v>
      </c>
      <c r="E386" t="s">
        <v>15864</v>
      </c>
      <c r="F386">
        <f>HYPERLINK("https://www2.assemblee-nationale.fr/sycomore/fiche/(num_dept)/726", "726.0")</f>
        <v>0</v>
      </c>
      <c r="H386">
        <f>HYPERLINK("https://www.wikidata.org/wiki/Q15973671", "Q15973671")</f>
        <v>0</v>
      </c>
    </row>
    <row r="387" spans="1:8">
      <c r="A387" t="s">
        <v>393</v>
      </c>
      <c r="B387" t="s">
        <v>5346</v>
      </c>
      <c r="C387" t="s">
        <v>7782</v>
      </c>
      <c r="D387" t="s">
        <v>11764</v>
      </c>
      <c r="E387" s="2">
        <v>13592</v>
      </c>
      <c r="F387">
        <f>HYPERLINK("https://www2.assemblee-nationale.fr/sycomore/fiche/(num_dept)/725", "725.0")</f>
        <v>0</v>
      </c>
      <c r="H387">
        <f>HYPERLINK("https://www.wikidata.org/wiki/Q3270733", "Q3270733")</f>
        <v>0</v>
      </c>
    </row>
    <row r="388" spans="1:8">
      <c r="A388" t="s">
        <v>394</v>
      </c>
      <c r="B388" t="s">
        <v>5347</v>
      </c>
      <c r="C388" t="s">
        <v>9570</v>
      </c>
      <c r="D388" t="s">
        <v>11765</v>
      </c>
      <c r="E388" s="2">
        <v>16239</v>
      </c>
      <c r="F388">
        <f>HYPERLINK("https://www2.assemblee-nationale.fr/sycomore/fiche/(num_dept)/729", "729.0")</f>
        <v>0</v>
      </c>
      <c r="G388">
        <f>HYPERLINK("https://www.senat.fr/senateur-3eme-republique/berthod_aime0449r3.html", "berthod_aime0449r3")</f>
        <v>0</v>
      </c>
      <c r="H388">
        <f>HYPERLINK("https://www.wikidata.org/wiki/Q2825126", "Q2825126")</f>
        <v>0</v>
      </c>
    </row>
    <row r="389" spans="1:8">
      <c r="A389" t="s">
        <v>395</v>
      </c>
      <c r="B389" t="s">
        <v>5348</v>
      </c>
      <c r="C389" t="s">
        <v>9571</v>
      </c>
      <c r="D389" t="s">
        <v>11766</v>
      </c>
      <c r="E389" t="s">
        <v>15865</v>
      </c>
      <c r="F389">
        <f>HYPERLINK("https://www2.assemblee-nationale.fr/sycomore/fiche/(num_dept)/8155", "8155.0")</f>
        <v>0</v>
      </c>
      <c r="H389">
        <f>HYPERLINK("https://www.wikidata.org/wiki/Q15973655", "Q15973655")</f>
        <v>0</v>
      </c>
    </row>
    <row r="390" spans="1:8">
      <c r="A390" t="s">
        <v>396</v>
      </c>
      <c r="B390" t="s">
        <v>5349</v>
      </c>
      <c r="C390" t="s">
        <v>9337</v>
      </c>
      <c r="D390" t="s">
        <v>11767</v>
      </c>
      <c r="E390" s="2">
        <v>12063</v>
      </c>
      <c r="F390">
        <f>HYPERLINK("https://www2.assemblee-nationale.fr/sycomore/fiche/(num_dept)/736", "736.0")</f>
        <v>0</v>
      </c>
      <c r="H390">
        <f>HYPERLINK("https://www.wikidata.org/wiki/Q15973643", "Q15973643")</f>
        <v>0</v>
      </c>
    </row>
    <row r="391" spans="1:8">
      <c r="A391" t="s">
        <v>397</v>
      </c>
      <c r="B391" t="s">
        <v>5349</v>
      </c>
      <c r="C391" t="s">
        <v>9572</v>
      </c>
      <c r="D391" t="s">
        <v>11768</v>
      </c>
      <c r="E391" s="2">
        <v>25158</v>
      </c>
      <c r="F391">
        <f>HYPERLINK("https://www2.assemblee-nationale.fr/sycomore/fiche/(num_dept)/735", "735.0")</f>
        <v>0</v>
      </c>
      <c r="H391">
        <f>HYPERLINK("https://www.wikidata.org/wiki/Q13080806", "Q13080806")</f>
        <v>0</v>
      </c>
    </row>
    <row r="392" spans="1:8">
      <c r="A392" t="s">
        <v>398</v>
      </c>
      <c r="B392" t="s">
        <v>5350</v>
      </c>
      <c r="C392" t="s">
        <v>9573</v>
      </c>
      <c r="D392" t="s">
        <v>11769</v>
      </c>
      <c r="E392" s="2">
        <v>11144</v>
      </c>
      <c r="F392">
        <f>HYPERLINK("https://www2.assemblee-nationale.fr/sycomore/fiche/(num_dept)/738", "738.0")</f>
        <v>0</v>
      </c>
      <c r="G392">
        <f>HYPERLINK("https://www.senat.fr/senateur-3eme-republique/berthoulat_georges1656r3.html", "berthoulat_georges1656r3")</f>
        <v>0</v>
      </c>
      <c r="H392">
        <f>HYPERLINK("https://www.wikidata.org/wiki/Q3102285", "Q3102285")</f>
        <v>0</v>
      </c>
    </row>
    <row r="393" spans="1:8">
      <c r="A393" t="s">
        <v>399</v>
      </c>
      <c r="B393" t="s">
        <v>5351</v>
      </c>
      <c r="C393" t="s">
        <v>9355</v>
      </c>
      <c r="D393" t="s">
        <v>11770</v>
      </c>
      <c r="E393" s="2">
        <v>15503</v>
      </c>
      <c r="F393">
        <f>HYPERLINK("https://www2.assemblee-nationale.fr/sycomore/fiche/(num_dept)/727", "727.0")</f>
        <v>0</v>
      </c>
      <c r="H393">
        <f>HYPERLINK("https://www.wikidata.org/wiki/Q43364", "Q43364")</f>
        <v>0</v>
      </c>
    </row>
    <row r="394" spans="1:8">
      <c r="A394" t="s">
        <v>400</v>
      </c>
      <c r="B394" t="s">
        <v>5352</v>
      </c>
      <c r="C394" t="s">
        <v>9574</v>
      </c>
      <c r="D394" t="s">
        <v>11771</v>
      </c>
      <c r="E394" s="2">
        <v>5908</v>
      </c>
      <c r="F394">
        <f>HYPERLINK("https://www2.assemblee-nationale.fr/sycomore/fiche/(num_dept)/740", "740.0")</f>
        <v>0</v>
      </c>
      <c r="H394">
        <f>HYPERLINK("https://www.wikidata.org/wiki/Q15973642", "Q15973642")</f>
        <v>0</v>
      </c>
    </row>
    <row r="395" spans="1:8">
      <c r="A395" t="s">
        <v>401</v>
      </c>
      <c r="B395" t="s">
        <v>5353</v>
      </c>
      <c r="C395" t="s">
        <v>9471</v>
      </c>
      <c r="D395" t="s">
        <v>11772</v>
      </c>
      <c r="E395" t="s">
        <v>15866</v>
      </c>
      <c r="G395">
        <f>HYPERLINK("https://www.senat.fr/senateur-3eme-republique/bertrand_jules0364r3.html", "bertrand_jules0364r3")</f>
        <v>0</v>
      </c>
      <c r="H395">
        <f>HYPERLINK("https://www.wikidata.org/wiki/Q3188432", "Q3188432")</f>
        <v>0</v>
      </c>
    </row>
    <row r="396" spans="1:8">
      <c r="A396" t="s">
        <v>402</v>
      </c>
      <c r="B396" t="s">
        <v>5354</v>
      </c>
      <c r="C396" t="s">
        <v>9575</v>
      </c>
      <c r="D396" t="s">
        <v>11773</v>
      </c>
      <c r="E396" s="2">
        <v>10933</v>
      </c>
      <c r="F396">
        <f>HYPERLINK("https://www2.assemblee-nationale.fr/sycomore/fiche/(num_dept)/746", "746.0")</f>
        <v>0</v>
      </c>
      <c r="H396">
        <f>HYPERLINK("https://www.wikidata.org/wiki/Q15973707", "Q15973707")</f>
        <v>0</v>
      </c>
    </row>
    <row r="397" spans="1:8">
      <c r="A397" t="s">
        <v>403</v>
      </c>
      <c r="B397" t="s">
        <v>5354</v>
      </c>
      <c r="C397" t="s">
        <v>9576</v>
      </c>
      <c r="D397" t="s">
        <v>11774</v>
      </c>
      <c r="E397" s="2">
        <v>13471</v>
      </c>
      <c r="F397">
        <f>HYPERLINK("https://www2.assemblee-nationale.fr/sycomore/fiche/(num_dept)/747", "747.0")</f>
        <v>0</v>
      </c>
      <c r="H397">
        <f>HYPERLINK("https://www.wikidata.org/wiki/Q16011065", "Q16011065")</f>
        <v>0</v>
      </c>
    </row>
    <row r="398" spans="1:8">
      <c r="A398" t="s">
        <v>404</v>
      </c>
      <c r="B398" t="s">
        <v>5354</v>
      </c>
      <c r="C398" t="s">
        <v>9577</v>
      </c>
      <c r="D398" t="s">
        <v>11775</v>
      </c>
      <c r="E398" s="2">
        <v>15359</v>
      </c>
      <c r="F398">
        <f>HYPERLINK("https://www2.assemblee-nationale.fr/sycomore/fiche/(num_dept)/744", "744.0")</f>
        <v>0</v>
      </c>
      <c r="H398">
        <f>HYPERLINK("https://www.wikidata.org/wiki/Q16647483", "Q16647483")</f>
        <v>0</v>
      </c>
    </row>
    <row r="399" spans="1:8">
      <c r="A399" t="s">
        <v>405</v>
      </c>
      <c r="B399" t="s">
        <v>5354</v>
      </c>
      <c r="C399" t="s">
        <v>9578</v>
      </c>
      <c r="D399" t="s">
        <v>11776</v>
      </c>
      <c r="E399" s="2">
        <v>22622</v>
      </c>
      <c r="F399">
        <f>HYPERLINK("https://www2.assemblee-nationale.fr/sycomore/fiche/(num_dept)/748", "748.0")</f>
        <v>0</v>
      </c>
      <c r="G399">
        <f>HYPERLINK("https://www.senat.fr/senateur-3eme-republique/bertrand_williams0414r3.html", "bertrand_williams0414r3")</f>
        <v>0</v>
      </c>
      <c r="H399">
        <f>HYPERLINK("https://www.wikidata.org/wiki/Q3568432", "Q3568432")</f>
        <v>0</v>
      </c>
    </row>
    <row r="400" spans="1:8">
      <c r="A400" t="s">
        <v>406</v>
      </c>
      <c r="B400" t="s">
        <v>5354</v>
      </c>
      <c r="C400" t="s">
        <v>9579</v>
      </c>
      <c r="D400" t="s">
        <v>11777</v>
      </c>
      <c r="E400" s="2">
        <v>19737</v>
      </c>
      <c r="F400">
        <f>HYPERLINK("https://www2.assemblee-nationale.fr/sycomore/fiche/(num_dept)/741", "741.0")</f>
        <v>0</v>
      </c>
      <c r="H400">
        <f>HYPERLINK("https://www.wikidata.org/wiki/Q13080824", "Q13080824")</f>
        <v>0</v>
      </c>
    </row>
    <row r="401" spans="1:8">
      <c r="A401" t="s">
        <v>407</v>
      </c>
      <c r="B401" t="s">
        <v>5355</v>
      </c>
      <c r="C401" t="s">
        <v>9580</v>
      </c>
      <c r="D401" t="s">
        <v>11778</v>
      </c>
      <c r="E401" s="2">
        <v>19894</v>
      </c>
      <c r="F401">
        <f>HYPERLINK("https://www2.assemblee-nationale.fr/sycomore/fiche/(num_dept)/751", "751.0")</f>
        <v>0</v>
      </c>
      <c r="H401">
        <f>HYPERLINK("https://www.wikidata.org/wiki/Q15973705", "Q15973705")</f>
        <v>0</v>
      </c>
    </row>
    <row r="402" spans="1:8">
      <c r="A402" t="s">
        <v>408</v>
      </c>
      <c r="B402" t="s">
        <v>5356</v>
      </c>
      <c r="C402" t="s">
        <v>9503</v>
      </c>
      <c r="D402" t="s">
        <v>11779</v>
      </c>
      <c r="E402" s="2">
        <v>1292</v>
      </c>
      <c r="H402">
        <f>HYPERLINK("https://www.wikidata.org/wiki/Q2861771", "Q2861771")</f>
        <v>0</v>
      </c>
    </row>
    <row r="403" spans="1:8">
      <c r="A403" t="s">
        <v>409</v>
      </c>
      <c r="B403" t="s">
        <v>5357</v>
      </c>
      <c r="C403" t="s">
        <v>6888</v>
      </c>
      <c r="D403" t="s">
        <v>11780</v>
      </c>
      <c r="E403" s="2">
        <v>4886</v>
      </c>
      <c r="G403">
        <f>HYPERLINK("https://www.senat.fr/senateur-3eme-republique/besnard_felix1845r3.html", "besnard_felix1845r3")</f>
        <v>0</v>
      </c>
      <c r="H403">
        <f>HYPERLINK("https://www.wikidata.org/wiki/Q3092372", "Q3092372")</f>
        <v>0</v>
      </c>
    </row>
    <row r="404" spans="1:8">
      <c r="A404" t="s">
        <v>410</v>
      </c>
      <c r="B404" t="s">
        <v>5356</v>
      </c>
      <c r="C404" t="s">
        <v>9320</v>
      </c>
      <c r="D404" t="s">
        <v>11781</v>
      </c>
      <c r="E404" s="2">
        <v>19065</v>
      </c>
      <c r="F404">
        <f>HYPERLINK("https://www2.assemblee-nationale.fr/sycomore/fiche/(num_dept)/749", "749.0")</f>
        <v>0</v>
      </c>
      <c r="G404">
        <f>HYPERLINK("https://www.senat.fr/senateur-3eme-republique/besnard_rene0300r3.html", "besnard_rene0300r3")</f>
        <v>0</v>
      </c>
      <c r="H404">
        <f>HYPERLINK("https://www.wikidata.org/wiki/Q3425839", "Q3425839")</f>
        <v>0</v>
      </c>
    </row>
    <row r="405" spans="1:8">
      <c r="A405" t="s">
        <v>411</v>
      </c>
      <c r="B405" t="s">
        <v>5358</v>
      </c>
      <c r="C405" t="s">
        <v>9581</v>
      </c>
      <c r="D405" t="s">
        <v>11782</v>
      </c>
      <c r="E405" s="2">
        <v>17211</v>
      </c>
      <c r="F405">
        <f>HYPERLINK("https://www2.assemblee-nationale.fr/sycomore/fiche/(num_dept)/753", "753.0")</f>
        <v>0</v>
      </c>
      <c r="H405">
        <f>HYPERLINK("https://www.wikidata.org/wiki/Q3425843", "Q3425843")</f>
        <v>0</v>
      </c>
    </row>
    <row r="406" spans="1:8">
      <c r="A406" t="s">
        <v>412</v>
      </c>
      <c r="B406" t="s">
        <v>5359</v>
      </c>
      <c r="C406" t="s">
        <v>9377</v>
      </c>
      <c r="D406" t="s">
        <v>11783</v>
      </c>
      <c r="E406" s="2">
        <v>27506</v>
      </c>
      <c r="F406">
        <f>HYPERLINK("https://www2.assemblee-nationale.fr/sycomore/fiche/(num_dept)/755", "755.0")</f>
        <v>0</v>
      </c>
      <c r="H406">
        <f>HYPERLINK("https://www.wikidata.org/wiki/Q3265377", "Q3265377")</f>
        <v>0</v>
      </c>
    </row>
    <row r="407" spans="1:8">
      <c r="A407" t="s">
        <v>413</v>
      </c>
      <c r="B407" t="s">
        <v>5360</v>
      </c>
      <c r="C407" t="s">
        <v>9582</v>
      </c>
      <c r="D407" t="s">
        <v>11784</v>
      </c>
      <c r="E407" s="2">
        <v>15051</v>
      </c>
      <c r="F407">
        <f>HYPERLINK("https://www2.assemblee-nationale.fr/sycomore/fiche/(num_dept)/761", "761.0")</f>
        <v>0</v>
      </c>
      <c r="H407">
        <f>HYPERLINK("https://www.wikidata.org/wiki/Q3378916", "Q3378916")</f>
        <v>0</v>
      </c>
    </row>
    <row r="408" spans="1:8">
      <c r="A408" t="s">
        <v>414</v>
      </c>
      <c r="B408" t="s">
        <v>5361</v>
      </c>
      <c r="C408" t="s">
        <v>9453</v>
      </c>
      <c r="D408" t="s">
        <v>11785</v>
      </c>
      <c r="E408" s="2">
        <v>22152</v>
      </c>
      <c r="F408">
        <f>HYPERLINK("https://www2.assemblee-nationale.fr/sycomore/fiche/(num_dept)/763", "763.0")</f>
        <v>0</v>
      </c>
      <c r="H408">
        <f>HYPERLINK("https://www.wikidata.org/wiki/Q3189366", "Q3189366")</f>
        <v>0</v>
      </c>
    </row>
    <row r="409" spans="1:8">
      <c r="A409" t="s">
        <v>415</v>
      </c>
      <c r="B409" t="s">
        <v>5362</v>
      </c>
      <c r="C409" t="s">
        <v>7342</v>
      </c>
      <c r="D409" t="s">
        <v>11786</v>
      </c>
      <c r="E409" s="2">
        <v>19663</v>
      </c>
      <c r="G409">
        <f>HYPERLINK("https://www.senat.fr/senateur-3eme-republique/betfert_jean0589r3.html", "betfert_jean0589r3")</f>
        <v>0</v>
      </c>
      <c r="H409">
        <f>HYPERLINK("https://www.wikidata.org/wiki/Q3383982", "Q3383982")</f>
        <v>0</v>
      </c>
    </row>
    <row r="410" spans="1:8">
      <c r="A410" t="s">
        <v>416</v>
      </c>
      <c r="B410" t="s">
        <v>5363</v>
      </c>
      <c r="C410" t="s">
        <v>9583</v>
      </c>
      <c r="D410" t="s">
        <v>11787</v>
      </c>
      <c r="E410" t="s">
        <v>15867</v>
      </c>
      <c r="F410">
        <f>HYPERLINK("https://www2.assemblee-nationale.fr/sycomore/fiche/(num_dept)/765", "765.0")</f>
        <v>0</v>
      </c>
      <c r="H410">
        <f>HYPERLINK("https://www.wikidata.org/wiki/Q3371718", "Q3371718")</f>
        <v>0</v>
      </c>
    </row>
    <row r="411" spans="1:8">
      <c r="A411" t="s">
        <v>417</v>
      </c>
      <c r="B411" t="s">
        <v>5364</v>
      </c>
      <c r="C411" t="s">
        <v>7782</v>
      </c>
      <c r="D411" t="s">
        <v>11788</v>
      </c>
      <c r="E411" s="2">
        <v>20789</v>
      </c>
      <c r="F411">
        <f>HYPERLINK("https://www2.assemblee-nationale.fr/sycomore/fiche/(num_dept)/768", "768.0")</f>
        <v>0</v>
      </c>
      <c r="G411">
        <f>HYPERLINK("https://www.senat.fr/senateur-3eme-republique/betoulle_leon1788r3.html", "betoulle_leon1788r3")</f>
        <v>0</v>
      </c>
      <c r="H411">
        <f>HYPERLINK("https://www.wikidata.org/wiki/Q3270743", "Q3270743")</f>
        <v>0</v>
      </c>
    </row>
    <row r="412" spans="1:8">
      <c r="A412" t="s">
        <v>418</v>
      </c>
      <c r="B412" t="s">
        <v>5365</v>
      </c>
      <c r="C412" t="s">
        <v>9430</v>
      </c>
      <c r="D412" t="s">
        <v>11789</v>
      </c>
      <c r="E412" t="s">
        <v>15868</v>
      </c>
      <c r="F412">
        <f>HYPERLINK("https://www2.assemblee-nationale.fr/sycomore/fiche/(num_dept)/776", "776.0")</f>
        <v>0</v>
      </c>
      <c r="H412">
        <f>HYPERLINK("https://www.wikidata.org/wiki/Q16025421", "Q16025421")</f>
        <v>0</v>
      </c>
    </row>
    <row r="413" spans="1:8">
      <c r="A413" t="s">
        <v>419</v>
      </c>
      <c r="B413" t="s">
        <v>5366</v>
      </c>
      <c r="C413" t="s">
        <v>9430</v>
      </c>
      <c r="D413" t="s">
        <v>11790</v>
      </c>
      <c r="E413" s="2">
        <v>3536</v>
      </c>
      <c r="G413">
        <f>HYPERLINK("https://www.senat.fr/senateur-3eme-republique/bezine_paul1849r3.html", "bezine_paul1849r3")</f>
        <v>0</v>
      </c>
      <c r="H413">
        <f>HYPERLINK("https://www.wikidata.org/wiki/Q3370642", "Q3370642")</f>
        <v>0</v>
      </c>
    </row>
    <row r="414" spans="1:8">
      <c r="A414" t="s">
        <v>420</v>
      </c>
      <c r="B414" t="s">
        <v>5367</v>
      </c>
      <c r="C414" t="s">
        <v>9584</v>
      </c>
      <c r="D414" t="s">
        <v>11791</v>
      </c>
      <c r="E414" s="2">
        <v>18407</v>
      </c>
      <c r="F414">
        <f>HYPERLINK("https://www2.assemblee-nationale.fr/sycomore/fiche/(num_dept)/782", "782.0")</f>
        <v>0</v>
      </c>
      <c r="H414">
        <f>HYPERLINK("https://www.wikidata.org/wiki/Q3302423", "Q3302423")</f>
        <v>0</v>
      </c>
    </row>
    <row r="415" spans="1:8">
      <c r="A415" t="s">
        <v>421</v>
      </c>
      <c r="B415" t="s">
        <v>5368</v>
      </c>
      <c r="C415" t="s">
        <v>8384</v>
      </c>
      <c r="D415" t="s">
        <v>11792</v>
      </c>
      <c r="E415" s="2">
        <v>5663</v>
      </c>
      <c r="F415">
        <f>HYPERLINK("https://www2.assemblee-nationale.fr/sycomore/fiche/(num_dept)/786", "786.0")</f>
        <v>0</v>
      </c>
      <c r="H415">
        <f>HYPERLINK("https://www.wikidata.org/wiki/Q2871060", "Q2871060")</f>
        <v>0</v>
      </c>
    </row>
    <row r="416" spans="1:8">
      <c r="A416" t="s">
        <v>422</v>
      </c>
      <c r="B416" t="s">
        <v>5369</v>
      </c>
      <c r="C416" t="s">
        <v>9355</v>
      </c>
      <c r="D416" t="s">
        <v>11793</v>
      </c>
      <c r="E416" s="2">
        <v>6263</v>
      </c>
      <c r="G416">
        <f>HYPERLINK("https://www.senat.fr/senateur-3eme-republique/bidault_charles0308r3.html", "bidault_charles0308r3")</f>
        <v>0</v>
      </c>
      <c r="H416">
        <f>HYPERLINK("https://www.wikidata.org/wiki/Q2958551", "Q2958551")</f>
        <v>0</v>
      </c>
    </row>
    <row r="417" spans="1:8">
      <c r="A417" t="s">
        <v>423</v>
      </c>
      <c r="B417" t="s">
        <v>5370</v>
      </c>
      <c r="C417" t="s">
        <v>9585</v>
      </c>
      <c r="D417" t="s">
        <v>11794</v>
      </c>
      <c r="E417" s="2">
        <v>11033</v>
      </c>
      <c r="F417">
        <f>HYPERLINK("https://www2.assemblee-nationale.fr/sycomore/fiche/(num_dept)/789", "789.0")</f>
        <v>0</v>
      </c>
      <c r="H417">
        <f>HYPERLINK("https://www.wikidata.org/wiki/Q2844627", "Q2844627")</f>
        <v>0</v>
      </c>
    </row>
    <row r="418" spans="1:8">
      <c r="A418" t="s">
        <v>424</v>
      </c>
      <c r="B418" t="s">
        <v>5371</v>
      </c>
      <c r="C418" t="s">
        <v>9312</v>
      </c>
      <c r="D418" t="s">
        <v>11795</v>
      </c>
      <c r="E418" s="2">
        <v>16050</v>
      </c>
      <c r="F418">
        <f>HYPERLINK("https://www2.assemblee-nationale.fr/sycomore/fiche/(num_dept)/790", "790.0")</f>
        <v>0</v>
      </c>
      <c r="G418">
        <f>HYPERLINK("https://www.senat.fr/senateur-3eme-republique/bienvenu_martin_jean_baptiste1840r3.html", "bienvenu_martin_jean_baptiste1840r3")</f>
        <v>0</v>
      </c>
      <c r="H418">
        <f>HYPERLINK("https://www.wikidata.org/wiki/Q325552", "Q325552")</f>
        <v>0</v>
      </c>
    </row>
    <row r="419" spans="1:8">
      <c r="A419" t="s">
        <v>425</v>
      </c>
      <c r="B419" t="s">
        <v>5372</v>
      </c>
      <c r="C419" t="s">
        <v>9586</v>
      </c>
      <c r="D419" t="s">
        <v>11796</v>
      </c>
      <c r="E419" s="2">
        <v>5011</v>
      </c>
      <c r="F419">
        <f>HYPERLINK("https://www2.assemblee-nationale.fr/sycomore/fiche/(num_dept)/8283", "8283.0")</f>
        <v>0</v>
      </c>
      <c r="H419">
        <f>HYPERLINK("https://www.wikidata.org/wiki/Q17634506", "Q17634506")</f>
        <v>0</v>
      </c>
    </row>
    <row r="420" spans="1:8">
      <c r="A420" t="s">
        <v>426</v>
      </c>
      <c r="B420" t="s">
        <v>5373</v>
      </c>
      <c r="C420" t="s">
        <v>9587</v>
      </c>
      <c r="D420" t="s">
        <v>11797</v>
      </c>
      <c r="E420" s="2">
        <v>11712</v>
      </c>
      <c r="F420">
        <f>HYPERLINK("https://www2.assemblee-nationale.fr/sycomore/fiche/(num_dept)/799", "799.0")</f>
        <v>0</v>
      </c>
      <c r="G420">
        <f>HYPERLINK("https://www.senat.fr/senateur-3eme-republique/bignon_paul1577r3.html", "bignon_paul1577r3")</f>
        <v>0</v>
      </c>
      <c r="H420">
        <f>HYPERLINK("https://www.wikidata.org/wiki/Q3370646", "Q3370646")</f>
        <v>0</v>
      </c>
    </row>
    <row r="421" spans="1:8">
      <c r="A421" t="s">
        <v>427</v>
      </c>
      <c r="B421" t="s">
        <v>5374</v>
      </c>
      <c r="C421" t="s">
        <v>9588</v>
      </c>
      <c r="D421" t="s">
        <v>11798</v>
      </c>
      <c r="E421" s="2">
        <v>5129</v>
      </c>
      <c r="F421">
        <f>HYPERLINK("https://www2.assemblee-nationale.fr/sycomore/fiche/(num_dept)/800", "800.0")</f>
        <v>0</v>
      </c>
      <c r="H421">
        <f>HYPERLINK("https://www.wikidata.org/wiki/Q15973702", "Q15973702")</f>
        <v>0</v>
      </c>
    </row>
    <row r="422" spans="1:8">
      <c r="A422" t="s">
        <v>428</v>
      </c>
      <c r="B422" t="s">
        <v>5375</v>
      </c>
      <c r="C422" t="s">
        <v>9352</v>
      </c>
      <c r="D422" t="s">
        <v>11799</v>
      </c>
      <c r="E422" s="2">
        <v>17228</v>
      </c>
      <c r="F422">
        <f>HYPERLINK("https://www2.assemblee-nationale.fr/sycomore/fiche/(num_dept)/802", "802.0")</f>
        <v>0</v>
      </c>
      <c r="H422">
        <f>HYPERLINK("https://www.wikidata.org/wiki/Q2934858", "Q2934858")</f>
        <v>0</v>
      </c>
    </row>
    <row r="423" spans="1:8">
      <c r="A423" t="s">
        <v>429</v>
      </c>
      <c r="B423" t="s">
        <v>5376</v>
      </c>
      <c r="C423" t="s">
        <v>9589</v>
      </c>
      <c r="D423" t="s">
        <v>11800</v>
      </c>
      <c r="E423" s="2">
        <v>6048</v>
      </c>
      <c r="F423">
        <f>HYPERLINK("https://www2.assemblee-nationale.fr/sycomore/fiche/(num_dept)/803", "803.0")</f>
        <v>0</v>
      </c>
      <c r="H423">
        <f>HYPERLINK("https://www.wikidata.org/wiki/Q3131443", "Q3131443")</f>
        <v>0</v>
      </c>
    </row>
    <row r="424" spans="1:8">
      <c r="A424" t="s">
        <v>430</v>
      </c>
      <c r="B424" t="s">
        <v>5377</v>
      </c>
      <c r="C424" t="s">
        <v>9332</v>
      </c>
      <c r="D424" t="s">
        <v>11801</v>
      </c>
      <c r="E424" s="2">
        <v>14325</v>
      </c>
      <c r="G424">
        <f>HYPERLINK("https://www.senat.fr/senateur-3eme-republique/billiet_ernest1330r3.html", "billiet_ernest1330r3")</f>
        <v>0</v>
      </c>
      <c r="H424">
        <f>HYPERLINK("https://www.wikidata.org/wiki/Q3056845", "Q3056845")</f>
        <v>0</v>
      </c>
    </row>
    <row r="425" spans="1:8">
      <c r="A425" t="s">
        <v>431</v>
      </c>
      <c r="B425" t="s">
        <v>5378</v>
      </c>
      <c r="C425" t="s">
        <v>9312</v>
      </c>
      <c r="D425" t="s">
        <v>11802</v>
      </c>
      <c r="E425" s="2">
        <v>2708</v>
      </c>
      <c r="G425">
        <f>HYPERLINK("https://www.senat.fr/senateur-3eme-republique/billot_jean_baptiste1437r3.html", "billot_jean_baptiste1437r3")</f>
        <v>0</v>
      </c>
      <c r="H425">
        <f>HYPERLINK("https://www.wikidata.org/wiki/Q1684617", "Q1684617")</f>
        <v>0</v>
      </c>
    </row>
    <row r="426" spans="1:8">
      <c r="A426" t="s">
        <v>432</v>
      </c>
      <c r="B426" t="s">
        <v>5379</v>
      </c>
      <c r="C426" t="s">
        <v>9590</v>
      </c>
      <c r="D426" t="s">
        <v>11803</v>
      </c>
      <c r="E426" s="2">
        <v>6008</v>
      </c>
      <c r="F426">
        <f>HYPERLINK("https://www2.assemblee-nationale.fr/sycomore/fiche/(num_dept)/3039", "3039.0")</f>
        <v>0</v>
      </c>
      <c r="H426">
        <f>HYPERLINK("https://www.wikidata.org/wiki/Q3014859", "Q3014859")</f>
        <v>0</v>
      </c>
    </row>
    <row r="427" spans="1:8">
      <c r="A427" t="s">
        <v>433</v>
      </c>
      <c r="B427" t="s">
        <v>5380</v>
      </c>
      <c r="C427" t="s">
        <v>6792</v>
      </c>
      <c r="D427" t="s">
        <v>11804</v>
      </c>
      <c r="E427" t="s">
        <v>15869</v>
      </c>
      <c r="F427">
        <f>HYPERLINK("https://www2.assemblee-nationale.fr/sycomore/fiche/(num_dept)/7900", "7900.0")</f>
        <v>0</v>
      </c>
      <c r="H427">
        <f>HYPERLINK("https://www.wikidata.org/wiki/Q3073631", "Q3073631")</f>
        <v>0</v>
      </c>
    </row>
    <row r="428" spans="1:8">
      <c r="A428" t="s">
        <v>434</v>
      </c>
      <c r="B428" t="s">
        <v>5381</v>
      </c>
      <c r="C428" t="s">
        <v>9591</v>
      </c>
      <c r="D428" t="s">
        <v>11805</v>
      </c>
      <c r="E428" s="2">
        <v>16369</v>
      </c>
      <c r="F428">
        <f>HYPERLINK("https://www2.assemblee-nationale.fr/sycomore/fiche/(num_dept)/817", "817.0")</f>
        <v>0</v>
      </c>
      <c r="H428">
        <f>HYPERLINK("https://www.wikidata.org/wiki/Q3300423", "Q3300423")</f>
        <v>0</v>
      </c>
    </row>
    <row r="429" spans="1:8">
      <c r="A429" t="s">
        <v>435</v>
      </c>
      <c r="B429" t="s">
        <v>5382</v>
      </c>
      <c r="C429" t="s">
        <v>6864</v>
      </c>
      <c r="D429" t="s">
        <v>11806</v>
      </c>
      <c r="E429" s="2">
        <v>11294</v>
      </c>
      <c r="F429">
        <f>HYPERLINK("https://www2.assemblee-nationale.fr/sycomore/fiche/(num_dept)/818", "818.0")</f>
        <v>0</v>
      </c>
      <c r="G429">
        <f>HYPERLINK("https://www.senat.fr/senateur-3eme-republique/binet_francois0648r3.html", "binet_francois0648r3")</f>
        <v>0</v>
      </c>
      <c r="H429">
        <f>HYPERLINK("https://www.wikidata.org/wiki/Q15973693", "Q15973693")</f>
        <v>0</v>
      </c>
    </row>
    <row r="430" spans="1:8">
      <c r="A430" t="s">
        <v>436</v>
      </c>
      <c r="B430" t="s">
        <v>5383</v>
      </c>
      <c r="C430" t="s">
        <v>9564</v>
      </c>
      <c r="D430" t="s">
        <v>11807</v>
      </c>
      <c r="E430" t="s">
        <v>15870</v>
      </c>
      <c r="G430">
        <f>HYPERLINK("https://www.senat.fr/senateur-3eme-republique/bire_alfred1744r3.html", "bire_alfred1744r3")</f>
        <v>0</v>
      </c>
      <c r="H430">
        <f>HYPERLINK("https://www.wikidata.org/wiki/Q2834972", "Q2834972")</f>
        <v>0</v>
      </c>
    </row>
    <row r="431" spans="1:8">
      <c r="A431" t="s">
        <v>437</v>
      </c>
      <c r="B431" t="s">
        <v>5384</v>
      </c>
      <c r="C431" t="s">
        <v>9592</v>
      </c>
      <c r="D431" t="s">
        <v>11808</v>
      </c>
      <c r="E431" s="2">
        <v>15012</v>
      </c>
      <c r="F431">
        <f>HYPERLINK("https://www2.assemblee-nationale.fr/sycomore/fiche/(num_dept)/822", "822.0")</f>
        <v>0</v>
      </c>
      <c r="H431">
        <f>HYPERLINK("https://www.wikidata.org/wiki/Q2845567", "Q2845567")</f>
        <v>0</v>
      </c>
    </row>
    <row r="432" spans="1:8">
      <c r="A432" t="s">
        <v>438</v>
      </c>
      <c r="B432" t="s">
        <v>5385</v>
      </c>
      <c r="C432" t="s">
        <v>9593</v>
      </c>
      <c r="D432" t="s">
        <v>11809</v>
      </c>
      <c r="E432" s="2">
        <v>3163</v>
      </c>
      <c r="F432">
        <f>HYPERLINK("https://www2.assemblee-nationale.fr/sycomore/fiche/(num_dept)/4186", "4186.0")</f>
        <v>0</v>
      </c>
      <c r="H432">
        <f>HYPERLINK("https://www.wikidata.org/wiki/Q3491366", "Q3491366")</f>
        <v>0</v>
      </c>
    </row>
    <row r="433" spans="1:8">
      <c r="A433" t="s">
        <v>439</v>
      </c>
      <c r="B433" t="s">
        <v>5386</v>
      </c>
      <c r="C433" t="s">
        <v>9594</v>
      </c>
      <c r="D433" t="s">
        <v>11810</v>
      </c>
      <c r="E433" s="2">
        <v>2332</v>
      </c>
      <c r="F433">
        <f>HYPERLINK("https://www2.assemblee-nationale.fr/sycomore/fiche/(num_dept)/827", "827.0")</f>
        <v>0</v>
      </c>
      <c r="H433">
        <f>HYPERLINK("https://www.wikidata.org/wiki/Q3419404", "Q3419404")</f>
        <v>0</v>
      </c>
    </row>
    <row r="434" spans="1:8">
      <c r="A434" t="s">
        <v>440</v>
      </c>
      <c r="B434" t="s">
        <v>5387</v>
      </c>
      <c r="C434" t="s">
        <v>9595</v>
      </c>
      <c r="D434" t="s">
        <v>11811</v>
      </c>
      <c r="E434" s="2">
        <v>7647</v>
      </c>
      <c r="F434">
        <f>HYPERLINK("https://www2.assemblee-nationale.fr/sycomore/fiche/(num_dept)/8087", "8087.0")</f>
        <v>0</v>
      </c>
      <c r="G434">
        <f>HYPERLINK("https://www.senat.fr/senateur-3eme-republique/bisseuil_eugene0418r3.html", "bisseuil_eugene0418r3")</f>
        <v>0</v>
      </c>
      <c r="H434">
        <f>HYPERLINK("https://www.wikidata.org/wiki/Q3059728", "Q3059728")</f>
        <v>0</v>
      </c>
    </row>
    <row r="435" spans="1:8">
      <c r="A435" t="s">
        <v>441</v>
      </c>
      <c r="B435" t="s">
        <v>5388</v>
      </c>
      <c r="C435" t="s">
        <v>7754</v>
      </c>
      <c r="D435" t="s">
        <v>11812</v>
      </c>
      <c r="E435" s="2">
        <v>902</v>
      </c>
      <c r="G435">
        <f>HYPERLINK("https://www.senat.fr/senateur-3eme-republique/bizarelli_louis0715r3.html", "bizarelli_louis0715r3")</f>
        <v>0</v>
      </c>
      <c r="H435">
        <f>HYPERLINK("https://www.wikidata.org/wiki/Q3261277", "Q3261277")</f>
        <v>0</v>
      </c>
    </row>
    <row r="436" spans="1:8">
      <c r="A436" t="s">
        <v>442</v>
      </c>
      <c r="B436" t="s">
        <v>5389</v>
      </c>
      <c r="C436" t="s">
        <v>7754</v>
      </c>
      <c r="D436" t="s">
        <v>11813</v>
      </c>
      <c r="E436" s="2">
        <v>901</v>
      </c>
      <c r="F436">
        <f>HYPERLINK("https://www2.assemblee-nationale.fr/sycomore/fiche/(num_dept)/831", "831.0")</f>
        <v>0</v>
      </c>
      <c r="H436">
        <f>HYPERLINK("https://www.wikidata.org/wiki/Q3261277", "Q3261277")</f>
        <v>0</v>
      </c>
    </row>
    <row r="437" spans="1:8">
      <c r="A437" t="s">
        <v>443</v>
      </c>
      <c r="B437" t="s">
        <v>5390</v>
      </c>
      <c r="C437" t="s">
        <v>9332</v>
      </c>
      <c r="D437" t="s">
        <v>11814</v>
      </c>
      <c r="E437" s="2">
        <v>12382</v>
      </c>
      <c r="F437">
        <f>HYPERLINK("https://www2.assemblee-nationale.fr/sycomore/fiche/(num_dept)/833", "833.0")</f>
        <v>0</v>
      </c>
      <c r="H437">
        <f>HYPERLINK("https://www.wikidata.org/wiki/Q15973736", "Q15973736")</f>
        <v>0</v>
      </c>
    </row>
    <row r="438" spans="1:8">
      <c r="A438" t="s">
        <v>444</v>
      </c>
      <c r="B438" t="s">
        <v>5391</v>
      </c>
      <c r="C438" t="s">
        <v>8384</v>
      </c>
      <c r="D438" t="s">
        <v>11815</v>
      </c>
      <c r="G438">
        <f>HYPERLINK("https://www.senat.fr/senateur-3eme-republique/bizot_de_fonteny_pierre0864r3.html", "bizot_de_fonteny_pierre0864r3")</f>
        <v>0</v>
      </c>
      <c r="H438">
        <f>HYPERLINK("https://www.wikidata.org/wiki/Q3384017", "Q3384017")</f>
        <v>0</v>
      </c>
    </row>
    <row r="439" spans="1:8">
      <c r="A439" t="s">
        <v>445</v>
      </c>
      <c r="B439" t="s">
        <v>5392</v>
      </c>
      <c r="C439" t="s">
        <v>9596</v>
      </c>
      <c r="D439" t="s">
        <v>11816</v>
      </c>
      <c r="E439" s="2">
        <v>3160</v>
      </c>
      <c r="F439">
        <f>HYPERLINK("https://www2.assemblee-nationale.fr/sycomore/fiche/(num_dept)/834", "834.0")</f>
        <v>0</v>
      </c>
      <c r="H439">
        <f>HYPERLINK("https://www.wikidata.org/wiki/Q3059731", "Q3059731")</f>
        <v>0</v>
      </c>
    </row>
    <row r="440" spans="1:8">
      <c r="A440" t="s">
        <v>446</v>
      </c>
      <c r="B440" t="s">
        <v>5393</v>
      </c>
      <c r="C440" t="s">
        <v>7927</v>
      </c>
      <c r="D440" t="s">
        <v>11817</v>
      </c>
      <c r="E440" t="s">
        <v>15871</v>
      </c>
      <c r="F440">
        <f>HYPERLINK("https://www2.assemblee-nationale.fr/sycomore/fiche/(num_dept)/835", "835.0")</f>
        <v>0</v>
      </c>
      <c r="H440">
        <f>HYPERLINK("https://www.wikidata.org/wiki/Q15973752", "Q15973752")</f>
        <v>0</v>
      </c>
    </row>
    <row r="441" spans="1:8">
      <c r="A441" t="s">
        <v>447</v>
      </c>
      <c r="B441" t="s">
        <v>5394</v>
      </c>
      <c r="C441" t="s">
        <v>8384</v>
      </c>
      <c r="D441" t="s">
        <v>11818</v>
      </c>
      <c r="E441" s="2">
        <v>6912</v>
      </c>
      <c r="F441">
        <f>HYPERLINK("https://www2.assemblee-nationale.fr/sycomore/fiche/(num_dept)/794", "794.0")</f>
        <v>0</v>
      </c>
      <c r="H441">
        <f>HYPERLINK("https://www.wikidata.org/wiki/Q3384027", "Q3384027")</f>
        <v>0</v>
      </c>
    </row>
    <row r="442" spans="1:8">
      <c r="A442" t="s">
        <v>448</v>
      </c>
      <c r="B442" t="s">
        <v>5395</v>
      </c>
      <c r="C442" t="s">
        <v>9597</v>
      </c>
      <c r="D442" t="s">
        <v>11819</v>
      </c>
      <c r="E442" s="2">
        <v>10650</v>
      </c>
      <c r="F442">
        <f>HYPERLINK("https://www2.assemblee-nationale.fr/sycomore/fiche/(num_dept)/839", "839.0")</f>
        <v>0</v>
      </c>
      <c r="H442">
        <f>HYPERLINK("https://www.wikidata.org/wiki/Q15973757", "Q15973757")</f>
        <v>0</v>
      </c>
    </row>
    <row r="443" spans="1:8">
      <c r="A443" t="s">
        <v>449</v>
      </c>
      <c r="B443" t="s">
        <v>5396</v>
      </c>
      <c r="C443" t="s">
        <v>9598</v>
      </c>
      <c r="D443" t="s">
        <v>11820</v>
      </c>
      <c r="E443" s="2">
        <v>1532</v>
      </c>
      <c r="F443">
        <f>HYPERLINK("https://www2.assemblee-nationale.fr/sycomore/fiche/(num_dept)/837", "837.0")</f>
        <v>0</v>
      </c>
      <c r="H443">
        <f>HYPERLINK("https://www.wikidata.org/wiki/Q15973737", "Q15973737")</f>
        <v>0</v>
      </c>
    </row>
    <row r="444" spans="1:8">
      <c r="A444" t="s">
        <v>450</v>
      </c>
      <c r="B444" t="s">
        <v>5397</v>
      </c>
      <c r="C444" t="s">
        <v>9599</v>
      </c>
      <c r="D444" t="s">
        <v>11821</v>
      </c>
      <c r="E444" s="2">
        <v>32704</v>
      </c>
      <c r="F444">
        <f>HYPERLINK("https://www2.assemblee-nationale.fr/sycomore/fiche/(num_dept)/840", "840.0")</f>
        <v>0</v>
      </c>
      <c r="H444">
        <f>HYPERLINK("https://www.wikidata.org/wiki/Q2828004", "Q2828004")</f>
        <v>0</v>
      </c>
    </row>
    <row r="445" spans="1:8">
      <c r="A445" t="s">
        <v>451</v>
      </c>
      <c r="B445" t="s">
        <v>5398</v>
      </c>
      <c r="C445" t="s">
        <v>9386</v>
      </c>
      <c r="D445" t="s">
        <v>11822</v>
      </c>
      <c r="E445" s="2">
        <v>14724</v>
      </c>
      <c r="G445">
        <f>HYPERLINK("https://www.senat.fr/senateur-3eme-republique/blaignan_raymond0104r3.html", "blaignan_raymond0104r3")</f>
        <v>0</v>
      </c>
      <c r="H445">
        <f>HYPERLINK("https://www.wikidata.org/wiki/Q3420675", "Q3420675")</f>
        <v>0</v>
      </c>
    </row>
    <row r="446" spans="1:8">
      <c r="A446" t="s">
        <v>452</v>
      </c>
      <c r="B446" t="s">
        <v>5399</v>
      </c>
      <c r="C446" t="s">
        <v>9600</v>
      </c>
      <c r="D446" t="s">
        <v>11823</v>
      </c>
      <c r="E446" s="2">
        <v>16461</v>
      </c>
      <c r="F446">
        <f>HYPERLINK("https://www2.assemblee-nationale.fr/sycomore/fiche/(num_dept)/842", "842.0")</f>
        <v>0</v>
      </c>
      <c r="H446">
        <f>HYPERLINK("https://www.wikidata.org/wiki/Q2934871", "Q2934871")</f>
        <v>0</v>
      </c>
    </row>
    <row r="447" spans="1:8">
      <c r="A447" t="s">
        <v>453</v>
      </c>
      <c r="B447" t="s">
        <v>5400</v>
      </c>
      <c r="C447" t="s">
        <v>8384</v>
      </c>
      <c r="D447" t="s">
        <v>11824</v>
      </c>
      <c r="E447" t="s">
        <v>15872</v>
      </c>
      <c r="F447">
        <f>HYPERLINK("https://www2.assemblee-nationale.fr/sycomore/fiche/(num_dept)/851", "851.0")</f>
        <v>0</v>
      </c>
      <c r="H447">
        <f>HYPERLINK("https://www.wikidata.org/wiki/Q3384025", "Q3384025")</f>
        <v>0</v>
      </c>
    </row>
    <row r="448" spans="1:8">
      <c r="A448" t="s">
        <v>454</v>
      </c>
      <c r="B448" t="s">
        <v>5400</v>
      </c>
      <c r="C448" t="s">
        <v>9601</v>
      </c>
      <c r="D448" t="s">
        <v>11825</v>
      </c>
      <c r="E448" t="s">
        <v>15873</v>
      </c>
      <c r="F448">
        <f>HYPERLINK("https://www2.assemblee-nationale.fr/sycomore/fiche/(num_dept)/850", "850.0")</f>
        <v>0</v>
      </c>
      <c r="H448">
        <f>HYPERLINK("https://www.wikidata.org/wiki/Q355112", "Q355112")</f>
        <v>0</v>
      </c>
    </row>
    <row r="449" spans="1:8">
      <c r="A449" t="s">
        <v>455</v>
      </c>
      <c r="B449" t="s">
        <v>5401</v>
      </c>
      <c r="C449" t="s">
        <v>9602</v>
      </c>
      <c r="D449" t="s">
        <v>11826</v>
      </c>
      <c r="E449" t="s">
        <v>15874</v>
      </c>
      <c r="G449">
        <f>HYPERLINK("https://www.senat.fr/senateur-3eme-republique/blanc_xavier0082r3.html", "blanc_xavier0082r3")</f>
        <v>0</v>
      </c>
      <c r="H449">
        <f>HYPERLINK("https://www.wikidata.org/wiki/Q3570605", "Q3570605")</f>
        <v>0</v>
      </c>
    </row>
    <row r="450" spans="1:8">
      <c r="A450" t="s">
        <v>456</v>
      </c>
      <c r="B450" t="s">
        <v>5401</v>
      </c>
      <c r="C450" t="s">
        <v>8370</v>
      </c>
      <c r="D450" t="s">
        <v>11827</v>
      </c>
      <c r="E450" s="2">
        <v>7318</v>
      </c>
      <c r="G450">
        <f>HYPERLINK("https://www.senat.fr/senateur-3eme-republique/blanc_philippe1324r3.html", "blanc_philippe1324r3")</f>
        <v>0</v>
      </c>
      <c r="H450">
        <f>HYPERLINK("https://www.wikidata.org/wiki/Q3379361", "Q3379361")</f>
        <v>0</v>
      </c>
    </row>
    <row r="451" spans="1:8">
      <c r="A451" t="s">
        <v>457</v>
      </c>
      <c r="B451" t="s">
        <v>5400</v>
      </c>
      <c r="C451" t="s">
        <v>9603</v>
      </c>
      <c r="D451" t="s">
        <v>11828</v>
      </c>
      <c r="E451" s="2">
        <v>5411</v>
      </c>
      <c r="F451">
        <f>HYPERLINK("https://www2.assemblee-nationale.fr/sycomore/fiche/(num_dept)/849", "849.0")</f>
        <v>0</v>
      </c>
      <c r="G451">
        <f>HYPERLINK("https://www.senat.fr/senateur-3eme-republique/blanc_louis0729r3.html", "blanc_louis0729r3")</f>
        <v>0</v>
      </c>
      <c r="H451">
        <f>HYPERLINK("https://www.wikidata.org/wiki/Q3261279", "Q3261279")</f>
        <v>0</v>
      </c>
    </row>
    <row r="452" spans="1:8">
      <c r="A452" t="s">
        <v>458</v>
      </c>
      <c r="B452" t="s">
        <v>5400</v>
      </c>
      <c r="C452" t="s">
        <v>9604</v>
      </c>
      <c r="D452" t="s">
        <v>11829</v>
      </c>
      <c r="E452" s="2">
        <v>9402</v>
      </c>
      <c r="F452">
        <f>HYPERLINK("https://www2.assemblee-nationale.fr/sycomore/fiche/(num_dept)/845", "845.0")</f>
        <v>0</v>
      </c>
      <c r="G452">
        <f>HYPERLINK("https://www.senat.fr/senateur-3eme-republique/blanc_antoine0084r3.html", "blanc_antoine0084r3")</f>
        <v>0</v>
      </c>
      <c r="H452">
        <f>HYPERLINK("https://www.wikidata.org/wiki/Q2853682", "Q2853682")</f>
        <v>0</v>
      </c>
    </row>
    <row r="453" spans="1:8">
      <c r="A453" t="s">
        <v>459</v>
      </c>
      <c r="B453" t="s">
        <v>5400</v>
      </c>
      <c r="C453" t="s">
        <v>9482</v>
      </c>
      <c r="D453" t="s">
        <v>11830</v>
      </c>
      <c r="E453" s="2">
        <v>7652</v>
      </c>
      <c r="F453">
        <f>HYPERLINK("https://www2.assemblee-nationale.fr/sycomore/fiche/(num_dept)/846", "846.0")</f>
        <v>0</v>
      </c>
      <c r="H453">
        <f>HYPERLINK("https://www.wikidata.org/wiki/Q3047749", "Q3047749")</f>
        <v>0</v>
      </c>
    </row>
    <row r="454" spans="1:8">
      <c r="A454" t="s">
        <v>460</v>
      </c>
      <c r="B454" t="s">
        <v>5400</v>
      </c>
      <c r="C454" t="s">
        <v>9324</v>
      </c>
      <c r="D454" t="s">
        <v>11831</v>
      </c>
      <c r="E454" s="2">
        <v>13264</v>
      </c>
      <c r="F454">
        <f>HYPERLINK("https://www2.assemblee-nationale.fr/sycomore/fiche/(num_dept)/847", "847.0")</f>
        <v>0</v>
      </c>
      <c r="H454">
        <f>HYPERLINK("https://www.wikidata.org/wiki/Q3132638", "Q3132638")</f>
        <v>0</v>
      </c>
    </row>
    <row r="455" spans="1:8">
      <c r="A455" t="s">
        <v>461</v>
      </c>
      <c r="B455" t="s">
        <v>5400</v>
      </c>
      <c r="C455" t="s">
        <v>9533</v>
      </c>
      <c r="D455" t="s">
        <v>11832</v>
      </c>
      <c r="E455" s="2">
        <v>11342</v>
      </c>
      <c r="F455">
        <f>HYPERLINK("https://www2.assemblee-nationale.fr/sycomore/fiche/(num_dept)/844", "844.0")</f>
        <v>0</v>
      </c>
      <c r="H455">
        <f>HYPERLINK("https://www.wikidata.org/wiki/Q105906895", "Q105906895")</f>
        <v>0</v>
      </c>
    </row>
    <row r="456" spans="1:8">
      <c r="A456" t="s">
        <v>462</v>
      </c>
      <c r="B456" t="s">
        <v>5401</v>
      </c>
      <c r="C456" t="s">
        <v>9373</v>
      </c>
      <c r="D456" t="s">
        <v>11833</v>
      </c>
      <c r="E456" s="2">
        <v>14984</v>
      </c>
      <c r="G456">
        <f>HYPERLINK("https://www.senat.fr/senateur-3eme-republique/blanc_joseph1316r3.html", "blanc_joseph1316r3")</f>
        <v>0</v>
      </c>
      <c r="H456">
        <f>HYPERLINK("https://www.wikidata.org/wiki/Q3184615", "Q3184615")</f>
        <v>0</v>
      </c>
    </row>
    <row r="457" spans="1:8">
      <c r="A457" t="s">
        <v>463</v>
      </c>
      <c r="B457" t="s">
        <v>5400</v>
      </c>
      <c r="C457" t="s">
        <v>9356</v>
      </c>
      <c r="D457" t="s">
        <v>11834</v>
      </c>
      <c r="E457" s="2">
        <v>18195</v>
      </c>
      <c r="F457">
        <f>HYPERLINK("https://www2.assemblee-nationale.fr/sycomore/fiche/(num_dept)/852", "852.0")</f>
        <v>0</v>
      </c>
      <c r="H457">
        <f>HYPERLINK("https://www.wikidata.org/wiki/Q3407763", "Q3407763")</f>
        <v>0</v>
      </c>
    </row>
    <row r="458" spans="1:8">
      <c r="A458" t="s">
        <v>464</v>
      </c>
      <c r="B458" t="s">
        <v>5402</v>
      </c>
      <c r="C458" t="s">
        <v>9605</v>
      </c>
      <c r="D458" t="s">
        <v>11835</v>
      </c>
      <c r="E458" s="2">
        <v>4541</v>
      </c>
      <c r="F458">
        <f>HYPERLINK("https://www2.assemblee-nationale.fr/sycomore/fiche/(num_dept)/853", "853.0")</f>
        <v>0</v>
      </c>
      <c r="H458">
        <f>HYPERLINK("https://www.wikidata.org/wiki/Q15973727", "Q15973727")</f>
        <v>0</v>
      </c>
    </row>
    <row r="459" spans="1:8">
      <c r="A459" t="s">
        <v>465</v>
      </c>
      <c r="B459" t="s">
        <v>5403</v>
      </c>
      <c r="C459" t="s">
        <v>9438</v>
      </c>
      <c r="D459" t="s">
        <v>11836</v>
      </c>
      <c r="E459" s="2">
        <v>11296</v>
      </c>
      <c r="F459">
        <f>HYPERLINK("https://www2.assemblee-nationale.fr/sycomore/fiche/(num_dept)/856", "856.0")</f>
        <v>0</v>
      </c>
      <c r="H459">
        <f>HYPERLINK("https://www.wikidata.org/wiki/Q3557158", "Q3557158")</f>
        <v>0</v>
      </c>
    </row>
    <row r="460" spans="1:8">
      <c r="A460" t="s">
        <v>466</v>
      </c>
      <c r="B460" t="s">
        <v>5404</v>
      </c>
      <c r="C460" t="s">
        <v>9337</v>
      </c>
      <c r="D460" t="s">
        <v>11837</v>
      </c>
      <c r="E460" s="2">
        <v>7388</v>
      </c>
      <c r="G460">
        <f>HYPERLINK("https://www.senat.fr/senateur-3eme-republique/blanchier_auguste0391r3.html", "blanchier_auguste0391r3")</f>
        <v>0</v>
      </c>
      <c r="H460">
        <f>HYPERLINK("https://www.wikidata.org/wiki/Q2871064", "Q2871064")</f>
        <v>0</v>
      </c>
    </row>
    <row r="461" spans="1:8">
      <c r="A461" t="s">
        <v>467</v>
      </c>
      <c r="B461" t="s">
        <v>5405</v>
      </c>
      <c r="C461" t="s">
        <v>9606</v>
      </c>
      <c r="D461" t="s">
        <v>11838</v>
      </c>
      <c r="E461" s="2">
        <v>26331</v>
      </c>
      <c r="F461">
        <f>HYPERLINK("https://www2.assemblee-nationale.fr/sycomore/fiche/(num_dept)/857", "857.0")</f>
        <v>0</v>
      </c>
      <c r="H461">
        <f>HYPERLINK("https://www.wikidata.org/wiki/Q3083995", "Q3083995")</f>
        <v>0</v>
      </c>
    </row>
    <row r="462" spans="1:8">
      <c r="A462" t="s">
        <v>468</v>
      </c>
      <c r="B462" t="s">
        <v>5406</v>
      </c>
      <c r="C462" t="s">
        <v>9607</v>
      </c>
      <c r="D462" s="2">
        <v>960</v>
      </c>
      <c r="E462" s="2">
        <v>25080</v>
      </c>
      <c r="F462">
        <f>HYPERLINK("https://www2.assemblee-nationale.fr/sycomore/fiche/(num_dept)/858", "858.0")</f>
        <v>0</v>
      </c>
      <c r="H462">
        <f>HYPERLINK("https://www.wikidata.org/wiki/Q2830966", "Q2830966")</f>
        <v>0</v>
      </c>
    </row>
    <row r="463" spans="1:8">
      <c r="A463" t="s">
        <v>469</v>
      </c>
      <c r="B463" t="s">
        <v>5407</v>
      </c>
      <c r="C463" t="s">
        <v>9608</v>
      </c>
      <c r="D463" t="s">
        <v>11839</v>
      </c>
      <c r="E463" t="s">
        <v>15875</v>
      </c>
      <c r="F463">
        <f>HYPERLINK("https://www2.assemblee-nationale.fr/sycomore/fiche/(num_dept)/859", "859.0")</f>
        <v>0</v>
      </c>
      <c r="H463">
        <f>HYPERLINK("https://www.wikidata.org/wiki/Q26416441", "Q26416441")</f>
        <v>0</v>
      </c>
    </row>
    <row r="464" spans="1:8">
      <c r="A464" t="s">
        <v>470</v>
      </c>
      <c r="B464" t="s">
        <v>5408</v>
      </c>
      <c r="C464" t="s">
        <v>9609</v>
      </c>
      <c r="D464" t="s">
        <v>11840</v>
      </c>
      <c r="E464" t="s">
        <v>15876</v>
      </c>
      <c r="F464">
        <f>HYPERLINK("https://www2.assemblee-nationale.fr/sycomore/fiche/(num_dept)/7902", "7902.0")</f>
        <v>0</v>
      </c>
      <c r="H464">
        <f>HYPERLINK("https://www.wikidata.org/wiki/Q3059734", "Q3059734")</f>
        <v>0</v>
      </c>
    </row>
    <row r="465" spans="1:8">
      <c r="A465" t="s">
        <v>471</v>
      </c>
      <c r="B465" t="s">
        <v>5409</v>
      </c>
      <c r="C465" t="s">
        <v>9610</v>
      </c>
      <c r="D465" t="s">
        <v>11841</v>
      </c>
      <c r="E465" s="2">
        <v>4306</v>
      </c>
      <c r="F465">
        <f>HYPERLINK("https://www2.assemblee-nationale.fr/sycomore/fiche/(num_dept)/7903", "7903.0")</f>
        <v>0</v>
      </c>
      <c r="H465">
        <f>HYPERLINK("https://www.wikidata.org/wiki/Q3163833", "Q3163833")</f>
        <v>0</v>
      </c>
    </row>
    <row r="466" spans="1:8">
      <c r="A466" t="s">
        <v>472</v>
      </c>
      <c r="B466" t="s">
        <v>5410</v>
      </c>
      <c r="C466" t="s">
        <v>9611</v>
      </c>
      <c r="D466" t="s">
        <v>11842</v>
      </c>
      <c r="E466" t="s">
        <v>15877</v>
      </c>
      <c r="G466">
        <f>HYPERLINK("https://www.senat.fr/senateur-3eme-republique/blavier_aime1157r3.html", "blavier_aime1157r3")</f>
        <v>0</v>
      </c>
      <c r="H466">
        <f>HYPERLINK("https://www.wikidata.org/wiki/Q2828036", "Q2828036")</f>
        <v>0</v>
      </c>
    </row>
    <row r="467" spans="1:8">
      <c r="A467" t="s">
        <v>473</v>
      </c>
      <c r="B467" t="s">
        <v>5411</v>
      </c>
      <c r="C467" t="s">
        <v>9612</v>
      </c>
      <c r="D467" t="s">
        <v>11843</v>
      </c>
      <c r="E467" s="2">
        <v>28553</v>
      </c>
      <c r="F467">
        <f>HYPERLINK("https://www2.assemblee-nationale.fr/sycomore/fiche/(num_dept)/874", "874.0")</f>
        <v>0</v>
      </c>
      <c r="H467">
        <f>HYPERLINK("https://www.wikidata.org/wiki/Q3587721", "Q3587721")</f>
        <v>0</v>
      </c>
    </row>
    <row r="468" spans="1:8">
      <c r="A468" t="s">
        <v>474</v>
      </c>
      <c r="B468" t="s">
        <v>5412</v>
      </c>
      <c r="C468" t="s">
        <v>9613</v>
      </c>
      <c r="D468" t="s">
        <v>11844</v>
      </c>
      <c r="E468" s="2">
        <v>20633</v>
      </c>
      <c r="F468">
        <f>HYPERLINK("https://www2.assemblee-nationale.fr/sycomore/fiche/(num_dept)/877", "877.0")</f>
        <v>0</v>
      </c>
      <c r="H468">
        <f>HYPERLINK("https://www.wikidata.org/wiki/Q15973735", "Q15973735")</f>
        <v>0</v>
      </c>
    </row>
    <row r="469" spans="1:8">
      <c r="A469" t="s">
        <v>475</v>
      </c>
      <c r="B469" t="s">
        <v>5413</v>
      </c>
      <c r="C469" t="s">
        <v>9614</v>
      </c>
      <c r="D469" t="s">
        <v>11845</v>
      </c>
      <c r="E469" s="2">
        <v>17669</v>
      </c>
      <c r="F469">
        <f>HYPERLINK("https://www2.assemblee-nationale.fr/sycomore/fiche/(num_dept)/879", "879.0")</f>
        <v>0</v>
      </c>
      <c r="H469">
        <f>HYPERLINK("https://www.wikidata.org/wiki/Q3047752", "Q3047752")</f>
        <v>0</v>
      </c>
    </row>
    <row r="470" spans="1:8">
      <c r="A470" t="s">
        <v>476</v>
      </c>
      <c r="B470" t="s">
        <v>5414</v>
      </c>
      <c r="C470" t="s">
        <v>9615</v>
      </c>
      <c r="D470" t="s">
        <v>11846</v>
      </c>
      <c r="E470" s="2">
        <v>18352</v>
      </c>
      <c r="F470">
        <f>HYPERLINK("https://www2.assemblee-nationale.fr/sycomore/fiche/(num_dept)/880", "880.0")</f>
        <v>0</v>
      </c>
      <c r="H470">
        <f>HYPERLINK("https://www.wikidata.org/wiki/Q18434", "Q18434")</f>
        <v>0</v>
      </c>
    </row>
    <row r="471" spans="1:8">
      <c r="A471" t="s">
        <v>477</v>
      </c>
      <c r="B471" t="s">
        <v>5415</v>
      </c>
      <c r="C471" t="s">
        <v>9430</v>
      </c>
      <c r="D471" t="s">
        <v>11847</v>
      </c>
      <c r="E471" s="2">
        <v>10481</v>
      </c>
      <c r="F471">
        <f>HYPERLINK("https://www2.assemblee-nationale.fr/sycomore/fiche/(num_dept)/882", "882.0")</f>
        <v>0</v>
      </c>
      <c r="G471">
        <f>HYPERLINK("https://www.senat.fr/senateur-3eme-republique/bluysen_paul1835r3.html", "bluysen_paul1835r3")</f>
        <v>0</v>
      </c>
      <c r="H471">
        <f>HYPERLINK("https://www.wikidata.org/wiki/Q20027761", "Q20027761")</f>
        <v>0</v>
      </c>
    </row>
    <row r="472" spans="1:8">
      <c r="A472" t="s">
        <v>478</v>
      </c>
      <c r="B472" t="s">
        <v>5416</v>
      </c>
      <c r="C472" t="s">
        <v>9537</v>
      </c>
      <c r="D472" t="s">
        <v>11848</v>
      </c>
      <c r="E472" s="2">
        <v>27674</v>
      </c>
      <c r="F472">
        <f>HYPERLINK("https://www2.assemblee-nationale.fr/sycomore/fiche/(num_dept)/864", "864.0")</f>
        <v>0</v>
      </c>
      <c r="H472">
        <f>HYPERLINK("https://www.wikidata.org/wiki/Q15973765", "Q15973765")</f>
        <v>0</v>
      </c>
    </row>
    <row r="473" spans="1:8">
      <c r="A473" t="s">
        <v>479</v>
      </c>
      <c r="B473" t="s">
        <v>5417</v>
      </c>
      <c r="C473" t="s">
        <v>9616</v>
      </c>
      <c r="D473" t="s">
        <v>11849</v>
      </c>
      <c r="E473" s="2">
        <v>10463</v>
      </c>
      <c r="F473">
        <f>HYPERLINK("https://www2.assemblee-nationale.fr/sycomore/fiche/(num_dept)/884", "884.0")</f>
        <v>0</v>
      </c>
      <c r="H473">
        <f>HYPERLINK("https://www.wikidata.org/wiki/Q15973751", "Q15973751")</f>
        <v>0</v>
      </c>
    </row>
    <row r="474" spans="1:8">
      <c r="A474" t="s">
        <v>480</v>
      </c>
      <c r="B474" t="s">
        <v>5418</v>
      </c>
      <c r="C474" t="s">
        <v>8384</v>
      </c>
      <c r="D474" t="s">
        <v>11850</v>
      </c>
      <c r="E474" s="2">
        <v>93</v>
      </c>
      <c r="G474">
        <f>HYPERLINK("https://www.senat.fr/senateur-3eme-republique/bocher_pierre0344r3.html", "bocher_pierre0344r3")</f>
        <v>0</v>
      </c>
      <c r="H474">
        <f>HYPERLINK("https://www.wikidata.org/wiki/Q3579743", "Q3579743")</f>
        <v>0</v>
      </c>
    </row>
    <row r="475" spans="1:8">
      <c r="A475" t="s">
        <v>481</v>
      </c>
      <c r="B475" t="s">
        <v>5419</v>
      </c>
      <c r="C475" t="s">
        <v>9617</v>
      </c>
      <c r="D475" t="s">
        <v>11851</v>
      </c>
      <c r="E475" t="s">
        <v>15878</v>
      </c>
      <c r="F475">
        <f>HYPERLINK("https://www2.assemblee-nationale.fr/sycomore/fiche/(num_dept)/2605", "2605.0")</f>
        <v>0</v>
      </c>
      <c r="H475">
        <f>HYPERLINK("https://www.wikidata.org/wiki/Q2959275", "Q2959275")</f>
        <v>0</v>
      </c>
    </row>
    <row r="476" spans="1:8">
      <c r="A476" t="s">
        <v>482</v>
      </c>
      <c r="B476" t="s">
        <v>5420</v>
      </c>
      <c r="C476" t="s">
        <v>9618</v>
      </c>
      <c r="D476" t="s">
        <v>11852</v>
      </c>
      <c r="G476">
        <f>HYPERLINK("https://www.senat.fr/senateur-3eme-republique/bodinier_guillaume1159r3.html", "bodinier_guillaume1159r3")</f>
        <v>0</v>
      </c>
      <c r="H476">
        <f>HYPERLINK("https://www.wikidata.org/wiki/Q3119691", "Q3119691")</f>
        <v>0</v>
      </c>
    </row>
    <row r="477" spans="1:8">
      <c r="A477" t="s">
        <v>483</v>
      </c>
      <c r="B477" t="s">
        <v>5421</v>
      </c>
      <c r="C477" t="s">
        <v>9312</v>
      </c>
      <c r="D477" t="s">
        <v>11853</v>
      </c>
      <c r="G477">
        <f>HYPERLINK("https://www.senat.fr/senateur-3eme-republique/boffinton_jean_baptiste0410r3.html", "boffinton_jean_baptiste0410r3")</f>
        <v>0</v>
      </c>
      <c r="H477">
        <f>HYPERLINK("https://www.wikidata.org/wiki/Q3163889", "Q3163889")</f>
        <v>0</v>
      </c>
    </row>
    <row r="478" spans="1:8">
      <c r="A478" t="s">
        <v>484</v>
      </c>
      <c r="B478" t="s">
        <v>5422</v>
      </c>
      <c r="C478" t="s">
        <v>9619</v>
      </c>
      <c r="D478" t="s">
        <v>11854</v>
      </c>
      <c r="E478" s="2">
        <v>7575</v>
      </c>
      <c r="F478">
        <f>HYPERLINK("https://www2.assemblee-nationale.fr/sycomore/fiche/(num_dept)/362", "362.0")</f>
        <v>0</v>
      </c>
      <c r="H478">
        <f>HYPERLINK("https://www.wikidata.org/wiki/Q2834951", "Q2834951")</f>
        <v>0</v>
      </c>
    </row>
    <row r="479" spans="1:8">
      <c r="A479" t="s">
        <v>485</v>
      </c>
      <c r="B479" t="s">
        <v>5423</v>
      </c>
      <c r="C479" t="s">
        <v>9450</v>
      </c>
      <c r="D479" t="s">
        <v>11855</v>
      </c>
      <c r="E479" s="2">
        <v>5702</v>
      </c>
      <c r="F479">
        <f>HYPERLINK("https://www2.assemblee-nationale.fr/sycomore/fiche/(num_dept)/898", "898.0")</f>
        <v>0</v>
      </c>
      <c r="H479">
        <f>HYPERLINK("https://www.wikidata.org/wiki/Q2960523", "Q2960523")</f>
        <v>0</v>
      </c>
    </row>
    <row r="480" spans="1:8">
      <c r="A480" t="s">
        <v>486</v>
      </c>
      <c r="B480" t="s">
        <v>5424</v>
      </c>
      <c r="C480" t="s">
        <v>9620</v>
      </c>
      <c r="D480" t="s">
        <v>11856</v>
      </c>
      <c r="E480" s="2">
        <v>13911</v>
      </c>
      <c r="F480">
        <f>HYPERLINK("https://www2.assemblee-nationale.fr/sycomore/fiche/(num_dept)/903", "903.0")</f>
        <v>0</v>
      </c>
      <c r="H480">
        <f>HYPERLINK("https://www.wikidata.org/wiki/Q8298312", "Q8298312")</f>
        <v>0</v>
      </c>
    </row>
    <row r="481" spans="1:8">
      <c r="A481" t="s">
        <v>487</v>
      </c>
      <c r="B481" t="s">
        <v>5425</v>
      </c>
      <c r="C481" t="s">
        <v>9621</v>
      </c>
      <c r="D481" t="s">
        <v>11857</v>
      </c>
      <c r="G481">
        <f>HYPERLINK("https://www.senat.fr/senateur-3eme-republique/boisse_adolphe0285r3.html", "boisse_adolphe0285r3")</f>
        <v>0</v>
      </c>
      <c r="H481">
        <f>HYPERLINK("https://www.wikidata.org/wiki/Q2824776", "Q2824776")</f>
        <v>0</v>
      </c>
    </row>
    <row r="482" spans="1:8">
      <c r="A482" t="s">
        <v>488</v>
      </c>
      <c r="B482" t="s">
        <v>5426</v>
      </c>
      <c r="C482" t="s">
        <v>9622</v>
      </c>
      <c r="D482" t="s">
        <v>11530</v>
      </c>
      <c r="E482" s="2">
        <v>21820</v>
      </c>
      <c r="F482">
        <f>HYPERLINK("https://www2.assemblee-nationale.fr/sycomore/fiche/(num_dept)/905", "905.0")</f>
        <v>0</v>
      </c>
      <c r="H482">
        <f>HYPERLINK("https://www.wikidata.org/wiki/Q15973796", "Q15973796")</f>
        <v>0</v>
      </c>
    </row>
    <row r="483" spans="1:8">
      <c r="A483" t="s">
        <v>489</v>
      </c>
      <c r="B483" t="s">
        <v>5427</v>
      </c>
      <c r="C483" t="s">
        <v>9524</v>
      </c>
      <c r="D483" t="s">
        <v>11858</v>
      </c>
      <c r="E483" s="2">
        <v>13561</v>
      </c>
      <c r="F483">
        <f>HYPERLINK("https://www2.assemblee-nationale.fr/sycomore/fiche/(num_dept)/909", "909.0")</f>
        <v>0</v>
      </c>
      <c r="H483">
        <f>HYPERLINK("https://www.wikidata.org/wiki/Q3588362", "Q3588362")</f>
        <v>0</v>
      </c>
    </row>
    <row r="484" spans="1:8">
      <c r="A484" t="s">
        <v>490</v>
      </c>
      <c r="B484" t="s">
        <v>5428</v>
      </c>
      <c r="C484" t="s">
        <v>9623</v>
      </c>
      <c r="D484" t="s">
        <v>11859</v>
      </c>
      <c r="E484" s="2">
        <v>7202</v>
      </c>
      <c r="F484">
        <f>HYPERLINK("https://www2.assemblee-nationale.fr/sycomore/fiche/(num_dept)/908", "908.0")</f>
        <v>0</v>
      </c>
      <c r="G484">
        <f>HYPERLINK("https://www.senat.fr/senateur-3eme-republique/boissel_victor0963r3.html", "boissel_victor0963r3")</f>
        <v>0</v>
      </c>
      <c r="H484">
        <f>HYPERLINK("https://www.wikidata.org/wiki/Q3557166", "Q3557166")</f>
        <v>0</v>
      </c>
    </row>
    <row r="485" spans="1:8">
      <c r="A485" t="s">
        <v>491</v>
      </c>
      <c r="B485" t="s">
        <v>5429</v>
      </c>
      <c r="C485" t="s">
        <v>9624</v>
      </c>
      <c r="D485" t="s">
        <v>11860</v>
      </c>
      <c r="E485" s="2">
        <v>7528</v>
      </c>
      <c r="F485">
        <f>HYPERLINK("https://www2.assemblee-nationale.fr/sycomore/fiche/(num_dept)/6457", "6457.0")</f>
        <v>0</v>
      </c>
      <c r="H485">
        <f>HYPERLINK("https://www.wikidata.org/wiki/Q3184280", "Q3184280")</f>
        <v>0</v>
      </c>
    </row>
    <row r="486" spans="1:8">
      <c r="A486" t="s">
        <v>492</v>
      </c>
      <c r="B486" t="s">
        <v>5430</v>
      </c>
      <c r="C486" t="s">
        <v>8006</v>
      </c>
      <c r="D486" t="s">
        <v>11861</v>
      </c>
      <c r="E486" s="2">
        <v>7786</v>
      </c>
      <c r="G486">
        <f>HYPERLINK("https://www.senat.fr/senateur-3eme-republique/boissier_michel0054r3.html", "boissier_michel0054r3")</f>
        <v>0</v>
      </c>
      <c r="H486">
        <f>HYPERLINK("https://www.wikidata.org/wiki/Q3309039", "Q3309039")</f>
        <v>0</v>
      </c>
    </row>
    <row r="487" spans="1:8">
      <c r="A487" t="s">
        <v>493</v>
      </c>
      <c r="B487" t="s">
        <v>5431</v>
      </c>
      <c r="C487" t="s">
        <v>9625</v>
      </c>
      <c r="D487" t="s">
        <v>11862</v>
      </c>
      <c r="E487" s="2">
        <v>19869</v>
      </c>
      <c r="F487">
        <f>HYPERLINK("https://www2.assemblee-nationale.fr/sycomore/fiche/(num_dept)/911", "911.0")</f>
        <v>0</v>
      </c>
      <c r="H487">
        <f>HYPERLINK("https://www.wikidata.org/wiki/Q3122291", "Q3122291")</f>
        <v>0</v>
      </c>
    </row>
    <row r="488" spans="1:8">
      <c r="A488" t="s">
        <v>494</v>
      </c>
      <c r="B488" t="s">
        <v>5432</v>
      </c>
      <c r="C488" t="s">
        <v>9626</v>
      </c>
      <c r="D488" t="s">
        <v>11863</v>
      </c>
      <c r="E488" s="2">
        <v>17276</v>
      </c>
      <c r="F488">
        <f>HYPERLINK("https://www2.assemblee-nationale.fr/sycomore/fiche/(num_dept)/912", "912.0")</f>
        <v>0</v>
      </c>
      <c r="H488">
        <f>HYPERLINK("https://www.wikidata.org/wiki/Q3184625", "Q3184625")</f>
        <v>0</v>
      </c>
    </row>
    <row r="489" spans="1:8">
      <c r="A489" t="s">
        <v>495</v>
      </c>
      <c r="B489" t="s">
        <v>5433</v>
      </c>
      <c r="C489" t="s">
        <v>6864</v>
      </c>
      <c r="D489" t="s">
        <v>11864</v>
      </c>
      <c r="G489">
        <f>HYPERLINK("https://www.senat.fr/senateur-3eme-republique/boissy_d_anglas_francois0142r3.html", "boissy_d_anglas_francois0142r3")</f>
        <v>0</v>
      </c>
      <c r="H489">
        <f>HYPERLINK("https://www.wikidata.org/wiki/Q3084012", "Q3084012")</f>
        <v>0</v>
      </c>
    </row>
    <row r="490" spans="1:8">
      <c r="A490" t="s">
        <v>496</v>
      </c>
      <c r="B490" t="s">
        <v>5434</v>
      </c>
      <c r="C490" t="s">
        <v>9430</v>
      </c>
      <c r="D490" t="s">
        <v>11865</v>
      </c>
      <c r="G490">
        <f>HYPERLINK("https://www.senat.fr/senateur-3eme-republique/boivin_champeaux_paul0348r3.html", "boivin_champeaux_paul0348r3")</f>
        <v>0</v>
      </c>
      <c r="H490">
        <f>HYPERLINK("https://www.wikidata.org/wiki/Q3370674", "Q3370674")</f>
        <v>0</v>
      </c>
    </row>
    <row r="491" spans="1:8">
      <c r="A491" t="s">
        <v>497</v>
      </c>
      <c r="B491" t="s">
        <v>5434</v>
      </c>
      <c r="C491" t="s">
        <v>7342</v>
      </c>
      <c r="D491" t="s">
        <v>11866</v>
      </c>
      <c r="E491" s="2">
        <v>20075</v>
      </c>
      <c r="G491">
        <f>HYPERLINK("https://www.senat.fr/senateur-3eme-republique/boivin_champeaux_jean0407r4.html", "boivin_champeaux_jean0407r4")</f>
        <v>0</v>
      </c>
      <c r="H491">
        <f>HYPERLINK("https://www.wikidata.org/wiki/Q3170823", "Q3170823")</f>
        <v>0</v>
      </c>
    </row>
    <row r="492" spans="1:8">
      <c r="A492" t="s">
        <v>498</v>
      </c>
      <c r="B492" t="s">
        <v>5435</v>
      </c>
      <c r="C492" t="s">
        <v>7942</v>
      </c>
      <c r="D492" t="s">
        <v>11867</v>
      </c>
      <c r="E492" s="2">
        <v>10473</v>
      </c>
      <c r="F492">
        <f>HYPERLINK("https://www2.assemblee-nationale.fr/sycomore/fiche/(num_dept)/916", "916.0")</f>
        <v>0</v>
      </c>
      <c r="H492">
        <f>HYPERLINK("https://www.wikidata.org/wiki/Q3300454", "Q3300454")</f>
        <v>0</v>
      </c>
    </row>
    <row r="493" spans="1:8">
      <c r="A493" t="s">
        <v>499</v>
      </c>
      <c r="B493" t="s">
        <v>5436</v>
      </c>
      <c r="C493" t="s">
        <v>9627</v>
      </c>
      <c r="D493" t="s">
        <v>11868</v>
      </c>
      <c r="E493" s="2">
        <v>8504</v>
      </c>
      <c r="F493">
        <f>HYPERLINK("https://www2.assemblee-nationale.fr/sycomore/fiche/(num_dept)/918", "918.0")</f>
        <v>0</v>
      </c>
      <c r="G493">
        <f>HYPERLINK("https://www.senat.fr/senateur-3eme-republique/bollet_donat0013r3.html", "bollet_donat0013r3")</f>
        <v>0</v>
      </c>
      <c r="H493">
        <f>HYPERLINK("https://www.wikidata.org/wiki/Q3036181", "Q3036181")</f>
        <v>0</v>
      </c>
    </row>
    <row r="494" spans="1:8">
      <c r="A494" t="s">
        <v>500</v>
      </c>
      <c r="B494" t="s">
        <v>5437</v>
      </c>
      <c r="C494" t="s">
        <v>7942</v>
      </c>
      <c r="D494" t="s">
        <v>11869</v>
      </c>
      <c r="E494" s="2">
        <v>12881</v>
      </c>
      <c r="G494">
        <f>HYPERLINK("https://www.senat.fr/senateur-3eme-republique/bompard_maurice0711r3.html", "bompard_maurice0711r3")</f>
        <v>0</v>
      </c>
      <c r="H494">
        <f>HYPERLINK("https://www.wikidata.org/wiki/Q3300459", "Q3300459")</f>
        <v>0</v>
      </c>
    </row>
    <row r="495" spans="1:8">
      <c r="A495" t="s">
        <v>501</v>
      </c>
      <c r="B495" t="s">
        <v>5438</v>
      </c>
      <c r="C495" t="s">
        <v>9628</v>
      </c>
      <c r="D495" t="s">
        <v>11870</v>
      </c>
      <c r="E495" s="2">
        <v>14499</v>
      </c>
      <c r="F495">
        <f>HYPERLINK("https://www2.assemblee-nationale.fr/sycomore/fiche/(num_dept)/922", "922.0")</f>
        <v>0</v>
      </c>
      <c r="H495">
        <f>HYPERLINK("https://www.wikidata.org/wiki/Q15973802", "Q15973802")</f>
        <v>0</v>
      </c>
    </row>
    <row r="496" spans="1:8">
      <c r="A496" t="s">
        <v>502</v>
      </c>
      <c r="B496" t="s">
        <v>5439</v>
      </c>
      <c r="C496" t="s">
        <v>9629</v>
      </c>
      <c r="D496" t="s">
        <v>11871</v>
      </c>
      <c r="E496" s="2">
        <v>16432</v>
      </c>
      <c r="F496">
        <f>HYPERLINK("https://www2.assemblee-nationale.fr/sycomore/fiche/(num_dept)/923", "923.0")</f>
        <v>0</v>
      </c>
      <c r="H496">
        <f>HYPERLINK("https://www.wikidata.org/wiki/Q15973785", "Q15973785")</f>
        <v>0</v>
      </c>
    </row>
    <row r="497" spans="1:8">
      <c r="A497" t="s">
        <v>503</v>
      </c>
      <c r="B497" t="s">
        <v>5440</v>
      </c>
      <c r="C497" t="s">
        <v>7782</v>
      </c>
      <c r="D497" t="s">
        <v>11872</v>
      </c>
      <c r="E497" s="2">
        <v>24035</v>
      </c>
      <c r="G497">
        <f>HYPERLINK("https://www.senat.fr/senateur-3eme-republique/bon_leon0314r3.html", "bon_leon0314r3")</f>
        <v>0</v>
      </c>
      <c r="H497">
        <f>HYPERLINK("https://www.wikidata.org/wiki/Q1387347", "Q1387347")</f>
        <v>0</v>
      </c>
    </row>
    <row r="498" spans="1:8">
      <c r="A498" t="s">
        <v>504</v>
      </c>
      <c r="B498" t="s">
        <v>5441</v>
      </c>
      <c r="C498" t="s">
        <v>9630</v>
      </c>
      <c r="D498" t="s">
        <v>11873</v>
      </c>
      <c r="F498">
        <f>HYPERLINK("https://www2.assemblee-nationale.fr/sycomore/fiche/(num_dept)/926", "926.0")</f>
        <v>0</v>
      </c>
      <c r="H498">
        <f>HYPERLINK("https://www.wikidata.org/wiki/Q15973809", "Q15973809")</f>
        <v>0</v>
      </c>
    </row>
    <row r="499" spans="1:8">
      <c r="A499" t="s">
        <v>505</v>
      </c>
      <c r="B499" t="s">
        <v>5442</v>
      </c>
      <c r="C499" t="s">
        <v>9631</v>
      </c>
      <c r="D499" t="s">
        <v>11874</v>
      </c>
      <c r="E499" s="2">
        <v>16656</v>
      </c>
      <c r="F499">
        <f>HYPERLINK("https://www2.assemblee-nationale.fr/sycomore/fiche/(num_dept)/931", "931.0")</f>
        <v>0</v>
      </c>
      <c r="H499">
        <f>HYPERLINK("https://www.wikidata.org/wiki/Q15973807", "Q15973807")</f>
        <v>0</v>
      </c>
    </row>
    <row r="500" spans="1:8">
      <c r="A500" t="s">
        <v>506</v>
      </c>
      <c r="B500" t="s">
        <v>5443</v>
      </c>
      <c r="C500" t="s">
        <v>9632</v>
      </c>
      <c r="D500" t="s">
        <v>11875</v>
      </c>
      <c r="E500" s="2">
        <v>10434</v>
      </c>
      <c r="F500">
        <f>HYPERLINK("https://www2.assemblee-nationale.fr/sycomore/fiche/(num_dept)/932", "932.0")</f>
        <v>0</v>
      </c>
      <c r="H500">
        <f>HYPERLINK("https://www.wikidata.org/wiki/Q3170840", "Q3170840")</f>
        <v>0</v>
      </c>
    </row>
    <row r="501" spans="1:8">
      <c r="A501" t="s">
        <v>507</v>
      </c>
      <c r="B501" t="s">
        <v>5444</v>
      </c>
      <c r="C501" t="s">
        <v>9633</v>
      </c>
      <c r="D501" t="s">
        <v>11876</v>
      </c>
      <c r="E501" s="2">
        <v>15391</v>
      </c>
      <c r="F501">
        <f>HYPERLINK("https://www2.assemblee-nationale.fr/sycomore/fiche/(num_dept)/935", "935.0")</f>
        <v>0</v>
      </c>
      <c r="H501">
        <f>HYPERLINK("https://www.wikidata.org/wiki/Q15970487", "Q15970487")</f>
        <v>0</v>
      </c>
    </row>
    <row r="502" spans="1:8">
      <c r="A502" t="s">
        <v>508</v>
      </c>
      <c r="B502" t="s">
        <v>5445</v>
      </c>
      <c r="C502" t="s">
        <v>9634</v>
      </c>
      <c r="D502" t="s">
        <v>11877</v>
      </c>
      <c r="E502" s="2">
        <v>8155</v>
      </c>
      <c r="G502">
        <f>HYPERLINK("https://www.senat.fr/senateur-3eme-republique/bonnefille_frederic1664r3.html", "bonnefille_frederic1664r3")</f>
        <v>0</v>
      </c>
      <c r="H502">
        <f>HYPERLINK("https://www.wikidata.org/wiki/Q3089637", "Q3089637")</f>
        <v>0</v>
      </c>
    </row>
    <row r="503" spans="1:8">
      <c r="A503" t="s">
        <v>509</v>
      </c>
      <c r="B503" t="s">
        <v>5446</v>
      </c>
      <c r="C503" t="s">
        <v>9635</v>
      </c>
      <c r="D503" t="s">
        <v>11878</v>
      </c>
      <c r="E503" s="2">
        <v>15505</v>
      </c>
      <c r="F503">
        <f>HYPERLINK("https://www2.assemblee-nationale.fr/sycomore/fiche/(num_dept)/939", "939.0")</f>
        <v>0</v>
      </c>
      <c r="H503">
        <f>HYPERLINK("https://www.wikidata.org/wiki/Q3261304", "Q3261304")</f>
        <v>0</v>
      </c>
    </row>
    <row r="504" spans="1:8">
      <c r="A504" t="s">
        <v>510</v>
      </c>
      <c r="B504" t="s">
        <v>5446</v>
      </c>
      <c r="C504" t="s">
        <v>9636</v>
      </c>
      <c r="D504" t="s">
        <v>11879</v>
      </c>
      <c r="E504" s="2">
        <v>20602</v>
      </c>
      <c r="F504">
        <f>HYPERLINK("https://www2.assemblee-nationale.fr/sycomore/fiche/(num_dept)/938", "938.0")</f>
        <v>0</v>
      </c>
      <c r="H504">
        <f>HYPERLINK("https://www.wikidata.org/wiki/Q3102326", "Q3102326")</f>
        <v>0</v>
      </c>
    </row>
    <row r="505" spans="1:8">
      <c r="A505" t="s">
        <v>511</v>
      </c>
      <c r="B505" t="s">
        <v>5447</v>
      </c>
      <c r="C505" t="s">
        <v>7001</v>
      </c>
      <c r="D505" t="s">
        <v>11855</v>
      </c>
      <c r="E505" s="2">
        <v>6766</v>
      </c>
      <c r="G505">
        <f>HYPERLINK("https://www.senat.fr/senateur-3eme-republique/bonnefoy_sibour_georges0827r3.html", "bonnefoy_sibour_georges0827r3")</f>
        <v>0</v>
      </c>
      <c r="H505">
        <f>HYPERLINK("https://www.wikidata.org/wiki/Q1508807", "Q1508807")</f>
        <v>0</v>
      </c>
    </row>
    <row r="506" spans="1:8">
      <c r="A506" t="s">
        <v>512</v>
      </c>
      <c r="B506" t="s">
        <v>5448</v>
      </c>
      <c r="C506" t="s">
        <v>9637</v>
      </c>
      <c r="D506" t="s">
        <v>11855</v>
      </c>
      <c r="E506" s="2">
        <v>6766</v>
      </c>
      <c r="F506">
        <f>HYPERLINK("https://www2.assemblee-nationale.fr/sycomore/fiche/(num_dept)/941", "941.0")</f>
        <v>0</v>
      </c>
      <c r="H506">
        <f>HYPERLINK("https://www.wikidata.org/wiki/Q1508807", "Q1508807")</f>
        <v>0</v>
      </c>
    </row>
    <row r="507" spans="1:8">
      <c r="A507" t="s">
        <v>513</v>
      </c>
      <c r="B507" t="s">
        <v>5449</v>
      </c>
      <c r="C507" t="s">
        <v>9524</v>
      </c>
      <c r="D507" t="s">
        <v>11880</v>
      </c>
      <c r="E507" s="2">
        <v>12327</v>
      </c>
      <c r="G507">
        <f>HYPERLINK("https://www.senat.fr/senateur-3eme-republique/bonnelat_emile0439r3.html", "bonnelat_emile0439r3")</f>
        <v>0</v>
      </c>
      <c r="H507">
        <f>HYPERLINK("https://www.wikidata.org/wiki/Q3588367", "Q3588367")</f>
        <v>0</v>
      </c>
    </row>
    <row r="508" spans="1:8">
      <c r="A508" t="s">
        <v>514</v>
      </c>
      <c r="B508" t="s">
        <v>5450</v>
      </c>
      <c r="C508" t="s">
        <v>9324</v>
      </c>
      <c r="D508" t="s">
        <v>11881</v>
      </c>
      <c r="E508" t="s">
        <v>15879</v>
      </c>
      <c r="F508">
        <f>HYPERLINK("https://www2.assemblee-nationale.fr/sycomore/fiche/(num_dept)/945", "945.0")</f>
        <v>0</v>
      </c>
      <c r="H508">
        <f>HYPERLINK("https://www.wikidata.org/wiki/Q15973781", "Q15973781")</f>
        <v>0</v>
      </c>
    </row>
    <row r="509" spans="1:8">
      <c r="A509" t="s">
        <v>515</v>
      </c>
      <c r="B509" t="s">
        <v>5451</v>
      </c>
      <c r="C509" t="s">
        <v>7869</v>
      </c>
      <c r="D509" t="s">
        <v>11882</v>
      </c>
      <c r="E509" s="2">
        <v>10988</v>
      </c>
      <c r="G509">
        <f>HYPERLINK("https://www.senat.fr/senateur-3eme-republique/bonnet_de_paillerets_marie0861r3.html", "bonnet_de_paillerets_marie0861r3")</f>
        <v>0</v>
      </c>
      <c r="H509">
        <f>HYPERLINK("https://www.wikidata.org/wiki/Q3184631", "Q3184631")</f>
        <v>0</v>
      </c>
    </row>
    <row r="510" spans="1:8">
      <c r="A510" t="s">
        <v>516</v>
      </c>
      <c r="B510" t="s">
        <v>5452</v>
      </c>
      <c r="C510" t="s">
        <v>9368</v>
      </c>
      <c r="D510" t="s">
        <v>11883</v>
      </c>
      <c r="E510" t="s">
        <v>15880</v>
      </c>
      <c r="G510">
        <f>HYPERLINK("https://www.senat.fr/senateur-3eme-republique/bonnet_louis_eugene0005r3.html", "bonnet_louis_eugene0005r3")</f>
        <v>0</v>
      </c>
      <c r="H510">
        <f>HYPERLINK("https://www.wikidata.org/wiki/Q3261308", "Q3261308")</f>
        <v>0</v>
      </c>
    </row>
    <row r="511" spans="1:8">
      <c r="A511" t="s">
        <v>517</v>
      </c>
      <c r="B511" t="s">
        <v>5453</v>
      </c>
      <c r="C511" t="s">
        <v>9638</v>
      </c>
      <c r="D511" t="s">
        <v>11884</v>
      </c>
      <c r="E511" t="s">
        <v>15881</v>
      </c>
      <c r="F511">
        <f>HYPERLINK("https://www2.assemblee-nationale.fr/sycomore/fiche/(num_dept)/8228", "8228.0")</f>
        <v>0</v>
      </c>
      <c r="H511">
        <f>HYPERLINK("https://www.wikidata.org/wiki/Q13091120", "Q13091120")</f>
        <v>0</v>
      </c>
    </row>
    <row r="512" spans="1:8">
      <c r="A512" t="s">
        <v>518</v>
      </c>
      <c r="B512" t="s">
        <v>5454</v>
      </c>
      <c r="C512" t="s">
        <v>9639</v>
      </c>
      <c r="D512" t="s">
        <v>11885</v>
      </c>
      <c r="E512" s="2">
        <v>9492</v>
      </c>
      <c r="F512">
        <f>HYPERLINK("https://www2.assemblee-nationale.fr/sycomore/fiche/(num_dept)/950", "950.0")</f>
        <v>0</v>
      </c>
      <c r="H512">
        <f>HYPERLINK("https://www.wikidata.org/wiki/Q15973789", "Q15973789")</f>
        <v>0</v>
      </c>
    </row>
    <row r="513" spans="1:8">
      <c r="A513" t="s">
        <v>519</v>
      </c>
      <c r="B513" t="s">
        <v>5454</v>
      </c>
      <c r="C513" t="s">
        <v>9640</v>
      </c>
      <c r="D513" t="s">
        <v>11886</v>
      </c>
      <c r="E513" s="2">
        <v>26833</v>
      </c>
      <c r="F513">
        <f>HYPERLINK("https://www2.assemblee-nationale.fr/sycomore/fiche/(num_dept)/949", "949.0")</f>
        <v>0</v>
      </c>
      <c r="H513">
        <f>HYPERLINK("https://www.wikidata.org/wiki/Q1262453", "Q1262453")</f>
        <v>0</v>
      </c>
    </row>
    <row r="514" spans="1:8">
      <c r="A514" t="s">
        <v>520</v>
      </c>
      <c r="B514" t="s">
        <v>5455</v>
      </c>
      <c r="C514" t="s">
        <v>9641</v>
      </c>
      <c r="D514" t="s">
        <v>11887</v>
      </c>
      <c r="E514" s="2">
        <v>4051</v>
      </c>
      <c r="F514">
        <f>HYPERLINK("https://www2.assemblee-nationale.fr/sycomore/fiche/(num_dept)/954", "954.0")</f>
        <v>0</v>
      </c>
      <c r="H514">
        <f>HYPERLINK("https://www.wikidata.org/wiki/Q2845557", "Q2845557")</f>
        <v>0</v>
      </c>
    </row>
    <row r="515" spans="1:8">
      <c r="A515" t="s">
        <v>521</v>
      </c>
      <c r="B515" t="s">
        <v>5456</v>
      </c>
      <c r="C515" t="s">
        <v>7549</v>
      </c>
      <c r="D515" t="s">
        <v>11888</v>
      </c>
      <c r="E515" s="2">
        <v>20968</v>
      </c>
      <c r="H515">
        <f>HYPERLINK("https://www.wikidata.org/wiki/Q3219051", "Q3219051")</f>
        <v>0</v>
      </c>
    </row>
    <row r="516" spans="1:8">
      <c r="A516" t="s">
        <v>522</v>
      </c>
      <c r="B516" t="s">
        <v>5456</v>
      </c>
      <c r="C516" t="s">
        <v>9642</v>
      </c>
      <c r="D516" t="s">
        <v>11889</v>
      </c>
      <c r="E516" s="2">
        <v>20968</v>
      </c>
      <c r="F516">
        <f>HYPERLINK("https://www2.assemblee-nationale.fr/sycomore/fiche/(num_dept)/955", "955.0")</f>
        <v>0</v>
      </c>
      <c r="G516">
        <f>HYPERLINK("https://www.senat.fr/senateur-3eme-republique/bonnevay_laurent1123r3.html", "bonnevay_laurent1123r3")</f>
        <v>0</v>
      </c>
      <c r="H516">
        <f>HYPERLINK("https://www.wikidata.org/wiki/Q3219051", "Q3219051")</f>
        <v>0</v>
      </c>
    </row>
    <row r="517" spans="1:8">
      <c r="A517" t="s">
        <v>523</v>
      </c>
      <c r="B517" t="s">
        <v>5457</v>
      </c>
      <c r="C517" t="s">
        <v>9438</v>
      </c>
      <c r="D517" t="s">
        <v>11890</v>
      </c>
      <c r="E517" s="2">
        <v>8932</v>
      </c>
      <c r="F517">
        <f>HYPERLINK("https://www2.assemblee-nationale.fr/sycomore/fiche/(num_dept)/956", "956.0")</f>
        <v>0</v>
      </c>
      <c r="G517">
        <f>HYPERLINK("https://www.senat.fr/senateur-3eme-republique/bonniard_victor0085r3.html", "bonniard_victor0085r3")</f>
        <v>0</v>
      </c>
      <c r="H517">
        <f>HYPERLINK("https://www.wikidata.org/wiki/Q3557172", "Q3557172")</f>
        <v>0</v>
      </c>
    </row>
    <row r="518" spans="1:8">
      <c r="A518" t="s">
        <v>524</v>
      </c>
      <c r="B518" t="s">
        <v>5458</v>
      </c>
      <c r="C518" t="s">
        <v>9643</v>
      </c>
      <c r="D518" t="s">
        <v>11891</v>
      </c>
      <c r="E518" s="2">
        <v>6051</v>
      </c>
      <c r="F518">
        <f>HYPERLINK("https://www2.assemblee-nationale.fr/sycomore/fiche/(num_dept)/959", "959.0")</f>
        <v>0</v>
      </c>
      <c r="H518">
        <f>HYPERLINK("https://www.wikidata.org/wiki/Q15973768", "Q15973768")</f>
        <v>0</v>
      </c>
    </row>
    <row r="519" spans="1:8">
      <c r="A519" t="s">
        <v>525</v>
      </c>
      <c r="B519" t="s">
        <v>5459</v>
      </c>
      <c r="C519" t="s">
        <v>9644</v>
      </c>
      <c r="D519" t="s">
        <v>11892</v>
      </c>
      <c r="E519" s="2">
        <v>1172</v>
      </c>
      <c r="F519">
        <f>HYPERLINK("https://www2.assemblee-nationale.fr/sycomore/fiche/(num_dept)/961", "961.0")</f>
        <v>0</v>
      </c>
      <c r="G519">
        <f>HYPERLINK("https://www.senat.fr/senateur-3eme-republique/bontemps_charles1170r3.html", "bontemps_charles1170r3")</f>
        <v>0</v>
      </c>
      <c r="H519">
        <f>HYPERLINK("https://www.wikidata.org/wiki/Q2958577", "Q2958577")</f>
        <v>0</v>
      </c>
    </row>
    <row r="520" spans="1:8">
      <c r="A520" t="s">
        <v>526</v>
      </c>
      <c r="B520" t="s">
        <v>5460</v>
      </c>
      <c r="C520" t="s">
        <v>6888</v>
      </c>
      <c r="D520" t="s">
        <v>11893</v>
      </c>
      <c r="E520" s="2">
        <v>2251</v>
      </c>
      <c r="F520">
        <f>HYPERLINK("https://www2.assemblee-nationale.fr/sycomore/fiche/(num_dept)/962", "962.0")</f>
        <v>0</v>
      </c>
      <c r="H520">
        <f>HYPERLINK("https://www.wikidata.org/wiki/Q8339569", "Q8339569")</f>
        <v>0</v>
      </c>
    </row>
    <row r="521" spans="1:8">
      <c r="A521" t="s">
        <v>527</v>
      </c>
      <c r="B521" t="s">
        <v>5461</v>
      </c>
      <c r="C521" t="s">
        <v>9645</v>
      </c>
      <c r="D521" t="s">
        <v>11894</v>
      </c>
      <c r="E521" s="2">
        <v>12397</v>
      </c>
      <c r="F521">
        <f>HYPERLINK("https://www2.assemblee-nationale.fr/sycomore/fiche/(num_dept)/963", "963.0")</f>
        <v>0</v>
      </c>
      <c r="H521">
        <f>HYPERLINK("https://www.wikidata.org/wiki/Q1489006", "Q1489006")</f>
        <v>0</v>
      </c>
    </row>
    <row r="522" spans="1:8">
      <c r="A522" t="s">
        <v>528</v>
      </c>
      <c r="B522" t="s">
        <v>5462</v>
      </c>
      <c r="C522" t="s">
        <v>9533</v>
      </c>
      <c r="D522" t="s">
        <v>11895</v>
      </c>
      <c r="E522" s="2">
        <v>10489</v>
      </c>
      <c r="F522">
        <f>HYPERLINK("https://www2.assemblee-nationale.fr/sycomore/fiche/(num_dept)/965", "965.0")</f>
        <v>0</v>
      </c>
      <c r="G522">
        <f>HYPERLINK("https://www.senat.fr/senateur-3eme-republique/bony_cisternes_antoine0999r3.html", "bony_cisternes_antoine0999r3")</f>
        <v>0</v>
      </c>
      <c r="H522">
        <f>HYPERLINK("https://www.wikidata.org/wiki/Q2853703", "Q2853703")</f>
        <v>0</v>
      </c>
    </row>
    <row r="523" spans="1:8">
      <c r="A523" t="s">
        <v>529</v>
      </c>
      <c r="B523" t="s">
        <v>5463</v>
      </c>
      <c r="C523" t="s">
        <v>9646</v>
      </c>
      <c r="D523" t="s">
        <v>11896</v>
      </c>
      <c r="E523" s="2">
        <v>1530</v>
      </c>
      <c r="F523">
        <f>HYPERLINK("https://www2.assemblee-nationale.fr/sycomore/fiche/(num_dept)/1437", "1437.0")</f>
        <v>0</v>
      </c>
      <c r="H523">
        <f>HYPERLINK("https://www.wikidata.org/wiki/Q15974131", "Q15974131")</f>
        <v>0</v>
      </c>
    </row>
    <row r="524" spans="1:8">
      <c r="A524" t="s">
        <v>530</v>
      </c>
      <c r="B524" t="s">
        <v>5464</v>
      </c>
      <c r="C524" t="s">
        <v>9647</v>
      </c>
      <c r="D524" t="s">
        <v>11897</v>
      </c>
      <c r="E524" s="2">
        <v>9392</v>
      </c>
      <c r="F524">
        <f>HYPERLINK("https://www2.assemblee-nationale.fr/sycomore/fiche/(num_dept)/969", "969.0")</f>
        <v>0</v>
      </c>
      <c r="H524">
        <f>HYPERLINK("https://www.wikidata.org/wiki/Q15973769", "Q15973769")</f>
        <v>0</v>
      </c>
    </row>
    <row r="525" spans="1:8">
      <c r="A525" t="s">
        <v>531</v>
      </c>
      <c r="B525" t="s">
        <v>5465</v>
      </c>
      <c r="C525" t="s">
        <v>7314</v>
      </c>
      <c r="D525" t="s">
        <v>11898</v>
      </c>
      <c r="E525" t="s">
        <v>15882</v>
      </c>
      <c r="G525">
        <f>HYPERLINK("https://www.senat.fr/senateur-3eme-republique/bordes_pages_jacques0186r3.html", "bordes_pages_jacques0186r3")</f>
        <v>0</v>
      </c>
      <c r="H525">
        <f>HYPERLINK("https://www.wikidata.org/wiki/Q3158323", "Q3158323")</f>
        <v>0</v>
      </c>
    </row>
    <row r="526" spans="1:8">
      <c r="A526" t="s">
        <v>532</v>
      </c>
      <c r="B526" t="s">
        <v>5466</v>
      </c>
      <c r="C526" t="s">
        <v>6864</v>
      </c>
      <c r="D526" t="s">
        <v>11899</v>
      </c>
      <c r="E526" s="2">
        <v>440</v>
      </c>
      <c r="F526">
        <f>HYPERLINK("https://www2.assemblee-nationale.fr/sycomore/fiche/(num_dept)/970", "970.0")</f>
        <v>0</v>
      </c>
      <c r="H526">
        <f>HYPERLINK("https://www.wikidata.org/wiki/Q8308262", "Q8308262")</f>
        <v>0</v>
      </c>
    </row>
    <row r="527" spans="1:8">
      <c r="A527" t="s">
        <v>533</v>
      </c>
      <c r="B527" t="s">
        <v>5467</v>
      </c>
      <c r="C527" t="s">
        <v>9648</v>
      </c>
      <c r="D527" t="s">
        <v>11900</v>
      </c>
      <c r="E527" s="2">
        <v>875</v>
      </c>
      <c r="F527">
        <f>HYPERLINK("https://www2.assemblee-nationale.fr/sycomore/fiche/(num_dept)/971", "971.0")</f>
        <v>0</v>
      </c>
      <c r="H527">
        <f>HYPERLINK("https://www.wikidata.org/wiki/Q15973808", "Q15973808")</f>
        <v>0</v>
      </c>
    </row>
    <row r="528" spans="1:8">
      <c r="A528" t="s">
        <v>534</v>
      </c>
      <c r="B528" t="s">
        <v>5468</v>
      </c>
      <c r="C528" t="s">
        <v>9649</v>
      </c>
      <c r="D528" t="s">
        <v>11901</v>
      </c>
      <c r="E528" s="2">
        <v>6576</v>
      </c>
      <c r="F528">
        <f>HYPERLINK("https://www2.assemblee-nationale.fr/sycomore/fiche/(num_dept)/973", "973.0")</f>
        <v>0</v>
      </c>
      <c r="H528">
        <f>HYPERLINK("https://www.wikidata.org/wiki/Q15973823", "Q15973823")</f>
        <v>0</v>
      </c>
    </row>
    <row r="529" spans="1:8">
      <c r="A529" t="s">
        <v>535</v>
      </c>
      <c r="B529" t="s">
        <v>5469</v>
      </c>
      <c r="C529" t="s">
        <v>9650</v>
      </c>
      <c r="D529" t="s">
        <v>11902</v>
      </c>
      <c r="E529" s="2">
        <v>20488</v>
      </c>
      <c r="F529">
        <f>HYPERLINK("https://www2.assemblee-nationale.fr/sycomore/fiche/(num_dept)/975", "975.0")</f>
        <v>0</v>
      </c>
      <c r="H529">
        <f>HYPERLINK("https://www.wikidata.org/wiki/Q154356", "Q154356")</f>
        <v>0</v>
      </c>
    </row>
    <row r="530" spans="1:8">
      <c r="A530" t="s">
        <v>536</v>
      </c>
      <c r="B530" t="s">
        <v>5470</v>
      </c>
      <c r="C530" t="s">
        <v>9438</v>
      </c>
      <c r="D530" t="s">
        <v>11903</v>
      </c>
      <c r="E530" s="2">
        <v>19106</v>
      </c>
      <c r="F530">
        <f>HYPERLINK("https://www2.assemblee-nationale.fr/sycomore/fiche/(num_dept)/976", "976.0")</f>
        <v>0</v>
      </c>
      <c r="G530">
        <f>HYPERLINK("https://www.senat.fr/senateur-3eme-republique/boret_victor1774r3.html", "boret_victor1774r3")</f>
        <v>0</v>
      </c>
      <c r="H530">
        <f>HYPERLINK("https://www.wikidata.org/wiki/Q3557173", "Q3557173")</f>
        <v>0</v>
      </c>
    </row>
    <row r="531" spans="1:8">
      <c r="A531" t="s">
        <v>537</v>
      </c>
      <c r="B531" t="s">
        <v>5471</v>
      </c>
      <c r="C531" t="s">
        <v>9355</v>
      </c>
      <c r="D531" t="s">
        <v>11904</v>
      </c>
      <c r="E531" s="2">
        <v>22889</v>
      </c>
      <c r="G531">
        <f>HYPERLINK("https://www.senat.fr/senateur-3eme-republique/borgeot_charles1212r3.html", "borgeot_charles1212r3")</f>
        <v>0</v>
      </c>
      <c r="H531">
        <f>HYPERLINK("https://www.wikidata.org/wiki/Q2958580", "Q2958580")</f>
        <v>0</v>
      </c>
    </row>
    <row r="532" spans="1:8">
      <c r="A532" t="s">
        <v>538</v>
      </c>
      <c r="B532" t="s">
        <v>5472</v>
      </c>
      <c r="C532" t="s">
        <v>9651</v>
      </c>
      <c r="D532" t="s">
        <v>11905</v>
      </c>
      <c r="E532" s="2">
        <v>2581</v>
      </c>
      <c r="F532">
        <f>HYPERLINK("https://www2.assemblee-nationale.fr/sycomore/fiche/(num_dept)/7546", "7546.0")</f>
        <v>0</v>
      </c>
      <c r="H532">
        <f>HYPERLINK("https://www.wikidata.org/wiki/Q3168567", "Q3168567")</f>
        <v>0</v>
      </c>
    </row>
    <row r="533" spans="1:8">
      <c r="A533" t="s">
        <v>539</v>
      </c>
      <c r="B533" t="s">
        <v>5473</v>
      </c>
      <c r="C533" t="s">
        <v>9652</v>
      </c>
      <c r="D533" t="s">
        <v>11906</v>
      </c>
      <c r="E533" s="2">
        <v>9861</v>
      </c>
      <c r="F533">
        <f>HYPERLINK("https://www2.assemblee-nationale.fr/sycomore/fiche/(num_dept)/977", "977.0")</f>
        <v>0</v>
      </c>
      <c r="H533">
        <f>HYPERLINK("https://www.wikidata.org/wiki/Q15973830", "Q15973830")</f>
        <v>0</v>
      </c>
    </row>
    <row r="534" spans="1:8">
      <c r="A534" t="s">
        <v>540</v>
      </c>
      <c r="B534" t="s">
        <v>5474</v>
      </c>
      <c r="C534" t="s">
        <v>9653</v>
      </c>
      <c r="D534" t="s">
        <v>11907</v>
      </c>
      <c r="E534" s="2">
        <v>1009</v>
      </c>
      <c r="F534">
        <f>HYPERLINK("https://www2.assemblee-nationale.fr/sycomore/fiche/(num_dept)/6471", "6471.0")</f>
        <v>0</v>
      </c>
      <c r="H534">
        <f>HYPERLINK("https://www.wikidata.org/wiki/Q16026364", "Q16026364")</f>
        <v>0</v>
      </c>
    </row>
    <row r="535" spans="1:8">
      <c r="A535" t="s">
        <v>541</v>
      </c>
      <c r="B535" t="s">
        <v>5475</v>
      </c>
      <c r="C535" t="s">
        <v>9654</v>
      </c>
      <c r="D535" t="s">
        <v>11908</v>
      </c>
      <c r="E535" s="2">
        <v>3114</v>
      </c>
      <c r="F535">
        <f>HYPERLINK("https://www2.assemblee-nationale.fr/sycomore/fiche/(num_dept)/978", "978.0")</f>
        <v>0</v>
      </c>
      <c r="H535">
        <f>HYPERLINK("https://www.wikidata.org/wiki/Q15973845", "Q15973845")</f>
        <v>0</v>
      </c>
    </row>
    <row r="536" spans="1:8">
      <c r="A536" t="s">
        <v>542</v>
      </c>
      <c r="B536" t="s">
        <v>5476</v>
      </c>
      <c r="C536" t="s">
        <v>9655</v>
      </c>
      <c r="D536" t="s">
        <v>11909</v>
      </c>
      <c r="E536" s="2">
        <v>4655</v>
      </c>
      <c r="F536">
        <f>HYPERLINK("https://www2.assemblee-nationale.fr/sycomore/fiche/(num_dept)/979", "979.0")</f>
        <v>0</v>
      </c>
      <c r="H536">
        <f>HYPERLINK("https://www.wikidata.org/wiki/Q15973816", "Q15973816")</f>
        <v>0</v>
      </c>
    </row>
    <row r="537" spans="1:8">
      <c r="A537" t="s">
        <v>543</v>
      </c>
      <c r="B537" t="s">
        <v>5477</v>
      </c>
      <c r="C537" t="s">
        <v>9656</v>
      </c>
      <c r="D537" t="s">
        <v>11910</v>
      </c>
      <c r="E537" s="2">
        <v>4984</v>
      </c>
      <c r="F537">
        <f>HYPERLINK("https://www2.assemblee-nationale.fr/sycomore/fiche/(num_dept)/981", "981.0")</f>
        <v>0</v>
      </c>
      <c r="G537">
        <f>HYPERLINK("https://www.senat.fr/senateur-3eme-republique/borne_charles0678r3.html", "borne_charles0678r3")</f>
        <v>0</v>
      </c>
      <c r="H537">
        <f>HYPERLINK("https://www.wikidata.org/wiki/Q2958581", "Q2958581")</f>
        <v>0</v>
      </c>
    </row>
    <row r="538" spans="1:8">
      <c r="A538" t="s">
        <v>544</v>
      </c>
      <c r="B538" t="s">
        <v>5478</v>
      </c>
      <c r="C538" t="s">
        <v>9533</v>
      </c>
      <c r="D538" t="s">
        <v>11911</v>
      </c>
      <c r="E538" s="2">
        <v>22348</v>
      </c>
      <c r="F538">
        <f>HYPERLINK("https://www2.assemblee-nationale.fr/sycomore/fiche/(num_dept)/985", "985.0")</f>
        <v>0</v>
      </c>
      <c r="G538">
        <f>HYPERLINK("https://www.senat.fr/senateur-3eme-republique/borrel_antoine1303r3.html", "borrel_antoine1303r3")</f>
        <v>0</v>
      </c>
      <c r="H538">
        <f>HYPERLINK("https://www.wikidata.org/wiki/Q2853712", "Q2853712")</f>
        <v>0</v>
      </c>
    </row>
    <row r="539" spans="1:8">
      <c r="A539" t="s">
        <v>545</v>
      </c>
      <c r="B539" t="s">
        <v>5479</v>
      </c>
      <c r="C539" t="s">
        <v>9657</v>
      </c>
      <c r="D539" t="s">
        <v>11912</v>
      </c>
      <c r="E539" s="2">
        <v>972</v>
      </c>
      <c r="F539">
        <f>HYPERLINK("https://www2.assemblee-nationale.fr/sycomore/fiche/(num_dept)/987", "987.0")</f>
        <v>0</v>
      </c>
      <c r="G539">
        <f>HYPERLINK("https://www.senat.fr/senateur-3eme-republique/borriglione_alfred0114r3.html", "borriglione_alfred0114r3")</f>
        <v>0</v>
      </c>
      <c r="H539">
        <f>HYPERLINK("https://www.wikidata.org/wiki/Q2834977", "Q2834977")</f>
        <v>0</v>
      </c>
    </row>
    <row r="540" spans="1:8">
      <c r="A540" t="s">
        <v>546</v>
      </c>
      <c r="B540" t="s">
        <v>5480</v>
      </c>
      <c r="C540" t="s">
        <v>9658</v>
      </c>
      <c r="D540" t="s">
        <v>11913</v>
      </c>
      <c r="E540" s="2">
        <v>11463</v>
      </c>
      <c r="F540">
        <f>HYPERLINK("https://www2.assemblee-nationale.fr/sycomore/fiche/(num_dept)/988", "988.0")</f>
        <v>0</v>
      </c>
      <c r="H540">
        <f>HYPERLINK("https://www.wikidata.org/wiki/Q16025422", "Q16025422")</f>
        <v>0</v>
      </c>
    </row>
    <row r="541" spans="1:8">
      <c r="A541" t="s">
        <v>547</v>
      </c>
      <c r="B541" t="s">
        <v>5481</v>
      </c>
      <c r="C541" t="s">
        <v>9659</v>
      </c>
      <c r="D541" t="s">
        <v>11914</v>
      </c>
      <c r="E541" s="2">
        <v>9796</v>
      </c>
      <c r="F541">
        <f>HYPERLINK("https://www2.assemblee-nationale.fr/sycomore/fiche/(num_dept)/989", "989.0")</f>
        <v>0</v>
      </c>
      <c r="H541">
        <f>HYPERLINK("https://www.wikidata.org/wiki/Q13080825", "Q13080825")</f>
        <v>0</v>
      </c>
    </row>
    <row r="542" spans="1:8">
      <c r="A542" t="s">
        <v>548</v>
      </c>
      <c r="B542" t="s">
        <v>5482</v>
      </c>
      <c r="C542" t="s">
        <v>9660</v>
      </c>
      <c r="D542" t="s">
        <v>11654</v>
      </c>
      <c r="E542" t="s">
        <v>15883</v>
      </c>
      <c r="F542">
        <f>HYPERLINK("https://www2.assemblee-nationale.fr/sycomore/fiche/(num_dept)/8130", "8130.0")</f>
        <v>0</v>
      </c>
      <c r="H542">
        <f>HYPERLINK("https://www.wikidata.org/wiki/Q2824778", "Q2824778")</f>
        <v>0</v>
      </c>
    </row>
    <row r="543" spans="1:8">
      <c r="A543" t="s">
        <v>549</v>
      </c>
      <c r="B543" t="s">
        <v>5482</v>
      </c>
      <c r="C543" t="s">
        <v>7342</v>
      </c>
      <c r="D543" t="s">
        <v>11915</v>
      </c>
      <c r="E543" s="2">
        <v>21846</v>
      </c>
      <c r="F543">
        <f>HYPERLINK("https://www2.assemblee-nationale.fr/sycomore/fiche/(num_dept)/990", "990.0")</f>
        <v>0</v>
      </c>
      <c r="G543">
        <f>HYPERLINK("https://www.senat.fr/senateur-3eme-republique/bosc_jean0822r3.html", "bosc_jean0822r3")</f>
        <v>0</v>
      </c>
      <c r="H543">
        <f>HYPERLINK("https://www.wikidata.org/wiki/Q1685388", "Q1685388")</f>
        <v>0</v>
      </c>
    </row>
    <row r="544" spans="1:8">
      <c r="A544" t="s">
        <v>550</v>
      </c>
      <c r="B544" t="s">
        <v>5483</v>
      </c>
      <c r="C544" t="s">
        <v>9661</v>
      </c>
      <c r="D544" t="s">
        <v>11916</v>
      </c>
      <c r="E544" s="2">
        <v>4410</v>
      </c>
      <c r="F544">
        <f>HYPERLINK("https://www2.assemblee-nationale.fr/sycomore/fiche/(num_dept)/993", "993.0")</f>
        <v>0</v>
      </c>
      <c r="H544">
        <f>HYPERLINK("https://www.wikidata.org/wiki/Q2871538", "Q2871538")</f>
        <v>0</v>
      </c>
    </row>
    <row r="545" spans="1:8">
      <c r="A545" t="s">
        <v>551</v>
      </c>
      <c r="B545" t="s">
        <v>5484</v>
      </c>
      <c r="C545" t="s">
        <v>9662</v>
      </c>
      <c r="D545" t="s">
        <v>11917</v>
      </c>
      <c r="E545" s="2">
        <v>17111</v>
      </c>
      <c r="F545">
        <f>HYPERLINK("https://www2.assemblee-nationale.fr/sycomore/fiche/(num_dept)/994", "994.0")</f>
        <v>0</v>
      </c>
      <c r="H545">
        <f>HYPERLINK("https://www.wikidata.org/wiki/Q15972019", "Q15972019")</f>
        <v>0</v>
      </c>
    </row>
    <row r="546" spans="1:8">
      <c r="A546" t="s">
        <v>552</v>
      </c>
      <c r="B546" t="s">
        <v>5485</v>
      </c>
      <c r="C546" t="s">
        <v>9663</v>
      </c>
      <c r="D546" t="s">
        <v>11918</v>
      </c>
      <c r="E546" s="2">
        <v>8554</v>
      </c>
      <c r="F546">
        <f>HYPERLINK("https://www2.assemblee-nationale.fr/sycomore/fiche/(num_dept)/3056", "3056.0")</f>
        <v>0</v>
      </c>
      <c r="H546">
        <f>HYPERLINK("https://www.wikidata.org/wiki/Q3047823", "Q3047823")</f>
        <v>0</v>
      </c>
    </row>
    <row r="547" spans="1:8">
      <c r="A547" t="s">
        <v>553</v>
      </c>
      <c r="B547" t="s">
        <v>5486</v>
      </c>
      <c r="C547" t="s">
        <v>9664</v>
      </c>
      <c r="D547" t="s">
        <v>11919</v>
      </c>
      <c r="E547" t="s">
        <v>15884</v>
      </c>
      <c r="F547">
        <f>HYPERLINK("https://www2.assemblee-nationale.fr/sycomore/fiche/(num_dept)/1000", "1000.0")</f>
        <v>0</v>
      </c>
      <c r="H547">
        <f>HYPERLINK("https://www.wikidata.org/wiki/Q15973854", "Q15973854")</f>
        <v>0</v>
      </c>
    </row>
    <row r="548" spans="1:8">
      <c r="A548" t="s">
        <v>554</v>
      </c>
      <c r="B548" t="s">
        <v>5487</v>
      </c>
      <c r="C548" t="s">
        <v>5117</v>
      </c>
      <c r="D548" t="s">
        <v>11920</v>
      </c>
      <c r="E548" s="2">
        <v>10816</v>
      </c>
      <c r="F548">
        <f>HYPERLINK("https://www2.assemblee-nationale.fr/sycomore/fiche/(num_dept)/1003", "1003.0")</f>
        <v>0</v>
      </c>
      <c r="H548">
        <f>HYPERLINK("https://www.wikidata.org/wiki/Q4792643", "Q4792643")</f>
        <v>0</v>
      </c>
    </row>
    <row r="549" spans="1:8">
      <c r="A549" t="s">
        <v>555</v>
      </c>
      <c r="B549" t="s">
        <v>5488</v>
      </c>
      <c r="C549" t="s">
        <v>9665</v>
      </c>
      <c r="D549" t="s">
        <v>11921</v>
      </c>
      <c r="E549" t="s">
        <v>15349</v>
      </c>
      <c r="F549">
        <f>HYPERLINK("https://www2.assemblee-nationale.fr/sycomore/fiche/(num_dept)/1004", "1004.0")</f>
        <v>0</v>
      </c>
      <c r="H549">
        <f>HYPERLINK("https://www.wikidata.org/wiki/Q15973811", "Q15973811")</f>
        <v>0</v>
      </c>
    </row>
    <row r="550" spans="1:8">
      <c r="A550" t="s">
        <v>556</v>
      </c>
      <c r="B550" t="s">
        <v>5489</v>
      </c>
      <c r="C550" t="s">
        <v>9564</v>
      </c>
      <c r="D550" t="s">
        <v>11922</v>
      </c>
      <c r="E550" s="2">
        <v>3767</v>
      </c>
      <c r="G550">
        <f>HYPERLINK("https://www.senat.fr/senateur-3eme-republique/boucher_cadart_alfred0922r3.html", "boucher_cadart_alfred0922r3")</f>
        <v>0</v>
      </c>
      <c r="H550">
        <f>HYPERLINK("https://www.wikidata.org/wiki/Q2834979", "Q2834979")</f>
        <v>0</v>
      </c>
    </row>
    <row r="551" spans="1:8">
      <c r="A551" t="s">
        <v>557</v>
      </c>
      <c r="B551" t="s">
        <v>5490</v>
      </c>
      <c r="C551" t="s">
        <v>9556</v>
      </c>
      <c r="D551" t="s">
        <v>11923</v>
      </c>
      <c r="E551" s="2">
        <v>2644</v>
      </c>
      <c r="F551">
        <f>HYPERLINK("https://www2.assemblee-nationale.fr/sycomore/fiche/(num_dept)/1009", "1009.0")</f>
        <v>0</v>
      </c>
      <c r="H551">
        <f>HYPERLINK("https://www.wikidata.org/wiki/Q3184343", "Q3184343")</f>
        <v>0</v>
      </c>
    </row>
    <row r="552" spans="1:8">
      <c r="A552" t="s">
        <v>558</v>
      </c>
      <c r="B552" t="s">
        <v>5490</v>
      </c>
      <c r="C552" t="s">
        <v>9666</v>
      </c>
      <c r="D552" t="s">
        <v>11924</v>
      </c>
      <c r="E552" s="2">
        <v>9894</v>
      </c>
      <c r="F552">
        <f>HYPERLINK("https://www2.assemblee-nationale.fr/sycomore/fiche/(num_dept)/1008", "1008.0")</f>
        <v>0</v>
      </c>
      <c r="G552">
        <f>HYPERLINK("https://www.senat.fr/senateur-3eme-republique/boucher_henry1805r3.html", "boucher_henry1805r3")</f>
        <v>0</v>
      </c>
      <c r="H552">
        <f>HYPERLINK("https://www.wikidata.org/wiki/Q3132647", "Q3132647")</f>
        <v>0</v>
      </c>
    </row>
    <row r="553" spans="1:8">
      <c r="A553" t="s">
        <v>559</v>
      </c>
      <c r="B553" t="s">
        <v>5491</v>
      </c>
      <c r="C553" t="s">
        <v>9667</v>
      </c>
      <c r="D553" t="s">
        <v>11925</v>
      </c>
      <c r="E553" s="2">
        <v>16804</v>
      </c>
      <c r="F553">
        <f>HYPERLINK("https://www2.assemblee-nationale.fr/sycomore/fiche/(num_dept)/1011", "1011.0")</f>
        <v>0</v>
      </c>
      <c r="H553">
        <f>HYPERLINK("https://www.wikidata.org/wiki/Q3102335", "Q3102335")</f>
        <v>0</v>
      </c>
    </row>
    <row r="554" spans="1:8">
      <c r="A554" t="s">
        <v>560</v>
      </c>
      <c r="B554" t="s">
        <v>5492</v>
      </c>
      <c r="C554" t="s">
        <v>9668</v>
      </c>
      <c r="D554" t="s">
        <v>11926</v>
      </c>
      <c r="F554">
        <f>HYPERLINK("https://www2.assemblee-nationale.fr/sycomore/fiche/(num_dept)/1015", "1015.0")</f>
        <v>0</v>
      </c>
      <c r="H554">
        <f>HYPERLINK("https://www.wikidata.org/wiki/Q3588370", "Q3588370")</f>
        <v>0</v>
      </c>
    </row>
    <row r="555" spans="1:8">
      <c r="A555" t="s">
        <v>561</v>
      </c>
      <c r="B555" t="s">
        <v>5493</v>
      </c>
      <c r="C555" t="s">
        <v>9669</v>
      </c>
      <c r="D555" t="s">
        <v>11927</v>
      </c>
      <c r="E555" s="2">
        <v>21650</v>
      </c>
      <c r="F555">
        <f>HYPERLINK("https://www2.assemblee-nationale.fr/sycomore/fiche/(num_dept)/7547", "7547.0")</f>
        <v>0</v>
      </c>
      <c r="H555">
        <f>HYPERLINK("https://www.wikidata.org/wiki/Q2959588", "Q2959588")</f>
        <v>0</v>
      </c>
    </row>
    <row r="556" spans="1:8">
      <c r="A556" t="s">
        <v>562</v>
      </c>
      <c r="B556" t="s">
        <v>5494</v>
      </c>
      <c r="C556" t="s">
        <v>9670</v>
      </c>
      <c r="D556" t="s">
        <v>11928</v>
      </c>
      <c r="E556" s="2">
        <v>10651</v>
      </c>
      <c r="F556">
        <f>HYPERLINK("https://www2.assemblee-nationale.fr/sycomore/fiche/(num_dept)/1016", "1016.0")</f>
        <v>0</v>
      </c>
      <c r="G556">
        <f>HYPERLINK("https://www.senat.fr/senateur-3eme-republique/bouctot_georges1611r3.html", "bouctot_georges1611r3")</f>
        <v>0</v>
      </c>
      <c r="H556">
        <f>HYPERLINK("https://www.wikidata.org/wiki/Q3102338", "Q3102338")</f>
        <v>0</v>
      </c>
    </row>
    <row r="557" spans="1:8">
      <c r="A557" t="s">
        <v>563</v>
      </c>
      <c r="B557" t="s">
        <v>5495</v>
      </c>
      <c r="C557" t="s">
        <v>9671</v>
      </c>
      <c r="D557" t="s">
        <v>11929</v>
      </c>
      <c r="E557" s="2">
        <v>4532</v>
      </c>
      <c r="F557">
        <f>HYPERLINK("https://www2.assemblee-nationale.fr/sycomore/fiche/(num_dept)/1017", "1017.0")</f>
        <v>0</v>
      </c>
      <c r="H557">
        <f>HYPERLINK("https://www.wikidata.org/wiki/Q16025785", "Q16025785")</f>
        <v>0</v>
      </c>
    </row>
    <row r="558" spans="1:8">
      <c r="A558" t="s">
        <v>564</v>
      </c>
      <c r="B558" t="s">
        <v>5496</v>
      </c>
      <c r="C558" t="s">
        <v>9672</v>
      </c>
      <c r="D558" t="s">
        <v>11930</v>
      </c>
      <c r="E558" s="2">
        <v>8331</v>
      </c>
      <c r="F558">
        <f>HYPERLINK("https://www2.assemblee-nationale.fr/sycomore/fiche/(num_dept)/1018", "1018.0")</f>
        <v>0</v>
      </c>
      <c r="G558">
        <f>HYPERLINK("https://www.senat.fr/senateur-3eme-republique/boudenoot_louis0930r3.html", "boudenoot_louis0930r3")</f>
        <v>0</v>
      </c>
      <c r="H558">
        <f>HYPERLINK("https://www.wikidata.org/wiki/Q3261324", "Q3261324")</f>
        <v>0</v>
      </c>
    </row>
    <row r="559" spans="1:8">
      <c r="A559" t="s">
        <v>565</v>
      </c>
      <c r="B559" t="s">
        <v>5497</v>
      </c>
      <c r="C559" t="s">
        <v>9320</v>
      </c>
      <c r="D559" t="s">
        <v>11931</v>
      </c>
      <c r="E559" s="2">
        <v>23976</v>
      </c>
      <c r="F559">
        <f>HYPERLINK("https://www2.assemblee-nationale.fr/sycomore/fiche/(num_dept)/1019", "1019.0")</f>
        <v>0</v>
      </c>
      <c r="H559">
        <f>HYPERLINK("https://www.wikidata.org/wiki/Q3425895", "Q3425895")</f>
        <v>0</v>
      </c>
    </row>
    <row r="560" spans="1:8">
      <c r="A560" t="s">
        <v>566</v>
      </c>
      <c r="B560" t="s">
        <v>5498</v>
      </c>
      <c r="C560" t="s">
        <v>9355</v>
      </c>
      <c r="D560" t="s">
        <v>11932</v>
      </c>
      <c r="E560" t="s">
        <v>15885</v>
      </c>
      <c r="F560">
        <f>HYPERLINK("https://www2.assemblee-nationale.fr/sycomore/fiche/(num_dept)/1021", "1021.0")</f>
        <v>0</v>
      </c>
      <c r="H560">
        <f>HYPERLINK("https://www.wikidata.org/wiki/Q15973825", "Q15973825")</f>
        <v>0</v>
      </c>
    </row>
    <row r="561" spans="1:8">
      <c r="A561" t="s">
        <v>567</v>
      </c>
      <c r="B561" t="s">
        <v>5499</v>
      </c>
      <c r="C561" t="s">
        <v>9346</v>
      </c>
      <c r="D561" t="s">
        <v>11933</v>
      </c>
      <c r="E561" s="2">
        <v>12615</v>
      </c>
      <c r="G561">
        <f>HYPERLINK("https://www.senat.fr/senateur-3eme-republique/boudin_edouard0379r3.html", "boudin_edouard0379r3")</f>
        <v>0</v>
      </c>
      <c r="H561">
        <f>HYPERLINK("https://www.wikidata.org/wiki/Q3579747", "Q3579747")</f>
        <v>0</v>
      </c>
    </row>
    <row r="562" spans="1:8">
      <c r="A562" t="s">
        <v>568</v>
      </c>
      <c r="B562" t="s">
        <v>5500</v>
      </c>
      <c r="C562" t="s">
        <v>9673</v>
      </c>
      <c r="D562" t="s">
        <v>11934</v>
      </c>
      <c r="E562" s="2">
        <v>15777</v>
      </c>
      <c r="F562">
        <f>HYPERLINK("https://www2.assemblee-nationale.fr/sycomore/fiche/(num_dept)/1024", "1024.0")</f>
        <v>0</v>
      </c>
      <c r="H562">
        <f>HYPERLINK("https://www.wikidata.org/wiki/Q15973840", "Q15973840")</f>
        <v>0</v>
      </c>
    </row>
    <row r="563" spans="1:8">
      <c r="A563" t="s">
        <v>569</v>
      </c>
      <c r="B563" t="s">
        <v>5501</v>
      </c>
      <c r="C563" t="s">
        <v>9674</v>
      </c>
      <c r="D563" t="s">
        <v>11935</v>
      </c>
      <c r="E563" s="2">
        <v>9630</v>
      </c>
      <c r="F563">
        <f>HYPERLINK("https://www2.assemblee-nationale.fr/sycomore/fiche/(num_dept)/1028", "1028.0")</f>
        <v>0</v>
      </c>
      <c r="H563">
        <f>HYPERLINK("https://www.wikidata.org/wiki/Q3092384", "Q3092384")</f>
        <v>0</v>
      </c>
    </row>
    <row r="564" spans="1:8">
      <c r="A564" t="s">
        <v>570</v>
      </c>
      <c r="B564" t="s">
        <v>5502</v>
      </c>
      <c r="C564" t="s">
        <v>5058</v>
      </c>
      <c r="D564" t="s">
        <v>11936</v>
      </c>
      <c r="E564" s="2">
        <v>5098</v>
      </c>
      <c r="G564">
        <f>HYPERLINK("https://www.senat.fr/senateur-3eme-republique/bouffier_albert1134r3.html", "bouffier_albert1134r3")</f>
        <v>0</v>
      </c>
      <c r="H564">
        <f>HYPERLINK("https://www.wikidata.org/wiki/Q2830979", "Q2830979")</f>
        <v>0</v>
      </c>
    </row>
    <row r="565" spans="1:8">
      <c r="A565" t="s">
        <v>571</v>
      </c>
      <c r="B565" t="s">
        <v>5503</v>
      </c>
      <c r="C565" t="s">
        <v>9675</v>
      </c>
      <c r="D565" t="s">
        <v>11937</v>
      </c>
      <c r="E565" s="2">
        <v>11331</v>
      </c>
      <c r="F565">
        <f>HYPERLINK("https://www2.assemblee-nationale.fr/sycomore/fiche/(num_dept)/1029", "1029.0")</f>
        <v>0</v>
      </c>
      <c r="H565">
        <f>HYPERLINK("https://www.wikidata.org/wiki/Q766157", "Q766157")</f>
        <v>0</v>
      </c>
    </row>
    <row r="566" spans="1:8">
      <c r="A566" t="s">
        <v>572</v>
      </c>
      <c r="B566" t="s">
        <v>5504</v>
      </c>
      <c r="C566" t="s">
        <v>9414</v>
      </c>
      <c r="D566" t="s">
        <v>11938</v>
      </c>
      <c r="E566" s="2">
        <v>12352</v>
      </c>
      <c r="G566">
        <f>HYPERLINK("https://www.senat.fr/senateur-3eme-republique/bougere_ferdinand1163r3.html", "bougere_ferdinand1163r3")</f>
        <v>0</v>
      </c>
      <c r="H566">
        <f>HYPERLINK("https://www.wikidata.org/wiki/Q8299130", "Q8299130")</f>
        <v>0</v>
      </c>
    </row>
    <row r="567" spans="1:8">
      <c r="A567" t="s">
        <v>573</v>
      </c>
      <c r="B567" t="s">
        <v>5505</v>
      </c>
      <c r="C567" t="s">
        <v>9676</v>
      </c>
      <c r="D567" t="s">
        <v>11939</v>
      </c>
      <c r="F567">
        <f>HYPERLINK("https://www2.assemblee-nationale.fr/sycomore/fiche/(num_dept)/1032", "1032.0")</f>
        <v>0</v>
      </c>
      <c r="H567">
        <f>HYPERLINK("https://www.wikidata.org/wiki/Q2871084", "Q2871084")</f>
        <v>0</v>
      </c>
    </row>
    <row r="568" spans="1:8">
      <c r="A568" t="s">
        <v>574</v>
      </c>
      <c r="B568" t="s">
        <v>5506</v>
      </c>
      <c r="C568" t="s">
        <v>9677</v>
      </c>
      <c r="D568" t="s">
        <v>11940</v>
      </c>
      <c r="E568" s="2">
        <v>22110</v>
      </c>
      <c r="G568">
        <f>HYPERLINK("https://www.senat.fr/senateur-3eme-republique/bouguen_yves0594r3.html", "bouguen_yves0594r3")</f>
        <v>0</v>
      </c>
      <c r="H568">
        <f>HYPERLINK("https://www.wikidata.org/wiki/Q3573508", "Q3573508")</f>
        <v>0</v>
      </c>
    </row>
    <row r="569" spans="1:8">
      <c r="A569" t="s">
        <v>575</v>
      </c>
      <c r="B569" t="s">
        <v>5507</v>
      </c>
      <c r="C569" t="s">
        <v>9438</v>
      </c>
      <c r="D569" t="s">
        <v>11941</v>
      </c>
      <c r="E569" s="2">
        <v>2789</v>
      </c>
      <c r="F569">
        <f>HYPERLINK("https://www2.assemblee-nationale.fr/sycomore/fiche/(num_dept)/8133", "8133.0")</f>
        <v>0</v>
      </c>
      <c r="G569">
        <f>HYPERLINK("https://www.senat.fr/senateur-3eme-republique/bougues_victor0094r3.html", "bougues_victor0094r3")</f>
        <v>0</v>
      </c>
      <c r="H569">
        <f>HYPERLINK("https://www.wikidata.org/wiki/Q3557176", "Q3557176")</f>
        <v>0</v>
      </c>
    </row>
    <row r="570" spans="1:8">
      <c r="A570" t="s">
        <v>576</v>
      </c>
      <c r="B570" t="s">
        <v>5507</v>
      </c>
      <c r="C570" t="s">
        <v>9453</v>
      </c>
      <c r="D570" t="s">
        <v>11942</v>
      </c>
      <c r="E570" s="2">
        <v>10528</v>
      </c>
      <c r="F570">
        <f>HYPERLINK("https://www2.assemblee-nationale.fr/sycomore/fiche/(num_dept)/1034", "1034.0")</f>
        <v>0</v>
      </c>
      <c r="H570">
        <f>HYPERLINK("https://www.wikidata.org/wiki/Q3189383", "Q3189383")</f>
        <v>0</v>
      </c>
    </row>
    <row r="571" spans="1:8">
      <c r="A571" t="s">
        <v>577</v>
      </c>
      <c r="B571" t="s">
        <v>5508</v>
      </c>
      <c r="C571" t="s">
        <v>7549</v>
      </c>
      <c r="D571" t="s">
        <v>11943</v>
      </c>
      <c r="E571" s="2">
        <v>6805</v>
      </c>
      <c r="F571">
        <f>HYPERLINK("https://www2.assemblee-nationale.fr/sycomore/fiche/(num_dept)/1031", "1031.0")</f>
        <v>0</v>
      </c>
      <c r="H571">
        <f>HYPERLINK("https://www.wikidata.org/wiki/Q8299131", "Q8299131")</f>
        <v>0</v>
      </c>
    </row>
    <row r="572" spans="1:8">
      <c r="A572" t="s">
        <v>578</v>
      </c>
      <c r="B572" t="s">
        <v>5508</v>
      </c>
      <c r="C572" t="s">
        <v>9414</v>
      </c>
      <c r="D572" t="s">
        <v>11938</v>
      </c>
      <c r="E572" s="2">
        <v>12352</v>
      </c>
      <c r="F572">
        <f>HYPERLINK("https://www2.assemblee-nationale.fr/sycomore/fiche/(num_dept)/1030", "1030.0")</f>
        <v>0</v>
      </c>
      <c r="H572">
        <f>HYPERLINK("https://www.wikidata.org/wiki/Q8299130", "Q8299130")</f>
        <v>0</v>
      </c>
    </row>
    <row r="573" spans="1:8">
      <c r="A573" t="s">
        <v>579</v>
      </c>
      <c r="B573" t="s">
        <v>5509</v>
      </c>
      <c r="C573" t="s">
        <v>9678</v>
      </c>
      <c r="D573" t="s">
        <v>11944</v>
      </c>
      <c r="E573" s="2">
        <v>15537</v>
      </c>
      <c r="F573">
        <f>HYPERLINK("https://www2.assemblee-nationale.fr/sycomore/fiche/(num_dept)/1036", "1036.0")</f>
        <v>0</v>
      </c>
      <c r="H573">
        <f>HYPERLINK("https://www.wikidata.org/wiki/Q15973867", "Q15973867")</f>
        <v>0</v>
      </c>
    </row>
    <row r="574" spans="1:8">
      <c r="A574" t="s">
        <v>580</v>
      </c>
      <c r="B574" t="s">
        <v>5510</v>
      </c>
      <c r="C574" t="s">
        <v>9312</v>
      </c>
      <c r="D574" t="s">
        <v>11945</v>
      </c>
      <c r="E574" s="2">
        <v>4958</v>
      </c>
      <c r="F574">
        <f>HYPERLINK("https://www2.assemblee-nationale.fr/sycomore/fiche/(num_dept)/1038", "1038.0")</f>
        <v>0</v>
      </c>
      <c r="H574">
        <f>HYPERLINK("https://www.wikidata.org/wiki/Q15973879", "Q15973879")</f>
        <v>0</v>
      </c>
    </row>
    <row r="575" spans="1:8">
      <c r="A575" t="s">
        <v>581</v>
      </c>
      <c r="B575" t="s">
        <v>5511</v>
      </c>
      <c r="C575" t="s">
        <v>9679</v>
      </c>
      <c r="D575" t="s">
        <v>11946</v>
      </c>
      <c r="E575" t="s">
        <v>15886</v>
      </c>
      <c r="F575">
        <f>HYPERLINK("https://www2.assemblee-nationale.fr/sycomore/fiche/(num_dept)/8206", "8206.0")</f>
        <v>0</v>
      </c>
      <c r="H575">
        <f>HYPERLINK("https://www.wikidata.org/wiki/Q15973858", "Q15973858")</f>
        <v>0</v>
      </c>
    </row>
    <row r="576" spans="1:8">
      <c r="A576" t="s">
        <v>582</v>
      </c>
      <c r="B576" t="s">
        <v>5512</v>
      </c>
      <c r="C576" t="s">
        <v>9414</v>
      </c>
      <c r="D576" t="s">
        <v>11947</v>
      </c>
      <c r="E576" s="2">
        <v>3212</v>
      </c>
      <c r="G576">
        <f>HYPERLINK("https://www.senat.fr/senateur-3eme-republique/bouilliez_ferdinand0940r3.html", "bouilliez_ferdinand0940r3")</f>
        <v>0</v>
      </c>
      <c r="H576">
        <f>HYPERLINK("https://www.wikidata.org/wiki/Q15973871", "Q15973871")</f>
        <v>0</v>
      </c>
    </row>
    <row r="577" spans="1:8">
      <c r="A577" t="s">
        <v>583</v>
      </c>
      <c r="B577" t="s">
        <v>5513</v>
      </c>
      <c r="C577" t="s">
        <v>7942</v>
      </c>
      <c r="D577" t="s">
        <v>11948</v>
      </c>
      <c r="E577" s="2">
        <v>13725</v>
      </c>
      <c r="F577">
        <f>HYPERLINK("https://www2.assemblee-nationale.fr/sycomore/fiche/(num_dept)/1041", "1041.0")</f>
        <v>0</v>
      </c>
      <c r="H577">
        <f>HYPERLINK("https://www.wikidata.org/wiki/Q3300465", "Q3300465")</f>
        <v>0</v>
      </c>
    </row>
    <row r="578" spans="1:8">
      <c r="A578" t="s">
        <v>584</v>
      </c>
      <c r="B578" t="s">
        <v>5514</v>
      </c>
      <c r="C578" t="s">
        <v>9680</v>
      </c>
      <c r="D578" t="s">
        <v>11949</v>
      </c>
      <c r="E578" s="2">
        <v>21912</v>
      </c>
      <c r="F578">
        <f>HYPERLINK("https://www2.assemblee-nationale.fr/sycomore/fiche/(num_dept)/1043", "1043.0")</f>
        <v>0</v>
      </c>
      <c r="H578">
        <f>HYPERLINK("https://www.wikidata.org/wiki/Q459510", "Q459510")</f>
        <v>0</v>
      </c>
    </row>
    <row r="579" spans="1:8">
      <c r="A579" t="s">
        <v>585</v>
      </c>
      <c r="B579" t="s">
        <v>5515</v>
      </c>
      <c r="C579" t="s">
        <v>9681</v>
      </c>
      <c r="D579" t="s">
        <v>11950</v>
      </c>
      <c r="E579" s="2">
        <v>15691</v>
      </c>
      <c r="F579">
        <f>HYPERLINK("https://www2.assemblee-nationale.fr/sycomore/fiche/(num_dept)/1044", "1044.0")</f>
        <v>0</v>
      </c>
      <c r="H579">
        <f>HYPERLINK("https://www.wikidata.org/wiki/Q2958594", "Q2958594")</f>
        <v>0</v>
      </c>
    </row>
    <row r="580" spans="1:8">
      <c r="A580" t="s">
        <v>586</v>
      </c>
      <c r="B580" t="s">
        <v>5516</v>
      </c>
      <c r="C580" t="s">
        <v>9337</v>
      </c>
      <c r="D580" t="s">
        <v>11951</v>
      </c>
      <c r="E580" s="2">
        <v>1386</v>
      </c>
      <c r="F580">
        <f>HYPERLINK("https://www2.assemblee-nationale.fr/sycomore/fiche/(num_dept)/1049", "1049.0")</f>
        <v>0</v>
      </c>
      <c r="H580">
        <f>HYPERLINK("https://www.wikidata.org/wiki/Q15973861", "Q15973861")</f>
        <v>0</v>
      </c>
    </row>
    <row r="581" spans="1:8">
      <c r="A581" t="s">
        <v>587</v>
      </c>
      <c r="B581" t="s">
        <v>5517</v>
      </c>
      <c r="C581" t="s">
        <v>9332</v>
      </c>
      <c r="D581" t="s">
        <v>11952</v>
      </c>
      <c r="E581" s="2">
        <v>2849</v>
      </c>
      <c r="G581">
        <f>HYPERLINK("https://www.senat.fr/senateur-3eme-republique/boulanger_ernest1019r3.html", "boulanger_ernest1019r3")</f>
        <v>0</v>
      </c>
      <c r="H581">
        <f>HYPERLINK("https://www.wikidata.org/wiki/Q3056857", "Q3056857")</f>
        <v>0</v>
      </c>
    </row>
    <row r="582" spans="1:8">
      <c r="A582" t="s">
        <v>588</v>
      </c>
      <c r="B582" t="s">
        <v>5517</v>
      </c>
      <c r="C582" t="s">
        <v>9682</v>
      </c>
      <c r="D582" t="s">
        <v>11953</v>
      </c>
      <c r="E582" t="s">
        <v>15887</v>
      </c>
      <c r="F582">
        <f>HYPERLINK("https://www2.assemblee-nationale.fr/sycomore/fiche/(num_dept)/1047", "1047.0")</f>
        <v>0</v>
      </c>
      <c r="H582">
        <f>HYPERLINK("https://www.wikidata.org/wiki/Q315747", "Q315747")</f>
        <v>0</v>
      </c>
    </row>
    <row r="583" spans="1:8">
      <c r="A583" t="s">
        <v>589</v>
      </c>
      <c r="B583" t="s">
        <v>5517</v>
      </c>
      <c r="C583" t="s">
        <v>9683</v>
      </c>
      <c r="D583" t="s">
        <v>11954</v>
      </c>
      <c r="E583" s="2">
        <v>13680</v>
      </c>
      <c r="F583">
        <f>HYPERLINK("https://www2.assemblee-nationale.fr/sycomore/fiche/(num_dept)/1048", "1048.0")</f>
        <v>0</v>
      </c>
      <c r="H583">
        <f>HYPERLINK("https://www.wikidata.org/wiki/Q15973886", "Q15973886")</f>
        <v>0</v>
      </c>
    </row>
    <row r="584" spans="1:8">
      <c r="A584" t="s">
        <v>590</v>
      </c>
      <c r="B584" t="s">
        <v>5518</v>
      </c>
      <c r="C584" t="s">
        <v>7754</v>
      </c>
      <c r="D584" t="s">
        <v>11955</v>
      </c>
      <c r="E584" s="2">
        <v>14985</v>
      </c>
      <c r="G584">
        <f>HYPERLINK("https://www.senat.fr/senateur-3eme-republique/boularan_louis1684r3.html", "boularan_louis1684r3")</f>
        <v>0</v>
      </c>
      <c r="H584">
        <f>HYPERLINK("https://www.wikidata.org/wiki/Q3261326", "Q3261326")</f>
        <v>0</v>
      </c>
    </row>
    <row r="585" spans="1:8">
      <c r="A585" t="s">
        <v>591</v>
      </c>
      <c r="B585" t="s">
        <v>5519</v>
      </c>
      <c r="C585" t="s">
        <v>9684</v>
      </c>
      <c r="D585" t="s">
        <v>11956</v>
      </c>
      <c r="E585" t="s">
        <v>15681</v>
      </c>
      <c r="F585">
        <f>HYPERLINK("https://www2.assemblee-nationale.fr/sycomore/fiche/(num_dept)/8089", "8089.0")</f>
        <v>0</v>
      </c>
      <c r="H585">
        <f>HYPERLINK("https://www.wikidata.org/wiki/Q2871085", "Q2871085")</f>
        <v>0</v>
      </c>
    </row>
    <row r="586" spans="1:8">
      <c r="A586" t="s">
        <v>592</v>
      </c>
      <c r="B586" t="s">
        <v>5520</v>
      </c>
      <c r="C586" t="s">
        <v>9324</v>
      </c>
      <c r="D586" t="s">
        <v>11957</v>
      </c>
      <c r="E586" s="2">
        <v>15620</v>
      </c>
      <c r="F586">
        <f>HYPERLINK("https://www2.assemblee-nationale.fr/sycomore/fiche/(num_dept)/1054", "1054.0")</f>
        <v>0</v>
      </c>
      <c r="H586">
        <f>HYPERLINK("https://www.wikidata.org/wiki/Q3130720", "Q3130720")</f>
        <v>0</v>
      </c>
    </row>
    <row r="587" spans="1:8">
      <c r="A587" t="s">
        <v>593</v>
      </c>
      <c r="B587" t="s">
        <v>5521</v>
      </c>
      <c r="C587" t="s">
        <v>9415</v>
      </c>
      <c r="D587" t="s">
        <v>11958</v>
      </c>
      <c r="E587" s="2">
        <v>11017</v>
      </c>
      <c r="F587">
        <f>HYPERLINK("https://www2.assemblee-nationale.fr/sycomore/fiche/(num_dept)/1057", "1057.0")</f>
        <v>0</v>
      </c>
      <c r="H587">
        <f>HYPERLINK("https://www.wikidata.org/wiki/Q3383019", "Q3383019")</f>
        <v>0</v>
      </c>
    </row>
    <row r="588" spans="1:8">
      <c r="A588" t="s">
        <v>594</v>
      </c>
      <c r="B588" t="s">
        <v>5522</v>
      </c>
      <c r="C588" t="s">
        <v>6686</v>
      </c>
      <c r="D588" t="s">
        <v>11959</v>
      </c>
      <c r="E588" t="s">
        <v>15888</v>
      </c>
      <c r="F588">
        <f>HYPERLINK("https://www2.assemblee-nationale.fr/sycomore/fiche/(num_dept)/1059", "1059.0")</f>
        <v>0</v>
      </c>
      <c r="H588">
        <f>HYPERLINK("https://www.wikidata.org/wiki/Q15973898", "Q15973898")</f>
        <v>0</v>
      </c>
    </row>
    <row r="589" spans="1:8">
      <c r="A589" t="s">
        <v>595</v>
      </c>
      <c r="B589" t="s">
        <v>5523</v>
      </c>
      <c r="C589" t="s">
        <v>7001</v>
      </c>
      <c r="D589" t="s">
        <v>11960</v>
      </c>
      <c r="E589" s="2">
        <v>17966</v>
      </c>
      <c r="F589">
        <f>HYPERLINK("https://www2.assemblee-nationale.fr/sycomore/fiche/(num_dept)/1063", "1063.0")</f>
        <v>0</v>
      </c>
      <c r="G589">
        <f>HYPERLINK("https://www.senat.fr/senateur-3eme-republique/boully_georges1852r3.html", "boully_georges1852r3")</f>
        <v>0</v>
      </c>
      <c r="H589">
        <f>HYPERLINK("https://www.wikidata.org/wiki/Q3102343", "Q3102343")</f>
        <v>0</v>
      </c>
    </row>
    <row r="590" spans="1:8">
      <c r="A590" t="s">
        <v>596</v>
      </c>
      <c r="B590" t="s">
        <v>5524</v>
      </c>
      <c r="C590" t="s">
        <v>9512</v>
      </c>
      <c r="D590" t="s">
        <v>11961</v>
      </c>
      <c r="E590" s="2">
        <v>12647</v>
      </c>
      <c r="G590">
        <f>HYPERLINK("https://www.senat.fr/senateur-3eme-republique/bouniols_gaston1719r3.html", "bouniols_gaston1719r3")</f>
        <v>0</v>
      </c>
      <c r="H590">
        <f>HYPERLINK("https://www.wikidata.org/wiki/Q20027675", "Q20027675")</f>
        <v>0</v>
      </c>
    </row>
    <row r="591" spans="1:8">
      <c r="A591" t="s">
        <v>597</v>
      </c>
      <c r="B591" t="s">
        <v>5525</v>
      </c>
      <c r="C591" t="s">
        <v>9685</v>
      </c>
      <c r="D591" t="s">
        <v>11962</v>
      </c>
      <c r="E591" s="2">
        <v>3413</v>
      </c>
      <c r="F591">
        <f>HYPERLINK("https://www2.assemblee-nationale.fr/sycomore/fiche/(num_dept)/1073", "1073.0")</f>
        <v>0</v>
      </c>
      <c r="H591">
        <f>HYPERLINK("https://www.wikidata.org/wiki/Q15973887", "Q15973887")</f>
        <v>0</v>
      </c>
    </row>
    <row r="592" spans="1:8">
      <c r="A592" t="s">
        <v>598</v>
      </c>
      <c r="B592" t="s">
        <v>5526</v>
      </c>
      <c r="C592" t="s">
        <v>7233</v>
      </c>
      <c r="D592" t="s">
        <v>11963</v>
      </c>
      <c r="E592" s="2">
        <v>16799</v>
      </c>
      <c r="G592">
        <f>HYPERLINK("https://www.senat.fr/senateur-3eme-republique/bourdeaux_henry1685r3.html", "bourdeaux_henry1685r3")</f>
        <v>0</v>
      </c>
      <c r="H592">
        <f>HYPERLINK("https://www.wikidata.org/wiki/Q3132649", "Q3132649")</f>
        <v>0</v>
      </c>
    </row>
    <row r="593" spans="1:8">
      <c r="A593" t="s">
        <v>599</v>
      </c>
      <c r="B593" t="s">
        <v>5527</v>
      </c>
      <c r="C593" t="s">
        <v>9686</v>
      </c>
      <c r="D593" t="s">
        <v>11964</v>
      </c>
      <c r="E593" s="2">
        <v>14718</v>
      </c>
      <c r="F593">
        <f>HYPERLINK("https://www2.assemblee-nationale.fr/sycomore/fiche/(num_dept)/870", "870.0")</f>
        <v>0</v>
      </c>
      <c r="H593">
        <f>HYPERLINK("https://www.wikidata.org/wiki/Q3292335", "Q3292335")</f>
        <v>0</v>
      </c>
    </row>
    <row r="594" spans="1:8">
      <c r="A594" t="s">
        <v>600</v>
      </c>
      <c r="B594" t="s">
        <v>5528</v>
      </c>
      <c r="C594" t="s">
        <v>9687</v>
      </c>
      <c r="D594" t="s">
        <v>11965</v>
      </c>
      <c r="E594" s="2">
        <v>4052</v>
      </c>
      <c r="F594">
        <f>HYPERLINK("https://www2.assemblee-nationale.fr/sycomore/fiche/(num_dept)/4172", "4172.0")</f>
        <v>0</v>
      </c>
      <c r="H594">
        <f>HYPERLINK("https://www.wikidata.org/wiki/Q3292518", "Q3292518")</f>
        <v>0</v>
      </c>
    </row>
    <row r="595" spans="1:8">
      <c r="A595" t="s">
        <v>601</v>
      </c>
      <c r="B595" t="s">
        <v>5529</v>
      </c>
      <c r="C595" t="s">
        <v>9688</v>
      </c>
      <c r="D595" t="s">
        <v>11966</v>
      </c>
      <c r="E595" s="2">
        <v>7255</v>
      </c>
      <c r="F595">
        <f>HYPERLINK("https://www2.assemblee-nationale.fr/sycomore/fiche/(num_dept)/1076", "1076.0")</f>
        <v>0</v>
      </c>
      <c r="H595">
        <f>HYPERLINK("https://www.wikidata.org/wiki/Q3587968", "Q3587968")</f>
        <v>0</v>
      </c>
    </row>
    <row r="596" spans="1:8">
      <c r="A596" t="s">
        <v>602</v>
      </c>
      <c r="B596" t="s">
        <v>5530</v>
      </c>
      <c r="C596" t="s">
        <v>8384</v>
      </c>
      <c r="D596" t="s">
        <v>11967</v>
      </c>
      <c r="E596" s="2">
        <v>9661</v>
      </c>
      <c r="F596">
        <f>HYPERLINK("https://www2.assemblee-nationale.fr/sycomore/fiche/(num_dept)/7904", "7904.0")</f>
        <v>0</v>
      </c>
      <c r="G596">
        <f>HYPERLINK("https://www.senat.fr/senateur-3eme-republique/bourganel_pierre1360r3.html", "bourganel_pierre1360r3")</f>
        <v>0</v>
      </c>
      <c r="H596">
        <f>HYPERLINK("https://www.wikidata.org/wiki/Q3384140", "Q3384140")</f>
        <v>0</v>
      </c>
    </row>
    <row r="597" spans="1:8">
      <c r="A597" t="s">
        <v>603</v>
      </c>
      <c r="B597" t="s">
        <v>5531</v>
      </c>
      <c r="C597" t="s">
        <v>7754</v>
      </c>
      <c r="D597" t="s">
        <v>11968</v>
      </c>
      <c r="G597">
        <f>HYPERLINK("https://www.senat.fr/senateur-3eme-republique/bourgeat_louis1724r3.html", "bourgeat_louis1724r3")</f>
        <v>0</v>
      </c>
      <c r="H597">
        <f>HYPERLINK("https://www.wikidata.org/wiki/Q3261332", "Q3261332")</f>
        <v>0</v>
      </c>
    </row>
    <row r="598" spans="1:8">
      <c r="A598" t="s">
        <v>604</v>
      </c>
      <c r="B598" t="s">
        <v>5532</v>
      </c>
      <c r="C598" t="s">
        <v>9689</v>
      </c>
      <c r="D598" t="s">
        <v>11969</v>
      </c>
      <c r="E598" s="2">
        <v>55</v>
      </c>
      <c r="F598">
        <f>HYPERLINK("https://www2.assemblee-nationale.fr/sycomore/fiche/(num_dept)/1087", "1087.0")</f>
        <v>0</v>
      </c>
      <c r="H598">
        <f>HYPERLINK("https://www.wikidata.org/wiki/Q3163901", "Q3163901")</f>
        <v>0</v>
      </c>
    </row>
    <row r="599" spans="1:8">
      <c r="A599" t="s">
        <v>605</v>
      </c>
      <c r="B599" t="s">
        <v>5533</v>
      </c>
      <c r="C599" t="s">
        <v>9690</v>
      </c>
      <c r="D599" t="s">
        <v>11970</v>
      </c>
      <c r="E599" s="2">
        <v>4459</v>
      </c>
      <c r="F599">
        <f>HYPERLINK("https://www2.assemblee-nationale.fr/sycomore/fiche/(num_dept)/1085", "1085.0")</f>
        <v>0</v>
      </c>
      <c r="H599">
        <f>HYPERLINK("https://www.wikidata.org/wiki/Q15973888", "Q15973888")</f>
        <v>0</v>
      </c>
    </row>
    <row r="600" spans="1:8">
      <c r="A600" t="s">
        <v>606</v>
      </c>
      <c r="B600" t="s">
        <v>5534</v>
      </c>
      <c r="C600" t="s">
        <v>7342</v>
      </c>
      <c r="D600" t="s">
        <v>11969</v>
      </c>
      <c r="E600" s="2">
        <v>55</v>
      </c>
      <c r="G600">
        <f>HYPERLINK("https://www.senat.fr/senateur-3eme-republique/bourgeois_jean0438r3.html", "bourgeois_jean0438r3")</f>
        <v>0</v>
      </c>
      <c r="H600">
        <f>HYPERLINK("https://www.wikidata.org/wiki/Q3163901", "Q3163901")</f>
        <v>0</v>
      </c>
    </row>
    <row r="601" spans="1:8">
      <c r="A601" t="s">
        <v>607</v>
      </c>
      <c r="B601" t="s">
        <v>5533</v>
      </c>
      <c r="C601" t="s">
        <v>9691</v>
      </c>
      <c r="D601" t="s">
        <v>11971</v>
      </c>
      <c r="E601" s="2">
        <v>9404</v>
      </c>
      <c r="F601">
        <f>HYPERLINK("https://www2.assemblee-nationale.fr/sycomore/fiche/(num_dept)/1083", "1083.0")</f>
        <v>0</v>
      </c>
      <c r="G601">
        <f>HYPERLINK("https://www.senat.fr/senateur-3eme-republique/bourgeois_leon0647r3.html", "bourgeois_leon0647r3")</f>
        <v>0</v>
      </c>
      <c r="H601">
        <f>HYPERLINK("https://www.wikidata.org/wiki/Q217706", "Q217706")</f>
        <v>0</v>
      </c>
    </row>
    <row r="602" spans="1:8">
      <c r="A602" t="s">
        <v>608</v>
      </c>
      <c r="B602" t="s">
        <v>5534</v>
      </c>
      <c r="C602" t="s">
        <v>9373</v>
      </c>
      <c r="D602" t="s">
        <v>11972</v>
      </c>
      <c r="E602" s="2">
        <v>16754</v>
      </c>
      <c r="G602">
        <f>HYPERLINK("https://www.senat.fr/senateur-3eme-republique/bourgeois_joseph1110r3.html", "bourgeois_joseph1110r3")</f>
        <v>0</v>
      </c>
      <c r="H602">
        <f>HYPERLINK("https://www.wikidata.org/wiki/Q1711802", "Q1711802")</f>
        <v>0</v>
      </c>
    </row>
    <row r="603" spans="1:8">
      <c r="A603" t="s">
        <v>609</v>
      </c>
      <c r="B603" t="s">
        <v>5535</v>
      </c>
      <c r="C603" t="s">
        <v>9524</v>
      </c>
      <c r="D603" t="s">
        <v>11973</v>
      </c>
      <c r="E603" s="2">
        <v>20856</v>
      </c>
      <c r="F603">
        <f>HYPERLINK("https://www2.assemblee-nationale.fr/sycomore/fiche/(num_dept)/1091", "1091.0")</f>
        <v>0</v>
      </c>
      <c r="H603">
        <f>HYPERLINK("https://www.wikidata.org/wiki/Q8318757", "Q8318757")</f>
        <v>0</v>
      </c>
    </row>
    <row r="604" spans="1:8">
      <c r="A604" t="s">
        <v>610</v>
      </c>
      <c r="B604" t="s">
        <v>5536</v>
      </c>
      <c r="C604" t="s">
        <v>9692</v>
      </c>
      <c r="D604" t="s">
        <v>11974</v>
      </c>
      <c r="E604" t="s">
        <v>15889</v>
      </c>
      <c r="F604">
        <f>HYPERLINK("https://www2.assemblee-nationale.fr/sycomore/fiche/(num_dept)/1092", "1092.0")</f>
        <v>0</v>
      </c>
      <c r="H604">
        <f>HYPERLINK("https://www.wikidata.org/wiki/Q2373495", "Q2373495")</f>
        <v>0</v>
      </c>
    </row>
    <row r="605" spans="1:8">
      <c r="A605" t="s">
        <v>611</v>
      </c>
      <c r="B605" t="s">
        <v>5537</v>
      </c>
      <c r="C605" t="s">
        <v>9693</v>
      </c>
      <c r="D605" t="s">
        <v>11975</v>
      </c>
      <c r="E605" t="s">
        <v>15890</v>
      </c>
      <c r="F605">
        <f>HYPERLINK("https://www2.assemblee-nationale.fr/sycomore/fiche/(num_dept)/8185", "8185.0")</f>
        <v>0</v>
      </c>
      <c r="H605">
        <f>HYPERLINK("https://www.wikidata.org/wiki/Q3380109", "Q3380109")</f>
        <v>0</v>
      </c>
    </row>
    <row r="606" spans="1:8">
      <c r="A606" t="s">
        <v>612</v>
      </c>
      <c r="B606" t="s">
        <v>5538</v>
      </c>
      <c r="C606" t="s">
        <v>9694</v>
      </c>
      <c r="D606" t="s">
        <v>11976</v>
      </c>
      <c r="E606" s="2">
        <v>13470</v>
      </c>
      <c r="F606">
        <f>HYPERLINK("https://www2.assemblee-nationale.fr/sycomore/fiche/(num_dept)/1094", "1094.0")</f>
        <v>0</v>
      </c>
      <c r="H606">
        <f>HYPERLINK("https://www.wikidata.org/wiki/Q2394749", "Q2394749")</f>
        <v>0</v>
      </c>
    </row>
    <row r="607" spans="1:8">
      <c r="A607" t="s">
        <v>613</v>
      </c>
      <c r="B607" t="s">
        <v>5539</v>
      </c>
      <c r="C607" t="s">
        <v>9695</v>
      </c>
      <c r="D607" t="s">
        <v>11977</v>
      </c>
      <c r="E607" s="2">
        <v>13209</v>
      </c>
      <c r="F607">
        <f>HYPERLINK("https://www2.assemblee-nationale.fr/sycomore/fiche/(num_dept)/1095", "1095.0")</f>
        <v>0</v>
      </c>
      <c r="H607">
        <f>HYPERLINK("https://www.wikidata.org/wiki/Q2847358", "Q2847358")</f>
        <v>0</v>
      </c>
    </row>
    <row r="608" spans="1:8">
      <c r="A608" t="s">
        <v>614</v>
      </c>
      <c r="B608" t="s">
        <v>5540</v>
      </c>
      <c r="C608" t="s">
        <v>9696</v>
      </c>
      <c r="D608" t="s">
        <v>11978</v>
      </c>
      <c r="E608" s="2">
        <v>1140</v>
      </c>
      <c r="F608">
        <f>HYPERLINK("https://www2.assemblee-nationale.fr/sycomore/fiche/(num_dept)/1098", "1098.0")</f>
        <v>0</v>
      </c>
      <c r="H608">
        <f>HYPERLINK("https://www.wikidata.org/wiki/Q16627632", "Q16627632")</f>
        <v>0</v>
      </c>
    </row>
    <row r="609" spans="1:8">
      <c r="A609" t="s">
        <v>615</v>
      </c>
      <c r="B609" t="s">
        <v>5541</v>
      </c>
      <c r="C609" t="s">
        <v>9324</v>
      </c>
      <c r="D609" t="s">
        <v>11979</v>
      </c>
      <c r="E609" s="2">
        <v>28835</v>
      </c>
      <c r="F609">
        <f>HYPERLINK("https://www2.assemblee-nationale.fr/sycomore/fiche/(num_dept)/1099", "1099.0")</f>
        <v>0</v>
      </c>
      <c r="H609">
        <f>HYPERLINK("https://www.wikidata.org/wiki/Q15973876", "Q15973876")</f>
        <v>0</v>
      </c>
    </row>
    <row r="610" spans="1:8">
      <c r="A610" t="s">
        <v>616</v>
      </c>
      <c r="B610" t="s">
        <v>5542</v>
      </c>
      <c r="C610" t="s">
        <v>9697</v>
      </c>
      <c r="D610" t="s">
        <v>11980</v>
      </c>
      <c r="E610" s="2">
        <v>3438</v>
      </c>
      <c r="F610">
        <f>HYPERLINK("https://www2.assemblee-nationale.fr/sycomore/fiche/(num_dept)/7905", "7905.0")</f>
        <v>0</v>
      </c>
      <c r="H610">
        <f>HYPERLINK("https://www.wikidata.org/wiki/Q725491", "Q725491")</f>
        <v>0</v>
      </c>
    </row>
    <row r="611" spans="1:8">
      <c r="A611" t="s">
        <v>617</v>
      </c>
      <c r="B611" t="s">
        <v>5543</v>
      </c>
      <c r="C611" t="s">
        <v>9698</v>
      </c>
      <c r="D611" t="s">
        <v>11981</v>
      </c>
      <c r="E611" s="2">
        <v>3504</v>
      </c>
      <c r="F611">
        <f>HYPERLINK("https://www2.assemblee-nationale.fr/sycomore/fiche/(num_dept)/1103", "1103.0")</f>
        <v>0</v>
      </c>
      <c r="H611">
        <f>HYPERLINK("https://www.wikidata.org/wiki/Q14240790", "Q14240790")</f>
        <v>0</v>
      </c>
    </row>
    <row r="612" spans="1:8">
      <c r="A612" t="s">
        <v>618</v>
      </c>
      <c r="B612" t="s">
        <v>5544</v>
      </c>
      <c r="C612" t="s">
        <v>9602</v>
      </c>
      <c r="D612" t="s">
        <v>11982</v>
      </c>
      <c r="E612" t="s">
        <v>15891</v>
      </c>
      <c r="F612">
        <f>HYPERLINK("https://www2.assemblee-nationale.fr/sycomore/fiche/(num_dept)/8166", "8166.0")</f>
        <v>0</v>
      </c>
      <c r="H612">
        <f>HYPERLINK("https://www.wikidata.org/wiki/Q15973896", "Q15973896")</f>
        <v>0</v>
      </c>
    </row>
    <row r="613" spans="1:8">
      <c r="A613" t="s">
        <v>619</v>
      </c>
      <c r="B613" t="s">
        <v>5544</v>
      </c>
      <c r="C613" t="s">
        <v>9699</v>
      </c>
      <c r="D613" t="s">
        <v>11983</v>
      </c>
      <c r="E613" s="2">
        <v>9623</v>
      </c>
      <c r="F613">
        <f>HYPERLINK("https://www2.assemblee-nationale.fr/sycomore/fiche/(num_dept)/1104", "1104.0")</f>
        <v>0</v>
      </c>
      <c r="H613">
        <f>HYPERLINK("https://www.wikidata.org/wiki/Q15973885", "Q15973885")</f>
        <v>0</v>
      </c>
    </row>
    <row r="614" spans="1:8">
      <c r="A614" t="s">
        <v>620</v>
      </c>
      <c r="B614" t="s">
        <v>5545</v>
      </c>
      <c r="C614" t="s">
        <v>9700</v>
      </c>
      <c r="D614" t="s">
        <v>11984</v>
      </c>
      <c r="E614" s="2">
        <v>14947</v>
      </c>
      <c r="F614">
        <f>HYPERLINK("https://www2.assemblee-nationale.fr/sycomore/fiche/(num_dept)/1107", "1107.0")</f>
        <v>0</v>
      </c>
      <c r="H614">
        <f>HYPERLINK("https://www.wikidata.org/wiki/Q2958427", "Q2958427")</f>
        <v>0</v>
      </c>
    </row>
    <row r="615" spans="1:8">
      <c r="A615" t="s">
        <v>621</v>
      </c>
      <c r="B615" t="s">
        <v>5546</v>
      </c>
      <c r="C615" t="s">
        <v>7342</v>
      </c>
      <c r="D615" t="s">
        <v>11985</v>
      </c>
      <c r="E615" s="2">
        <v>17520</v>
      </c>
      <c r="F615">
        <f>HYPERLINK("https://www2.assemblee-nationale.fr/sycomore/fiche/(num_dept)/1109", "1109.0")</f>
        <v>0</v>
      </c>
      <c r="H615">
        <f>HYPERLINK("https://www.wikidata.org/wiki/Q3170940", "Q3170940")</f>
        <v>0</v>
      </c>
    </row>
    <row r="616" spans="1:8">
      <c r="A616" t="s">
        <v>622</v>
      </c>
      <c r="B616" t="s">
        <v>5547</v>
      </c>
      <c r="C616" t="s">
        <v>9438</v>
      </c>
      <c r="D616" t="s">
        <v>11986</v>
      </c>
      <c r="F616">
        <f>HYPERLINK("https://www2.assemblee-nationale.fr/sycomore/fiche/(num_dept)/1115", "1115.0")</f>
        <v>0</v>
      </c>
      <c r="H616">
        <f>HYPERLINK("https://www.wikidata.org/wiki/Q3557183", "Q3557183")</f>
        <v>0</v>
      </c>
    </row>
    <row r="617" spans="1:8">
      <c r="A617" t="s">
        <v>623</v>
      </c>
      <c r="B617" t="s">
        <v>5547</v>
      </c>
      <c r="C617" t="s">
        <v>9701</v>
      </c>
      <c r="D617" t="s">
        <v>11987</v>
      </c>
      <c r="E617" s="2">
        <v>19762</v>
      </c>
      <c r="F617">
        <f>HYPERLINK("https://www2.assemblee-nationale.fr/sycomore/fiche/(num_dept)/1112", "1112.0")</f>
        <v>0</v>
      </c>
      <c r="H617">
        <f>HYPERLINK("https://www.wikidata.org/wiki/Q3579750", "Q3579750")</f>
        <v>0</v>
      </c>
    </row>
    <row r="618" spans="1:8">
      <c r="A618" t="s">
        <v>624</v>
      </c>
      <c r="B618" t="s">
        <v>5548</v>
      </c>
      <c r="C618" t="s">
        <v>9702</v>
      </c>
      <c r="D618" t="s">
        <v>11988</v>
      </c>
      <c r="E618" s="2">
        <v>27158</v>
      </c>
      <c r="F618">
        <f>HYPERLINK("https://www2.assemblee-nationale.fr/sycomore/fiche/(num_dept)/1117", "1117.0")</f>
        <v>0</v>
      </c>
      <c r="H618">
        <f>HYPERLINK("https://www.wikidata.org/wiki/Q3102353", "Q3102353")</f>
        <v>0</v>
      </c>
    </row>
    <row r="619" spans="1:8">
      <c r="A619" t="s">
        <v>625</v>
      </c>
      <c r="B619" t="s">
        <v>5549</v>
      </c>
      <c r="C619" t="s">
        <v>9703</v>
      </c>
      <c r="D619" t="s">
        <v>11989</v>
      </c>
      <c r="E619" s="2">
        <v>3341</v>
      </c>
      <c r="F619">
        <f>HYPERLINK("https://www2.assemblee-nationale.fr/sycomore/fiche/(num_dept)/8132", "8132.0")</f>
        <v>0</v>
      </c>
      <c r="H619">
        <f>HYPERLINK("https://www.wikidata.org/wiki/Q2824888", "Q2824888")</f>
        <v>0</v>
      </c>
    </row>
    <row r="620" spans="1:8">
      <c r="A620" t="s">
        <v>626</v>
      </c>
      <c r="B620" t="s">
        <v>5550</v>
      </c>
      <c r="C620" t="s">
        <v>9704</v>
      </c>
      <c r="D620" t="s">
        <v>11990</v>
      </c>
      <c r="E620" s="2">
        <v>7622</v>
      </c>
      <c r="F620">
        <f>HYPERLINK("https://www2.assemblee-nationale.fr/sycomore/fiche/(num_dept)/1120", "1120.0")</f>
        <v>0</v>
      </c>
      <c r="H620">
        <f>HYPERLINK("https://www.wikidata.org/wiki/Q15973923", "Q15973923")</f>
        <v>0</v>
      </c>
    </row>
    <row r="621" spans="1:8">
      <c r="A621" t="s">
        <v>627</v>
      </c>
      <c r="B621" t="s">
        <v>5551</v>
      </c>
      <c r="C621" t="s">
        <v>9373</v>
      </c>
      <c r="D621" t="s">
        <v>11991</v>
      </c>
      <c r="E621" s="2">
        <v>13239</v>
      </c>
      <c r="F621">
        <f>HYPERLINK("https://www2.assemblee-nationale.fr/sycomore/fiche/(num_dept)/1123", "1123.0")</f>
        <v>0</v>
      </c>
      <c r="H621">
        <f>HYPERLINK("https://www.wikidata.org/wiki/Q15973931", "Q15973931")</f>
        <v>0</v>
      </c>
    </row>
    <row r="622" spans="1:8">
      <c r="A622" t="s">
        <v>628</v>
      </c>
      <c r="B622" t="s">
        <v>5552</v>
      </c>
      <c r="C622" t="s">
        <v>9705</v>
      </c>
      <c r="D622" t="s">
        <v>11992</v>
      </c>
      <c r="E622" t="s">
        <v>15892</v>
      </c>
      <c r="F622">
        <f>HYPERLINK("https://www2.assemblee-nationale.fr/sycomore/fiche/(num_dept)/1127", "1127.0")</f>
        <v>0</v>
      </c>
      <c r="G622">
        <f>HYPERLINK("https://www.senat.fr/senateur-3eme-republique/bouteille_jean_baptiste0065r3.html", "bouteille_jean_baptiste0065r3")</f>
        <v>0</v>
      </c>
      <c r="H622">
        <f>HYPERLINK("https://www.wikidata.org/wiki/Q3163904", "Q3163904")</f>
        <v>0</v>
      </c>
    </row>
    <row r="623" spans="1:8">
      <c r="A623" t="s">
        <v>629</v>
      </c>
      <c r="B623" t="s">
        <v>5552</v>
      </c>
      <c r="C623" t="s">
        <v>9706</v>
      </c>
      <c r="D623" t="s">
        <v>11993</v>
      </c>
      <c r="E623" s="2">
        <v>14814</v>
      </c>
      <c r="F623">
        <f>HYPERLINK("https://www2.assemblee-nationale.fr/sycomore/fiche/(num_dept)/1128", "1128.0")</f>
        <v>0</v>
      </c>
      <c r="H623">
        <f>HYPERLINK("https://www.wikidata.org/wiki/Q3045156", "Q3045156")</f>
        <v>0</v>
      </c>
    </row>
    <row r="624" spans="1:8">
      <c r="A624" t="s">
        <v>630</v>
      </c>
      <c r="B624" t="s">
        <v>5553</v>
      </c>
      <c r="C624" t="s">
        <v>9707</v>
      </c>
      <c r="D624" t="s">
        <v>11994</v>
      </c>
      <c r="E624" s="2">
        <v>16034</v>
      </c>
      <c r="F624">
        <f>HYPERLINK("https://www2.assemblee-nationale.fr/sycomore/fiche/(num_dept)/1129", "1129.0")</f>
        <v>0</v>
      </c>
      <c r="H624">
        <f>HYPERLINK("https://www.wikidata.org/wiki/Q15971895", "Q15971895")</f>
        <v>0</v>
      </c>
    </row>
    <row r="625" spans="1:8">
      <c r="A625" t="s">
        <v>631</v>
      </c>
      <c r="B625" t="s">
        <v>5554</v>
      </c>
      <c r="C625" t="s">
        <v>9677</v>
      </c>
      <c r="D625" s="2">
        <v>423</v>
      </c>
      <c r="E625" s="2">
        <v>28129</v>
      </c>
      <c r="H625">
        <f>HYPERLINK("https://www.wikidata.org/wiki/Q2669405", "Q2669405")</f>
        <v>0</v>
      </c>
    </row>
    <row r="626" spans="1:8">
      <c r="A626" t="s">
        <v>632</v>
      </c>
      <c r="B626" t="s">
        <v>5555</v>
      </c>
      <c r="C626" t="s">
        <v>9708</v>
      </c>
      <c r="D626" t="s">
        <v>11995</v>
      </c>
      <c r="E626" s="2">
        <v>9926</v>
      </c>
      <c r="F626">
        <f>HYPERLINK("https://www2.assemblee-nationale.fr/sycomore/fiche/(num_dept)/1134", "1134.0")</f>
        <v>0</v>
      </c>
      <c r="H626">
        <f>HYPERLINK("https://www.wikidata.org/wiki/Q8314024", "Q8314024")</f>
        <v>0</v>
      </c>
    </row>
    <row r="627" spans="1:8">
      <c r="A627" t="s">
        <v>633</v>
      </c>
      <c r="B627" t="s">
        <v>5556</v>
      </c>
      <c r="C627" t="s">
        <v>9709</v>
      </c>
      <c r="D627" t="s">
        <v>11996</v>
      </c>
      <c r="E627" s="2">
        <v>10049</v>
      </c>
      <c r="F627">
        <f>HYPERLINK("https://www2.assemblee-nationale.fr/sycomore/fiche/(num_dept)/1135", "1135.0")</f>
        <v>0</v>
      </c>
      <c r="H627">
        <f>HYPERLINK("https://www.wikidata.org/wiki/Q8299132", "Q8299132")</f>
        <v>0</v>
      </c>
    </row>
    <row r="628" spans="1:8">
      <c r="A628" t="s">
        <v>634</v>
      </c>
      <c r="B628" t="s">
        <v>5557</v>
      </c>
      <c r="C628" t="s">
        <v>9430</v>
      </c>
      <c r="D628" t="s">
        <v>11997</v>
      </c>
      <c r="E628" s="2">
        <v>12129</v>
      </c>
      <c r="G628">
        <f>HYPERLINK("https://www.senat.fr/senateur-3eme-republique/bouvart_paul0778r3.html", "bouvart_paul0778r3")</f>
        <v>0</v>
      </c>
      <c r="H628">
        <f>HYPERLINK("https://www.wikidata.org/wiki/Q3370719", "Q3370719")</f>
        <v>0</v>
      </c>
    </row>
    <row r="629" spans="1:8">
      <c r="A629" t="s">
        <v>635</v>
      </c>
      <c r="B629" t="s">
        <v>5558</v>
      </c>
      <c r="C629" t="s">
        <v>9710</v>
      </c>
      <c r="D629" t="s">
        <v>11998</v>
      </c>
      <c r="E629" s="2">
        <v>6532</v>
      </c>
      <c r="F629">
        <f>HYPERLINK("https://www2.assemblee-nationale.fr/sycomore/fiche/(num_dept)/7906", "7906.0")</f>
        <v>0</v>
      </c>
      <c r="H629">
        <f>HYPERLINK("https://www.wikidata.org/wiki/Q8300471", "Q8300471")</f>
        <v>0</v>
      </c>
    </row>
    <row r="630" spans="1:8">
      <c r="A630" t="s">
        <v>636</v>
      </c>
      <c r="B630" t="s">
        <v>5559</v>
      </c>
      <c r="C630" t="s">
        <v>7342</v>
      </c>
      <c r="D630" t="s">
        <v>11999</v>
      </c>
      <c r="E630" s="2">
        <v>10046</v>
      </c>
      <c r="F630">
        <f>HYPERLINK("https://www2.assemblee-nationale.fr/sycomore/fiche/(num_dept)/1138", "1138.0")</f>
        <v>0</v>
      </c>
      <c r="G630">
        <f>HYPERLINK("https://www.senat.fr/senateur-3eme-republique/bouveri_jean1220r3.html", "bouveri_jean1220r3")</f>
        <v>0</v>
      </c>
      <c r="H630">
        <f>HYPERLINK("https://www.wikidata.org/wiki/Q3170948", "Q3170948")</f>
        <v>0</v>
      </c>
    </row>
    <row r="631" spans="1:8">
      <c r="A631" t="s">
        <v>637</v>
      </c>
      <c r="B631" t="s">
        <v>5560</v>
      </c>
      <c r="C631" t="s">
        <v>7942</v>
      </c>
      <c r="D631" t="s">
        <v>12000</v>
      </c>
      <c r="E631" s="2">
        <v>12785</v>
      </c>
      <c r="F631">
        <f>HYPERLINK("https://www2.assemblee-nationale.fr/sycomore/fiche/(num_dept)/1140", "1140.0")</f>
        <v>0</v>
      </c>
      <c r="H631">
        <f>HYPERLINK("https://www.wikidata.org/wiki/Q8308527", "Q8308527")</f>
        <v>0</v>
      </c>
    </row>
    <row r="632" spans="1:8">
      <c r="A632" t="s">
        <v>638</v>
      </c>
      <c r="B632" t="s">
        <v>5561</v>
      </c>
      <c r="C632" t="s">
        <v>9711</v>
      </c>
      <c r="D632" t="s">
        <v>12001</v>
      </c>
      <c r="E632" s="2">
        <v>6445</v>
      </c>
      <c r="F632">
        <f>HYPERLINK("https://www2.assemblee-nationale.fr/sycomore/fiche/(num_dept)/1141", "1141.0")</f>
        <v>0</v>
      </c>
      <c r="H632">
        <f>HYPERLINK("https://www.wikidata.org/wiki/Q15973918", "Q15973918")</f>
        <v>0</v>
      </c>
    </row>
    <row r="633" spans="1:8">
      <c r="A633" t="s">
        <v>639</v>
      </c>
      <c r="B633" t="s">
        <v>5562</v>
      </c>
      <c r="C633" t="s">
        <v>9712</v>
      </c>
      <c r="D633" t="s">
        <v>12002</v>
      </c>
      <c r="E633" s="2">
        <v>13104</v>
      </c>
      <c r="F633">
        <f>HYPERLINK("https://www2.assemblee-nationale.fr/sycomore/fiche/(num_dept)/1147", "1147.0")</f>
        <v>0</v>
      </c>
      <c r="H633">
        <f>HYPERLINK("https://www.wikidata.org/wiki/Q3270443", "Q3270443")</f>
        <v>0</v>
      </c>
    </row>
    <row r="634" spans="1:8">
      <c r="A634" t="s">
        <v>640</v>
      </c>
      <c r="B634" t="s">
        <v>5563</v>
      </c>
      <c r="C634" t="s">
        <v>9337</v>
      </c>
      <c r="D634" t="s">
        <v>12003</v>
      </c>
      <c r="E634" s="2">
        <v>8814</v>
      </c>
      <c r="H634">
        <f>HYPERLINK("https://www.wikidata.org/wiki/Q2871099", "Q2871099")</f>
        <v>0</v>
      </c>
    </row>
    <row r="635" spans="1:8">
      <c r="A635" t="s">
        <v>641</v>
      </c>
      <c r="B635" t="s">
        <v>5564</v>
      </c>
      <c r="C635" t="s">
        <v>9713</v>
      </c>
      <c r="D635" t="s">
        <v>12004</v>
      </c>
      <c r="E635" s="2">
        <v>15495</v>
      </c>
      <c r="F635">
        <f>HYPERLINK("https://www2.assemblee-nationale.fr/sycomore/fiche/(num_dept)/1026", "1026.0")</f>
        <v>0</v>
      </c>
      <c r="H635">
        <f>HYPERLINK("https://www.wikidata.org/wiki/Q15973812", "Q15973812")</f>
        <v>0</v>
      </c>
    </row>
    <row r="636" spans="1:8">
      <c r="A636" t="s">
        <v>642</v>
      </c>
      <c r="B636" t="s">
        <v>5565</v>
      </c>
      <c r="C636" t="s">
        <v>9714</v>
      </c>
      <c r="D636" t="s">
        <v>12005</v>
      </c>
      <c r="E636" t="s">
        <v>15893</v>
      </c>
      <c r="F636">
        <f>HYPERLINK("https://www2.assemblee-nationale.fr/sycomore/fiche/(num_dept)/1148", "1148.0")</f>
        <v>0</v>
      </c>
      <c r="H636">
        <f>HYPERLINK("https://www.wikidata.org/wiki/Q8309995", "Q8309995")</f>
        <v>0</v>
      </c>
    </row>
    <row r="637" spans="1:8">
      <c r="A637" t="s">
        <v>643</v>
      </c>
      <c r="B637" t="s">
        <v>5565</v>
      </c>
      <c r="C637" t="s">
        <v>9715</v>
      </c>
      <c r="D637" t="s">
        <v>12006</v>
      </c>
      <c r="E637" s="2">
        <v>21247</v>
      </c>
      <c r="F637">
        <f>HYPERLINK("https://www2.assemblee-nationale.fr/sycomore/fiche/(num_dept)/1149", "1149.0")</f>
        <v>0</v>
      </c>
      <c r="H637">
        <f>HYPERLINK("https://www.wikidata.org/wiki/Q3579752", "Q3579752")</f>
        <v>0</v>
      </c>
    </row>
    <row r="638" spans="1:8">
      <c r="A638" t="s">
        <v>644</v>
      </c>
      <c r="B638" t="s">
        <v>5566</v>
      </c>
      <c r="C638" t="s">
        <v>9716</v>
      </c>
      <c r="D638" t="s">
        <v>12007</v>
      </c>
      <c r="E638" t="s">
        <v>12861</v>
      </c>
      <c r="F638">
        <f>HYPERLINK("https://www2.assemblee-nationale.fr/sycomore/fiche/(num_dept)/1152", "1152.0")</f>
        <v>0</v>
      </c>
      <c r="H638">
        <f>HYPERLINK("https://www.wikidata.org/wiki/Q8319285", "Q8319285")</f>
        <v>0</v>
      </c>
    </row>
    <row r="639" spans="1:8">
      <c r="A639" t="s">
        <v>645</v>
      </c>
      <c r="B639" t="s">
        <v>5566</v>
      </c>
      <c r="C639" t="s">
        <v>9717</v>
      </c>
      <c r="D639" t="s">
        <v>12008</v>
      </c>
      <c r="E639" s="2">
        <v>6780</v>
      </c>
      <c r="F639">
        <f>HYPERLINK("https://www2.assemblee-nationale.fr/sycomore/fiche/(num_dept)/1150", "1150.0")</f>
        <v>0</v>
      </c>
      <c r="G639">
        <f>HYPERLINK("https://www.senat.fr/senateur-3eme-republique/boyer_antide0317r3.html", "boyer_antide0317r3")</f>
        <v>0</v>
      </c>
      <c r="H639">
        <f>HYPERLINK("https://www.wikidata.org/wiki/Q575028", "Q575028")</f>
        <v>0</v>
      </c>
    </row>
    <row r="640" spans="1:8">
      <c r="A640" t="s">
        <v>646</v>
      </c>
      <c r="B640" t="s">
        <v>5566</v>
      </c>
      <c r="C640" t="s">
        <v>9718</v>
      </c>
      <c r="D640" t="s">
        <v>12009</v>
      </c>
      <c r="E640" s="2">
        <v>18678</v>
      </c>
      <c r="F640">
        <f>HYPERLINK("https://www2.assemblee-nationale.fr/sycomore/fiche/(num_dept)/1151", "1151.0")</f>
        <v>0</v>
      </c>
      <c r="H640">
        <f>HYPERLINK("https://www.wikidata.org/wiki/Q15973908", "Q15973908")</f>
        <v>0</v>
      </c>
    </row>
    <row r="641" spans="1:8">
      <c r="A641" t="s">
        <v>647</v>
      </c>
      <c r="B641" t="s">
        <v>5566</v>
      </c>
      <c r="C641" t="s">
        <v>9719</v>
      </c>
      <c r="D641" t="s">
        <v>12010</v>
      </c>
      <c r="E641" s="2">
        <v>25477</v>
      </c>
      <c r="F641">
        <f>HYPERLINK("https://www2.assemblee-nationale.fr/sycomore/fiche/(num_dept)/1155", "1155.0")</f>
        <v>0</v>
      </c>
      <c r="H641">
        <f>HYPERLINK("https://www.wikidata.org/wiki/Q15973940", "Q15973940")</f>
        <v>0</v>
      </c>
    </row>
    <row r="642" spans="1:8">
      <c r="A642" t="s">
        <v>648</v>
      </c>
      <c r="B642" t="s">
        <v>5566</v>
      </c>
      <c r="C642" t="s">
        <v>9720</v>
      </c>
      <c r="D642" t="s">
        <v>12011</v>
      </c>
      <c r="E642" s="2">
        <v>13769</v>
      </c>
      <c r="F642">
        <f>HYPERLINK("https://www2.assemblee-nationale.fr/sycomore/fiche/(num_dept)/1154", "1154.0")</f>
        <v>0</v>
      </c>
      <c r="H642">
        <f>HYPERLINK("https://www.wikidata.org/wiki/Q15973936", "Q15973936")</f>
        <v>0</v>
      </c>
    </row>
    <row r="643" spans="1:8">
      <c r="A643" t="s">
        <v>649</v>
      </c>
      <c r="B643" t="s">
        <v>5567</v>
      </c>
      <c r="C643" t="s">
        <v>9721</v>
      </c>
      <c r="D643" t="s">
        <v>12012</v>
      </c>
      <c r="E643" s="2">
        <v>508</v>
      </c>
      <c r="F643">
        <f>HYPERLINK("https://www2.assemblee-nationale.fr/sycomore/fiche/(num_dept)/1158", "1158.0")</f>
        <v>0</v>
      </c>
      <c r="H643">
        <f>HYPERLINK("https://www.wikidata.org/wiki/Q8305634", "Q8305634")</f>
        <v>0</v>
      </c>
    </row>
    <row r="644" spans="1:8">
      <c r="A644" t="s">
        <v>650</v>
      </c>
      <c r="B644" t="s">
        <v>5568</v>
      </c>
      <c r="C644" t="s">
        <v>9471</v>
      </c>
      <c r="D644" t="s">
        <v>12013</v>
      </c>
      <c r="E644" t="s">
        <v>15894</v>
      </c>
      <c r="G644">
        <f>HYPERLINK("https://www.senat.fr/senateur-3eme-republique/bozerian_jules0374r3.html", "bozerian_jules0374r3")</f>
        <v>0</v>
      </c>
      <c r="H644">
        <f>HYPERLINK("https://www.wikidata.org/wiki/Q3170973", "Q3170973")</f>
        <v>0</v>
      </c>
    </row>
    <row r="645" spans="1:8">
      <c r="A645" t="s">
        <v>651</v>
      </c>
      <c r="B645" t="s">
        <v>5569</v>
      </c>
      <c r="C645" t="s">
        <v>9722</v>
      </c>
      <c r="D645" t="s">
        <v>11835</v>
      </c>
      <c r="E645" s="2">
        <v>12946</v>
      </c>
      <c r="F645">
        <f>HYPERLINK("https://www2.assemblee-nationale.fr/sycomore/fiche/(num_dept)/1162", "1162.0")</f>
        <v>0</v>
      </c>
      <c r="H645">
        <f>HYPERLINK("https://www.wikidata.org/wiki/Q15973942", "Q15973942")</f>
        <v>0</v>
      </c>
    </row>
    <row r="646" spans="1:8">
      <c r="A646" t="s">
        <v>652</v>
      </c>
      <c r="B646" t="s">
        <v>5570</v>
      </c>
      <c r="C646" t="s">
        <v>9723</v>
      </c>
      <c r="D646" t="s">
        <v>12014</v>
      </c>
      <c r="E646" t="s">
        <v>15895</v>
      </c>
      <c r="F646">
        <f>HYPERLINK("https://www2.assemblee-nationale.fr/sycomore/fiche/(num_dept)/1160", "1160.0")</f>
        <v>0</v>
      </c>
      <c r="H646">
        <f>HYPERLINK("https://www.wikidata.org/wiki/Q7121631", "Q7121631")</f>
        <v>0</v>
      </c>
    </row>
    <row r="647" spans="1:8">
      <c r="A647" t="s">
        <v>653</v>
      </c>
      <c r="B647" t="s">
        <v>5571</v>
      </c>
      <c r="C647" t="s">
        <v>9724</v>
      </c>
      <c r="D647" t="s">
        <v>12015</v>
      </c>
      <c r="E647" s="2">
        <v>29356</v>
      </c>
      <c r="F647">
        <f>HYPERLINK("https://www2.assemblee-nationale.fr/sycomore/fiche/(num_dept)/1027", "1027.0")</f>
        <v>0</v>
      </c>
      <c r="H647">
        <f>HYPERLINK("https://www.wikidata.org/wiki/Q3184657", "Q3184657")</f>
        <v>0</v>
      </c>
    </row>
    <row r="648" spans="1:8">
      <c r="A648" t="s">
        <v>654</v>
      </c>
      <c r="B648" t="s">
        <v>5572</v>
      </c>
      <c r="C648" t="s">
        <v>9725</v>
      </c>
      <c r="D648" t="s">
        <v>12016</v>
      </c>
      <c r="E648" s="2">
        <v>16437</v>
      </c>
      <c r="F648">
        <f>HYPERLINK("https://www2.assemblee-nationale.fr/sycomore/fiche/(num_dept)/1166", "1166.0")</f>
        <v>0</v>
      </c>
      <c r="H648">
        <f>HYPERLINK("https://www.wikidata.org/wiki/Q3588374", "Q3588374")</f>
        <v>0</v>
      </c>
    </row>
    <row r="649" spans="1:8">
      <c r="A649" t="s">
        <v>655</v>
      </c>
      <c r="B649" t="s">
        <v>5573</v>
      </c>
      <c r="C649" t="s">
        <v>9726</v>
      </c>
      <c r="D649" t="s">
        <v>11764</v>
      </c>
      <c r="E649" s="2">
        <v>20448</v>
      </c>
      <c r="F649">
        <f>HYPERLINK("https://www2.assemblee-nationale.fr/sycomore/fiche/(num_dept)/1167", "1167.0")</f>
        <v>0</v>
      </c>
      <c r="H649">
        <f>HYPERLINK("https://www.wikidata.org/wiki/Q2833856", "Q2833856")</f>
        <v>0</v>
      </c>
    </row>
    <row r="650" spans="1:8">
      <c r="A650" t="s">
        <v>656</v>
      </c>
      <c r="B650" t="s">
        <v>5574</v>
      </c>
      <c r="C650" t="s">
        <v>9368</v>
      </c>
      <c r="D650" t="s">
        <v>12017</v>
      </c>
      <c r="E650" s="2">
        <v>13215</v>
      </c>
      <c r="G650">
        <f>HYPERLINK("https://www.senat.fr/senateur-3eme-republique/brager_de_la_ville_moysan_eugene0529r3.html", "brager_de_la_ville_moysan_eugene0529r3")</f>
        <v>0</v>
      </c>
      <c r="H650">
        <f>HYPERLINK("https://www.wikidata.org/wiki/Q3059747", "Q3059747")</f>
        <v>0</v>
      </c>
    </row>
    <row r="651" spans="1:8">
      <c r="A651" t="s">
        <v>657</v>
      </c>
      <c r="B651" t="s">
        <v>5575</v>
      </c>
      <c r="C651" t="s">
        <v>9727</v>
      </c>
      <c r="D651" t="s">
        <v>12018</v>
      </c>
      <c r="E651" s="2">
        <v>8098</v>
      </c>
      <c r="F651">
        <f>HYPERLINK("https://www2.assemblee-nationale.fr/sycomore/fiche/(num_dept)/1169", "1169.0")</f>
        <v>0</v>
      </c>
      <c r="H651">
        <f>HYPERLINK("https://www.wikidata.org/wiki/Q13085293", "Q13085293")</f>
        <v>0</v>
      </c>
    </row>
    <row r="652" spans="1:8">
      <c r="A652" t="s">
        <v>658</v>
      </c>
      <c r="B652" t="s">
        <v>5576</v>
      </c>
      <c r="C652" t="s">
        <v>6888</v>
      </c>
      <c r="D652" t="s">
        <v>12019</v>
      </c>
      <c r="E652" s="2">
        <v>15412</v>
      </c>
      <c r="F652">
        <f>HYPERLINK("https://www2.assemblee-nationale.fr/sycomore/fiche/(num_dept)/1171", "1171.0")</f>
        <v>0</v>
      </c>
      <c r="G652">
        <f>HYPERLINK("https://www.senat.fr/senateur-3eme-republique/braise_felix1323r3.html", "braise_felix1323r3")</f>
        <v>0</v>
      </c>
      <c r="H652">
        <f>HYPERLINK("https://www.wikidata.org/wiki/Q3092389", "Q3092389")</f>
        <v>0</v>
      </c>
    </row>
    <row r="653" spans="1:8">
      <c r="A653" t="s">
        <v>659</v>
      </c>
      <c r="B653" t="s">
        <v>5577</v>
      </c>
      <c r="C653" t="s">
        <v>9728</v>
      </c>
      <c r="D653" t="s">
        <v>12020</v>
      </c>
      <c r="E653" t="s">
        <v>15896</v>
      </c>
      <c r="F653">
        <f>HYPERLINK("https://www2.assemblee-nationale.fr/sycomore/fiche/(num_dept)/7910", "7910.0")</f>
        <v>0</v>
      </c>
      <c r="H653">
        <f>HYPERLINK("https://www.wikidata.org/wiki/Q16025838", "Q16025838")</f>
        <v>0</v>
      </c>
    </row>
    <row r="654" spans="1:8">
      <c r="A654" t="s">
        <v>660</v>
      </c>
      <c r="B654" t="s">
        <v>5578</v>
      </c>
      <c r="C654" t="s">
        <v>9729</v>
      </c>
      <c r="D654" t="s">
        <v>12021</v>
      </c>
      <c r="E654" s="2">
        <v>15314</v>
      </c>
      <c r="F654">
        <f>HYPERLINK("https://www2.assemblee-nationale.fr/sycomore/fiche/(num_dept)/1176", "1176.0")</f>
        <v>0</v>
      </c>
      <c r="H654">
        <f>HYPERLINK("https://www.wikidata.org/wiki/Q3419133", "Q3419133")</f>
        <v>0</v>
      </c>
    </row>
    <row r="655" spans="1:8">
      <c r="A655" t="s">
        <v>661</v>
      </c>
      <c r="B655" t="s">
        <v>5579</v>
      </c>
      <c r="C655" t="s">
        <v>8384</v>
      </c>
      <c r="D655" t="s">
        <v>11878</v>
      </c>
      <c r="E655" s="2">
        <v>16310</v>
      </c>
      <c r="G655">
        <f>HYPERLINK("https://www.senat.fr/senateur-3eme-republique/brangier_pierre1627r3.html", "brangier_pierre1627r3")</f>
        <v>0</v>
      </c>
      <c r="H655">
        <f>HYPERLINK("https://www.wikidata.org/wiki/Q3384178", "Q3384178")</f>
        <v>0</v>
      </c>
    </row>
    <row r="656" spans="1:8">
      <c r="A656" t="s">
        <v>662</v>
      </c>
      <c r="B656" t="s">
        <v>5580</v>
      </c>
      <c r="C656" t="s">
        <v>9730</v>
      </c>
      <c r="D656" t="s">
        <v>12022</v>
      </c>
      <c r="E656" s="2">
        <v>16511</v>
      </c>
      <c r="G656">
        <f>HYPERLINK("https://www.senat.fr/senateur-3eme-republique/brard_mathurin0917r3.html", "brard_mathurin0917r3")</f>
        <v>0</v>
      </c>
      <c r="H656">
        <f>HYPERLINK("https://www.wikidata.org/wiki/Q2834988", "Q2834988")</f>
        <v>0</v>
      </c>
    </row>
    <row r="657" spans="1:8">
      <c r="A657" t="s">
        <v>663</v>
      </c>
      <c r="B657" t="s">
        <v>5581</v>
      </c>
      <c r="C657" t="s">
        <v>9731</v>
      </c>
      <c r="D657" t="s">
        <v>12023</v>
      </c>
      <c r="E657" s="2">
        <v>16633</v>
      </c>
      <c r="F657">
        <f>HYPERLINK("https://www2.assemblee-nationale.fr/sycomore/fiche/(num_dept)/84", "84.0")</f>
        <v>0</v>
      </c>
      <c r="H657">
        <f>HYPERLINK("https://www.wikidata.org/wiki/Q2834988", "Q2834988")</f>
        <v>0</v>
      </c>
    </row>
    <row r="658" spans="1:8">
      <c r="A658" t="s">
        <v>664</v>
      </c>
      <c r="B658" t="s">
        <v>5582</v>
      </c>
      <c r="C658" t="s">
        <v>9732</v>
      </c>
      <c r="D658" t="s">
        <v>12024</v>
      </c>
      <c r="E658" s="2">
        <v>13528</v>
      </c>
      <c r="F658">
        <f>HYPERLINK("https://www2.assemblee-nationale.fr/sycomore/fiche/(num_dept)/1181", "1181.0")</f>
        <v>0</v>
      </c>
      <c r="H658">
        <f>HYPERLINK("https://www.wikidata.org/wiki/Q3102360", "Q3102360")</f>
        <v>0</v>
      </c>
    </row>
    <row r="659" spans="1:8">
      <c r="A659" t="s">
        <v>665</v>
      </c>
      <c r="B659" t="s">
        <v>5583</v>
      </c>
      <c r="C659" t="s">
        <v>9430</v>
      </c>
      <c r="D659" t="s">
        <v>12025</v>
      </c>
      <c r="E659" s="2">
        <v>20694</v>
      </c>
      <c r="G659">
        <f>HYPERLINK("https://www.senat.fr/senateur-3eme-republique/brasseau_paul1659r3.html", "brasseau_paul1659r3")</f>
        <v>0</v>
      </c>
      <c r="H659">
        <f>HYPERLINK("https://www.wikidata.org/wiki/Q3370730", "Q3370730")</f>
        <v>0</v>
      </c>
    </row>
    <row r="660" spans="1:8">
      <c r="A660" t="s">
        <v>666</v>
      </c>
      <c r="B660" t="s">
        <v>5584</v>
      </c>
      <c r="C660" t="s">
        <v>9733</v>
      </c>
      <c r="D660" t="s">
        <v>12026</v>
      </c>
      <c r="E660" s="2">
        <v>5816</v>
      </c>
      <c r="F660">
        <f>HYPERLINK("https://www2.assemblee-nationale.fr/sycomore/fiche/(num_dept)/1182", "1182.0")</f>
        <v>0</v>
      </c>
      <c r="H660">
        <f>HYPERLINK("https://www.wikidata.org/wiki/Q15973911", "Q15973911")</f>
        <v>0</v>
      </c>
    </row>
    <row r="661" spans="1:8">
      <c r="A661" t="s">
        <v>667</v>
      </c>
      <c r="B661" t="s">
        <v>5585</v>
      </c>
      <c r="C661" t="s">
        <v>9734</v>
      </c>
      <c r="D661" t="s">
        <v>12027</v>
      </c>
      <c r="E661" t="s">
        <v>15150</v>
      </c>
      <c r="F661">
        <f>HYPERLINK("https://www2.assemblee-nationale.fr/sycomore/fiche/(num_dept)/8148", "8148.0")</f>
        <v>0</v>
      </c>
      <c r="H661">
        <f>HYPERLINK("https://www.wikidata.org/wiki/Q15973901", "Q15973901")</f>
        <v>0</v>
      </c>
    </row>
    <row r="662" spans="1:8">
      <c r="A662" t="s">
        <v>668</v>
      </c>
      <c r="B662" t="s">
        <v>5585</v>
      </c>
      <c r="C662" t="s">
        <v>9735</v>
      </c>
      <c r="D662" t="s">
        <v>12028</v>
      </c>
      <c r="E662" s="2">
        <v>15362</v>
      </c>
      <c r="F662">
        <f>HYPERLINK("https://www2.assemblee-nationale.fr/sycomore/fiche/(num_dept)/1186", "1186.0")</f>
        <v>0</v>
      </c>
      <c r="H662">
        <f>HYPERLINK("https://www.wikidata.org/wiki/Q3588375", "Q3588375")</f>
        <v>0</v>
      </c>
    </row>
    <row r="663" spans="1:8">
      <c r="A663" t="s">
        <v>669</v>
      </c>
      <c r="B663" t="s">
        <v>5586</v>
      </c>
      <c r="C663" t="s">
        <v>9736</v>
      </c>
      <c r="D663" t="s">
        <v>12029</v>
      </c>
      <c r="E663" s="2">
        <v>19353</v>
      </c>
      <c r="F663">
        <f>HYPERLINK("https://www2.assemblee-nationale.fr/sycomore/fiche/(num_dept)/7548", "7548.0")</f>
        <v>0</v>
      </c>
      <c r="H663">
        <f>HYPERLINK("https://www.wikidata.org/wiki/Q3426485", "Q3426485")</f>
        <v>0</v>
      </c>
    </row>
    <row r="664" spans="1:8">
      <c r="A664" t="s">
        <v>670</v>
      </c>
      <c r="B664" t="s">
        <v>5587</v>
      </c>
      <c r="C664" t="s">
        <v>9737</v>
      </c>
      <c r="D664" t="s">
        <v>12030</v>
      </c>
      <c r="E664" t="s">
        <v>15897</v>
      </c>
      <c r="F664">
        <f>HYPERLINK("https://www2.assemblee-nationale.fr/sycomore/fiche/(num_dept)/1190", "1190.0")</f>
        <v>0</v>
      </c>
      <c r="H664">
        <f>HYPERLINK("https://www.wikidata.org/wiki/Q13091108", "Q13091108")</f>
        <v>0</v>
      </c>
    </row>
    <row r="665" spans="1:8">
      <c r="A665" t="s">
        <v>671</v>
      </c>
      <c r="B665" t="s">
        <v>5588</v>
      </c>
      <c r="C665" t="s">
        <v>9373</v>
      </c>
      <c r="D665" t="s">
        <v>12031</v>
      </c>
      <c r="E665" s="2">
        <v>16070</v>
      </c>
      <c r="F665">
        <f>HYPERLINK("https://www2.assemblee-nationale.fr/sycomore/fiche/(num_dept)/1192", "1192.0")</f>
        <v>0</v>
      </c>
      <c r="G665">
        <f>HYPERLINK("https://www.senat.fr/senateur-3eme-republique/brenier_joseph1199r3.html", "brenier_joseph1199r3")</f>
        <v>0</v>
      </c>
      <c r="H665">
        <f>HYPERLINK("https://www.wikidata.org/wiki/Q3184661", "Q3184661")</f>
        <v>0</v>
      </c>
    </row>
    <row r="666" spans="1:8">
      <c r="A666" t="s">
        <v>672</v>
      </c>
      <c r="B666" t="s">
        <v>5589</v>
      </c>
      <c r="C666" t="s">
        <v>9738</v>
      </c>
      <c r="D666" t="s">
        <v>12032</v>
      </c>
      <c r="E666" s="2">
        <v>4089</v>
      </c>
      <c r="F666">
        <f>HYPERLINK("https://www2.assemblee-nationale.fr/sycomore/fiche/(num_dept)/7907", "7907.0")</f>
        <v>0</v>
      </c>
      <c r="H666">
        <f>HYPERLINK("https://www.wikidata.org/wiki/Q15973946", "Q15973946")</f>
        <v>0</v>
      </c>
    </row>
    <row r="667" spans="1:8">
      <c r="A667" t="s">
        <v>673</v>
      </c>
      <c r="B667" t="s">
        <v>5590</v>
      </c>
      <c r="C667" t="s">
        <v>9739</v>
      </c>
      <c r="D667" t="s">
        <v>12033</v>
      </c>
      <c r="E667" s="2">
        <v>25913</v>
      </c>
      <c r="F667">
        <f>HYPERLINK("https://www2.assemblee-nationale.fr/sycomore/fiche/(num_dept)/1195", "1195.0")</f>
        <v>0</v>
      </c>
      <c r="H667">
        <f>HYPERLINK("https://www.wikidata.org/wiki/Q3102377", "Q3102377")</f>
        <v>0</v>
      </c>
    </row>
    <row r="668" spans="1:8">
      <c r="A668" t="s">
        <v>674</v>
      </c>
      <c r="B668" t="s">
        <v>5591</v>
      </c>
      <c r="C668" t="s">
        <v>9740</v>
      </c>
      <c r="D668" t="s">
        <v>12034</v>
      </c>
      <c r="E668" s="2">
        <v>11145</v>
      </c>
      <c r="F668">
        <f>HYPERLINK("https://www2.assemblee-nationale.fr/sycomore/fiche/(num_dept)/1197", "1197.0")</f>
        <v>0</v>
      </c>
      <c r="G668">
        <f>HYPERLINK("https://www.senat.fr/senateur-3eme-republique/breteau_almire1241r3.html", "breteau_almire1241r3")</f>
        <v>0</v>
      </c>
      <c r="H668">
        <f>HYPERLINK("https://www.wikidata.org/wiki/Q2839123", "Q2839123")</f>
        <v>0</v>
      </c>
    </row>
    <row r="669" spans="1:8">
      <c r="A669" t="s">
        <v>675</v>
      </c>
      <c r="B669" t="s">
        <v>5592</v>
      </c>
      <c r="C669" t="s">
        <v>9741</v>
      </c>
      <c r="D669" t="s">
        <v>12035</v>
      </c>
      <c r="E669" s="2">
        <v>6153</v>
      </c>
      <c r="F669">
        <f>HYPERLINK("https://www2.assemblee-nationale.fr/sycomore/fiche/(num_dept)/1198", "1198.0")</f>
        <v>0</v>
      </c>
      <c r="H669">
        <f>HYPERLINK("https://www.wikidata.org/wiki/Q3132908", "Q3132908")</f>
        <v>0</v>
      </c>
    </row>
    <row r="670" spans="1:8">
      <c r="A670" t="s">
        <v>676</v>
      </c>
      <c r="B670" t="s">
        <v>5593</v>
      </c>
      <c r="C670" t="s">
        <v>9742</v>
      </c>
      <c r="D670" t="s">
        <v>12036</v>
      </c>
      <c r="E670" s="2">
        <v>20029</v>
      </c>
      <c r="G670">
        <f>HYPERLINK("https://www.senat.fr/senateur-3eme-republique/breton_andre0447r3.html", "breton_andre0447r3")</f>
        <v>0</v>
      </c>
      <c r="H670">
        <f>HYPERLINK("https://www.wikidata.org/wiki/Q2847379", "Q2847379")</f>
        <v>0</v>
      </c>
    </row>
    <row r="671" spans="1:8">
      <c r="A671" t="s">
        <v>677</v>
      </c>
      <c r="B671" t="s">
        <v>5594</v>
      </c>
      <c r="C671" t="s">
        <v>9332</v>
      </c>
      <c r="D671" t="s">
        <v>12037</v>
      </c>
      <c r="E671" s="2">
        <v>682</v>
      </c>
      <c r="F671">
        <f>HYPERLINK("https://www2.assemblee-nationale.fr/sycomore/fiche/(num_dept)/1201", "1201.0")</f>
        <v>0</v>
      </c>
      <c r="H671">
        <f>HYPERLINK("https://www.wikidata.org/wiki/Q13080862", "Q13080862")</f>
        <v>0</v>
      </c>
    </row>
    <row r="672" spans="1:8">
      <c r="A672" t="s">
        <v>678</v>
      </c>
      <c r="B672" t="s">
        <v>5594</v>
      </c>
      <c r="C672" t="s">
        <v>9743</v>
      </c>
      <c r="D672" t="s">
        <v>12038</v>
      </c>
      <c r="E672" s="2">
        <v>19154</v>
      </c>
      <c r="F672">
        <f>HYPERLINK("https://www2.assemblee-nationale.fr/sycomore/fiche/(num_dept)/1202", "1202.0")</f>
        <v>0</v>
      </c>
      <c r="H672">
        <f>HYPERLINK("https://www.wikidata.org/wiki/Q15973928", "Q15973928")</f>
        <v>0</v>
      </c>
    </row>
    <row r="673" spans="1:8">
      <c r="A673" t="s">
        <v>679</v>
      </c>
      <c r="B673" t="s">
        <v>5594</v>
      </c>
      <c r="C673" t="s">
        <v>9744</v>
      </c>
      <c r="D673" t="s">
        <v>12039</v>
      </c>
      <c r="E673" s="2">
        <v>14825</v>
      </c>
      <c r="F673">
        <f>HYPERLINK("https://www2.assemblee-nationale.fr/sycomore/fiche/(num_dept)/1203", "1203.0")</f>
        <v>0</v>
      </c>
      <c r="G673">
        <f>HYPERLINK("https://www.senat.fr/senateur-3eme-republique/breton_jules0441r3.html", "breton_jules0441r3")</f>
        <v>0</v>
      </c>
      <c r="H673">
        <f>HYPERLINK("https://www.wikidata.org/wiki/Q3188368", "Q3188368")</f>
        <v>0</v>
      </c>
    </row>
    <row r="674" spans="1:8">
      <c r="A674" t="s">
        <v>680</v>
      </c>
      <c r="B674" t="s">
        <v>5594</v>
      </c>
      <c r="C674" t="s">
        <v>9745</v>
      </c>
      <c r="D674" t="s">
        <v>12040</v>
      </c>
      <c r="E674" s="2">
        <v>20029</v>
      </c>
      <c r="F674">
        <f>HYPERLINK("https://www2.assemblee-nationale.fr/sycomore/fiche/(num_dept)/1200", "1200.0")</f>
        <v>0</v>
      </c>
      <c r="H674">
        <f>HYPERLINK("https://www.wikidata.org/wiki/Q2847379", "Q2847379")</f>
        <v>0</v>
      </c>
    </row>
    <row r="675" spans="1:8">
      <c r="A675" t="s">
        <v>681</v>
      </c>
      <c r="B675" t="s">
        <v>5595</v>
      </c>
      <c r="C675" t="s">
        <v>7001</v>
      </c>
      <c r="D675" t="s">
        <v>12041</v>
      </c>
      <c r="E675" t="s">
        <v>15898</v>
      </c>
      <c r="F675">
        <f>HYPERLINK("https://www2.assemblee-nationale.fr/sycomore/fiche/(num_dept)/8225", "8225.0")</f>
        <v>0</v>
      </c>
      <c r="H675">
        <f>HYPERLINK("https://www.wikidata.org/wiki/Q15973917", "Q15973917")</f>
        <v>0</v>
      </c>
    </row>
    <row r="676" spans="1:8">
      <c r="A676" t="s">
        <v>682</v>
      </c>
      <c r="B676" t="s">
        <v>5596</v>
      </c>
      <c r="C676" t="s">
        <v>9746</v>
      </c>
      <c r="D676" t="s">
        <v>12042</v>
      </c>
      <c r="E676" s="2">
        <v>11755</v>
      </c>
      <c r="F676">
        <f>HYPERLINK("https://www2.assemblee-nationale.fr/sycomore/fiche/(num_dept)/1211", "1211.0")</f>
        <v>0</v>
      </c>
      <c r="H676">
        <f>HYPERLINK("https://www.wikidata.org/wiki/Q179888", "Q179888")</f>
        <v>0</v>
      </c>
    </row>
    <row r="677" spans="1:8">
      <c r="A677" t="s">
        <v>683</v>
      </c>
      <c r="B677" t="s">
        <v>5597</v>
      </c>
      <c r="C677" t="s">
        <v>9747</v>
      </c>
      <c r="D677" t="s">
        <v>12043</v>
      </c>
      <c r="E677" s="2">
        <v>2018</v>
      </c>
      <c r="F677">
        <f>HYPERLINK("https://www2.assemblee-nationale.fr/sycomore/fiche/(num_dept)/1218", "1218.0")</f>
        <v>0</v>
      </c>
      <c r="H677">
        <f>HYPERLINK("https://www.wikidata.org/wiki/Q15973935", "Q15973935")</f>
        <v>0</v>
      </c>
    </row>
    <row r="678" spans="1:8">
      <c r="A678" t="s">
        <v>684</v>
      </c>
      <c r="B678" t="s">
        <v>5597</v>
      </c>
      <c r="C678" t="s">
        <v>9748</v>
      </c>
      <c r="D678" t="s">
        <v>12044</v>
      </c>
      <c r="E678" s="2">
        <v>7909</v>
      </c>
      <c r="F678">
        <f>HYPERLINK("https://www2.assemblee-nationale.fr/sycomore/fiche/(num_dept)/1220", "1220.0")</f>
        <v>0</v>
      </c>
      <c r="H678">
        <f>HYPERLINK("https://www.wikidata.org/wiki/Q3426418", "Q3426418")</f>
        <v>0</v>
      </c>
    </row>
    <row r="679" spans="1:8">
      <c r="A679" t="s">
        <v>685</v>
      </c>
      <c r="B679" t="s">
        <v>5598</v>
      </c>
      <c r="C679" t="s">
        <v>9749</v>
      </c>
      <c r="D679" t="s">
        <v>11936</v>
      </c>
      <c r="E679" s="2">
        <v>2779</v>
      </c>
      <c r="F679">
        <f>HYPERLINK("https://www2.assemblee-nationale.fr/sycomore/fiche/(num_dept)/1224", "1224.0")</f>
        <v>0</v>
      </c>
      <c r="G679">
        <f>HYPERLINK("https://www.senat.fr/senateur-3eme-republique/briens_ernest1030r3.html", "briens_ernest1030r3")</f>
        <v>0</v>
      </c>
      <c r="H679">
        <f>HYPERLINK("https://www.wikidata.org/wiki/Q3056863", "Q3056863")</f>
        <v>0</v>
      </c>
    </row>
    <row r="680" spans="1:8">
      <c r="A680" t="s">
        <v>686</v>
      </c>
      <c r="B680" t="s">
        <v>5599</v>
      </c>
      <c r="C680" t="s">
        <v>9750</v>
      </c>
      <c r="D680" t="s">
        <v>12045</v>
      </c>
      <c r="E680" t="s">
        <v>15899</v>
      </c>
      <c r="F680">
        <f>HYPERLINK("https://www2.assemblee-nationale.fr/sycomore/fiche/(num_dept)/8160", "8160.0")</f>
        <v>0</v>
      </c>
      <c r="H680">
        <f>HYPERLINK("https://www.wikidata.org/wiki/Q3158506", "Q3158506")</f>
        <v>0</v>
      </c>
    </row>
    <row r="681" spans="1:8">
      <c r="A681" t="s">
        <v>687</v>
      </c>
      <c r="B681" t="s">
        <v>5600</v>
      </c>
      <c r="C681" t="s">
        <v>9751</v>
      </c>
      <c r="D681" t="s">
        <v>12046</v>
      </c>
      <c r="E681" s="2">
        <v>14052</v>
      </c>
      <c r="F681">
        <f>HYPERLINK("https://www2.assemblee-nationale.fr/sycomore/fiche/(num_dept)/1226", "1226.0")</f>
        <v>0</v>
      </c>
      <c r="H681">
        <f>HYPERLINK("https://www.wikidata.org/wiki/Q15973967", "Q15973967")</f>
        <v>0</v>
      </c>
    </row>
    <row r="682" spans="1:8">
      <c r="A682" t="s">
        <v>688</v>
      </c>
      <c r="B682" t="s">
        <v>5601</v>
      </c>
      <c r="C682" t="s">
        <v>9752</v>
      </c>
      <c r="D682" t="s">
        <v>12047</v>
      </c>
      <c r="E682" s="2">
        <v>27369</v>
      </c>
      <c r="F682">
        <f>HYPERLINK("https://www2.assemblee-nationale.fr/sycomore/fiche/(num_dept)/1228", "1228.0")</f>
        <v>0</v>
      </c>
      <c r="H682">
        <f>HYPERLINK("https://www.wikidata.org/wiki/Q8306803", "Q8306803")</f>
        <v>0</v>
      </c>
    </row>
    <row r="683" spans="1:8">
      <c r="A683" t="s">
        <v>689</v>
      </c>
      <c r="B683" t="s">
        <v>5602</v>
      </c>
      <c r="C683" t="s">
        <v>9753</v>
      </c>
      <c r="D683" t="s">
        <v>12048</v>
      </c>
      <c r="E683" s="2">
        <v>7323</v>
      </c>
      <c r="F683">
        <f>HYPERLINK("https://www2.assemblee-nationale.fr/sycomore/fiche/(num_dept)/1233", "1233.0")</f>
        <v>0</v>
      </c>
      <c r="H683">
        <f>HYPERLINK("https://www.wikidata.org/wiki/Q8322500", "Q8322500")</f>
        <v>0</v>
      </c>
    </row>
    <row r="684" spans="1:8">
      <c r="A684" t="s">
        <v>690</v>
      </c>
      <c r="B684" t="s">
        <v>5603</v>
      </c>
      <c r="C684" t="s">
        <v>9754</v>
      </c>
      <c r="D684" t="s">
        <v>12049</v>
      </c>
      <c r="E684" s="2">
        <v>13386</v>
      </c>
      <c r="F684">
        <f>HYPERLINK("https://www2.assemblee-nationale.fr/sycomore/fiche/(num_dept)/1234", "1234.0")</f>
        <v>0</v>
      </c>
      <c r="G684">
        <f>HYPERLINK("https://www.senat.fr/senateur-3eme-republique/brindeau_louis1617r3.html", "brindeau_louis1617r3")</f>
        <v>0</v>
      </c>
      <c r="H684">
        <f>HYPERLINK("https://www.wikidata.org/wiki/Q3261358", "Q3261358")</f>
        <v>0</v>
      </c>
    </row>
    <row r="685" spans="1:8">
      <c r="A685" t="s">
        <v>691</v>
      </c>
      <c r="B685" t="s">
        <v>5604</v>
      </c>
      <c r="C685" t="s">
        <v>7754</v>
      </c>
      <c r="D685" t="s">
        <v>12050</v>
      </c>
      <c r="E685" s="2">
        <v>22626</v>
      </c>
      <c r="F685">
        <f>HYPERLINK("https://www2.assemblee-nationale.fr/sycomore/fiche/(num_dept)/1235", "1235.0")</f>
        <v>0</v>
      </c>
      <c r="G685">
        <f>HYPERLINK("https://www.senat.fr/senateur-3eme-republique/bringer_louis0862r3.html", "bringer_louis0862r3")</f>
        <v>0</v>
      </c>
      <c r="H685">
        <f>HYPERLINK("https://www.wikidata.org/wiki/Q3261361", "Q3261361")</f>
        <v>0</v>
      </c>
    </row>
    <row r="686" spans="1:8">
      <c r="A686" t="s">
        <v>692</v>
      </c>
      <c r="B686" t="s">
        <v>5605</v>
      </c>
      <c r="C686" t="s">
        <v>9359</v>
      </c>
      <c r="D686" t="s">
        <v>12051</v>
      </c>
      <c r="E686" s="2">
        <v>6294</v>
      </c>
      <c r="F686">
        <f>HYPERLINK("https://www2.assemblee-nationale.fr/sycomore/fiche/(num_dept)/1239", "1239.0")</f>
        <v>0</v>
      </c>
      <c r="H686">
        <f>HYPERLINK("https://www.wikidata.org/wiki/Q15974005", "Q15974005")</f>
        <v>0</v>
      </c>
    </row>
    <row r="687" spans="1:8">
      <c r="A687" t="s">
        <v>693</v>
      </c>
      <c r="B687" t="s">
        <v>5605</v>
      </c>
      <c r="C687" t="s">
        <v>9755</v>
      </c>
      <c r="D687" t="s">
        <v>11689</v>
      </c>
      <c r="E687" s="2">
        <v>22248</v>
      </c>
      <c r="F687">
        <f>HYPERLINK("https://www2.assemblee-nationale.fr/sycomore/fiche/(num_dept)/1238", "1238.0")</f>
        <v>0</v>
      </c>
      <c r="H687">
        <f>HYPERLINK("https://www.wikidata.org/wiki/Q2398766", "Q2398766")</f>
        <v>0</v>
      </c>
    </row>
    <row r="688" spans="1:8">
      <c r="A688" t="s">
        <v>694</v>
      </c>
      <c r="B688" t="s">
        <v>5606</v>
      </c>
      <c r="C688" t="s">
        <v>9456</v>
      </c>
      <c r="D688" t="s">
        <v>12052</v>
      </c>
      <c r="E688" s="2">
        <v>4487</v>
      </c>
      <c r="F688">
        <f>HYPERLINK("https://www2.assemblee-nationale.fr/sycomore/fiche/(num_dept)/1240", "1240.0")</f>
        <v>0</v>
      </c>
      <c r="H688">
        <f>HYPERLINK("https://www.wikidata.org/wiki/Q669725", "Q669725")</f>
        <v>0</v>
      </c>
    </row>
    <row r="689" spans="1:8">
      <c r="A689" t="s">
        <v>695</v>
      </c>
      <c r="B689" t="s">
        <v>5607</v>
      </c>
      <c r="C689" t="s">
        <v>9471</v>
      </c>
      <c r="D689" t="s">
        <v>12053</v>
      </c>
      <c r="E689" s="2">
        <v>8218</v>
      </c>
      <c r="G689">
        <f>HYPERLINK("https://www.senat.fr/senateur-3eme-republique/brisson_jules0396r3.html", "brisson_jules0396r3")</f>
        <v>0</v>
      </c>
      <c r="H689">
        <f>HYPERLINK("https://www.wikidata.org/wiki/Q3188458", "Q3188458")</f>
        <v>0</v>
      </c>
    </row>
    <row r="690" spans="1:8">
      <c r="A690" t="s">
        <v>696</v>
      </c>
      <c r="B690" t="s">
        <v>5606</v>
      </c>
      <c r="C690" t="s">
        <v>9756</v>
      </c>
      <c r="D690" t="s">
        <v>12054</v>
      </c>
      <c r="E690" s="2">
        <v>15355</v>
      </c>
      <c r="F690">
        <f>HYPERLINK("https://www2.assemblee-nationale.fr/sycomore/fiche/(num_dept)/1241", "1241.0")</f>
        <v>0</v>
      </c>
      <c r="H690">
        <f>HYPERLINK("https://www.wikidata.org/wiki/Q15973978", "Q15973978")</f>
        <v>0</v>
      </c>
    </row>
    <row r="691" spans="1:8">
      <c r="A691" t="s">
        <v>697</v>
      </c>
      <c r="B691" t="s">
        <v>5608</v>
      </c>
      <c r="C691" t="s">
        <v>8384</v>
      </c>
      <c r="D691" t="s">
        <v>12055</v>
      </c>
      <c r="E691" s="2">
        <v>8614</v>
      </c>
      <c r="F691">
        <f>HYPERLINK("https://www2.assemblee-nationale.fr/sycomore/fiche/(num_dept)/1242", "1242.0")</f>
        <v>0</v>
      </c>
      <c r="H691">
        <f>HYPERLINK("https://www.wikidata.org/wiki/Q3384198", "Q3384198")</f>
        <v>0</v>
      </c>
    </row>
    <row r="692" spans="1:8">
      <c r="A692" t="s">
        <v>698</v>
      </c>
      <c r="B692" t="s">
        <v>5609</v>
      </c>
      <c r="C692" t="s">
        <v>9757</v>
      </c>
      <c r="D692" t="s">
        <v>12056</v>
      </c>
      <c r="E692" s="2">
        <v>20904</v>
      </c>
      <c r="F692">
        <f>HYPERLINK("https://www2.assemblee-nationale.fr/sycomore/fiche/(num_dept)/1225", "1225.0")</f>
        <v>0</v>
      </c>
      <c r="H692">
        <f>HYPERLINK("https://www.wikidata.org/wiki/Q15998936", "Q15998936")</f>
        <v>0</v>
      </c>
    </row>
    <row r="693" spans="1:8">
      <c r="A693" t="s">
        <v>699</v>
      </c>
      <c r="B693" t="s">
        <v>5610</v>
      </c>
      <c r="C693" t="s">
        <v>9758</v>
      </c>
      <c r="D693" t="s">
        <v>12057</v>
      </c>
      <c r="E693" s="2">
        <v>13870</v>
      </c>
      <c r="G693">
        <f>HYPERLINK("https://www.senat.fr/senateur-3eme-republique/brocard_maximin0452r3.html", "brocard_maximin0452r3")</f>
        <v>0</v>
      </c>
      <c r="H693">
        <f>HYPERLINK("https://www.wikidata.org/wiki/Q3084105", "Q3084105")</f>
        <v>0</v>
      </c>
    </row>
    <row r="694" spans="1:8">
      <c r="A694" t="s">
        <v>700</v>
      </c>
      <c r="B694" t="s">
        <v>5611</v>
      </c>
      <c r="C694" t="s">
        <v>9759</v>
      </c>
      <c r="D694" t="s">
        <v>12058</v>
      </c>
      <c r="E694" s="2">
        <v>18411</v>
      </c>
      <c r="F694">
        <f>HYPERLINK("https://www2.assemblee-nationale.fr/sycomore/fiche/(num_dept)/1243", "1243.0")</f>
        <v>0</v>
      </c>
      <c r="H694">
        <f>HYPERLINK("https://www.wikidata.org/wiki/Q2857109", "Q2857109")</f>
        <v>0</v>
      </c>
    </row>
    <row r="695" spans="1:8">
      <c r="A695" t="s">
        <v>701</v>
      </c>
      <c r="B695" t="s">
        <v>5612</v>
      </c>
      <c r="C695" t="s">
        <v>9760</v>
      </c>
      <c r="D695" t="s">
        <v>12059</v>
      </c>
      <c r="E695" s="2">
        <v>13175</v>
      </c>
      <c r="F695">
        <f>HYPERLINK("https://www2.assemblee-nationale.fr/sycomore/fiche/(num_dept)/1247", "1247.0")</f>
        <v>0</v>
      </c>
      <c r="H695">
        <f>HYPERLINK("https://www.wikidata.org/wiki/Q3261367", "Q3261367")</f>
        <v>0</v>
      </c>
    </row>
    <row r="696" spans="1:8">
      <c r="A696" t="s">
        <v>702</v>
      </c>
      <c r="B696" t="s">
        <v>5613</v>
      </c>
      <c r="C696" t="s">
        <v>9761</v>
      </c>
      <c r="D696" t="s">
        <v>12060</v>
      </c>
      <c r="E696" s="2">
        <v>2430</v>
      </c>
      <c r="F696">
        <f>HYPERLINK("https://www2.assemblee-nationale.fr/sycomore/fiche/(num_dept)/1251", "1251.0")</f>
        <v>0</v>
      </c>
      <c r="H696">
        <f>HYPERLINK("https://www.wikidata.org/wiki/Q1871376", "Q1871376")</f>
        <v>0</v>
      </c>
    </row>
    <row r="697" spans="1:8">
      <c r="A697" t="s">
        <v>703</v>
      </c>
      <c r="B697" t="s">
        <v>5614</v>
      </c>
      <c r="C697" t="s">
        <v>9762</v>
      </c>
      <c r="D697" t="s">
        <v>12061</v>
      </c>
      <c r="E697" s="2">
        <v>21889</v>
      </c>
      <c r="F697">
        <f>HYPERLINK("https://www2.assemblee-nationale.fr/sycomore/fiche/(num_dept)/1252", "1252.0")</f>
        <v>0</v>
      </c>
      <c r="G697">
        <f>HYPERLINK("https://www.senat.fr/senateur-3eme-republique/brogly_medard1116r3.html", "brogly_medard1116r3")</f>
        <v>0</v>
      </c>
      <c r="H697">
        <f>HYPERLINK("https://www.wikidata.org/wiki/Q118855", "Q118855")</f>
        <v>0</v>
      </c>
    </row>
    <row r="698" spans="1:8">
      <c r="A698" t="s">
        <v>704</v>
      </c>
      <c r="B698" t="s">
        <v>5615</v>
      </c>
      <c r="C698" t="s">
        <v>9373</v>
      </c>
      <c r="D698" t="s">
        <v>12062</v>
      </c>
      <c r="E698" s="2">
        <v>16452</v>
      </c>
      <c r="F698">
        <f>HYPERLINK("https://www2.assemblee-nationale.fr/sycomore/fiche/(num_dept)/1254", "1254.0")</f>
        <v>0</v>
      </c>
      <c r="G698">
        <f>HYPERLINK("https://www.senat.fr/senateur-3eme-republique/brom_joseph1111r3.html", "brom_joseph1111r3")</f>
        <v>0</v>
      </c>
      <c r="H698">
        <f>HYPERLINK("https://www.wikidata.org/wiki/Q104941", "Q104941")</f>
        <v>0</v>
      </c>
    </row>
    <row r="699" spans="1:8">
      <c r="A699" t="s">
        <v>705</v>
      </c>
      <c r="B699" t="s">
        <v>5616</v>
      </c>
      <c r="C699" t="s">
        <v>6686</v>
      </c>
      <c r="D699" t="s">
        <v>12063</v>
      </c>
      <c r="E699" t="s">
        <v>15900</v>
      </c>
      <c r="F699">
        <f>HYPERLINK("https://www2.assemblee-nationale.fr/sycomore/fiche/(num_dept)/8154", "8154.0")</f>
        <v>0</v>
      </c>
      <c r="G699">
        <f>HYPERLINK("https://www.senat.fr/senateur-3eme-republique/brossard_etienne1319r3.html", "brossard_etienne1319r3")</f>
        <v>0</v>
      </c>
      <c r="H699">
        <f>HYPERLINK("https://www.wikidata.org/wiki/Q3592085", "Q3592085")</f>
        <v>0</v>
      </c>
    </row>
    <row r="700" spans="1:8">
      <c r="A700" t="s">
        <v>706</v>
      </c>
      <c r="B700" t="s">
        <v>5617</v>
      </c>
      <c r="C700" t="s">
        <v>9397</v>
      </c>
      <c r="D700" t="s">
        <v>12064</v>
      </c>
      <c r="G700">
        <f>HYPERLINK("https://www.senat.fr/senateur-3eme-republique/brothier_theophile0389r3.html", "brothier_theophile0389r3")</f>
        <v>0</v>
      </c>
      <c r="H700">
        <f>HYPERLINK("https://www.wikidata.org/wiki/Q3526635", "Q3526635")</f>
        <v>0</v>
      </c>
    </row>
    <row r="701" spans="1:8">
      <c r="A701" t="s">
        <v>707</v>
      </c>
      <c r="B701" t="s">
        <v>5618</v>
      </c>
      <c r="C701" t="s">
        <v>9763</v>
      </c>
      <c r="D701" t="s">
        <v>12065</v>
      </c>
      <c r="E701" s="2">
        <v>15744</v>
      </c>
      <c r="F701">
        <f>HYPERLINK("https://www2.assemblee-nationale.fr/sycomore/fiche/(num_dept)/1258", "1258.0")</f>
        <v>0</v>
      </c>
      <c r="H701">
        <f>HYPERLINK("https://www.wikidata.org/wiki/Q15996056", "Q15996056")</f>
        <v>0</v>
      </c>
    </row>
    <row r="702" spans="1:8">
      <c r="A702" t="s">
        <v>708</v>
      </c>
      <c r="B702" t="s">
        <v>5619</v>
      </c>
      <c r="C702" t="s">
        <v>9764</v>
      </c>
      <c r="D702" t="s">
        <v>12066</v>
      </c>
      <c r="E702" s="2">
        <v>4475</v>
      </c>
      <c r="F702">
        <f>HYPERLINK("https://www2.assemblee-nationale.fr/sycomore/fiche/(num_dept)/1262", "1262.0")</f>
        <v>0</v>
      </c>
      <c r="H702">
        <f>HYPERLINK("https://www.wikidata.org/wiki/Q1153056", "Q1153056")</f>
        <v>0</v>
      </c>
    </row>
    <row r="703" spans="1:8">
      <c r="A703" t="s">
        <v>709</v>
      </c>
      <c r="B703" t="s">
        <v>5619</v>
      </c>
      <c r="C703" t="s">
        <v>9524</v>
      </c>
      <c r="D703" t="s">
        <v>12067</v>
      </c>
      <c r="E703" s="2">
        <v>5172</v>
      </c>
      <c r="F703">
        <f>HYPERLINK("https://www2.assemblee-nationale.fr/sycomore/fiche/(num_dept)/1259", "1259.0")</f>
        <v>0</v>
      </c>
      <c r="H703">
        <f>HYPERLINK("https://www.wikidata.org/wiki/Q15968404", "Q15968404")</f>
        <v>0</v>
      </c>
    </row>
    <row r="704" spans="1:8">
      <c r="A704" t="s">
        <v>710</v>
      </c>
      <c r="B704" t="s">
        <v>5619</v>
      </c>
      <c r="C704" t="s">
        <v>9765</v>
      </c>
      <c r="D704" t="s">
        <v>12068</v>
      </c>
      <c r="E704" s="2">
        <v>9818</v>
      </c>
      <c r="F704">
        <f>HYPERLINK("https://www2.assemblee-nationale.fr/sycomore/fiche/(num_dept)/1260", "1260.0")</f>
        <v>0</v>
      </c>
      <c r="H704">
        <f>HYPERLINK("https://www.wikidata.org/wiki/Q3052603", "Q3052603")</f>
        <v>0</v>
      </c>
    </row>
    <row r="705" spans="1:8">
      <c r="A705" t="s">
        <v>711</v>
      </c>
      <c r="B705" t="s">
        <v>5620</v>
      </c>
      <c r="C705" t="s">
        <v>9766</v>
      </c>
      <c r="D705" t="s">
        <v>12069</v>
      </c>
      <c r="E705" s="2">
        <v>2992</v>
      </c>
      <c r="F705">
        <f>HYPERLINK("https://www2.assemblee-nationale.fr/sycomore/fiche/(num_dept)/8066", "8066.0")</f>
        <v>0</v>
      </c>
      <c r="G705">
        <f>HYPERLINK("https://www.senat.fr/senateur-3eme-republique/bruel_eugene0042r3.html", "bruel_eugene0042r3")</f>
        <v>0</v>
      </c>
      <c r="H705">
        <f>HYPERLINK("https://www.wikidata.org/wiki/Q3059749", "Q3059749")</f>
        <v>0</v>
      </c>
    </row>
    <row r="706" spans="1:8">
      <c r="A706" t="s">
        <v>712</v>
      </c>
      <c r="B706" t="s">
        <v>5621</v>
      </c>
      <c r="C706" t="s">
        <v>9767</v>
      </c>
      <c r="D706" t="s">
        <v>12070</v>
      </c>
      <c r="E706" t="s">
        <v>15901</v>
      </c>
      <c r="F706">
        <f>HYPERLINK("https://www2.assemblee-nationale.fr/sycomore/fiche/(num_dept)/1266", "1266.0")</f>
        <v>0</v>
      </c>
      <c r="H706">
        <f>HYPERLINK("https://www.wikidata.org/wiki/Q15974002", "Q15974002")</f>
        <v>0</v>
      </c>
    </row>
    <row r="707" spans="1:8">
      <c r="A707" t="s">
        <v>713</v>
      </c>
      <c r="B707" t="s">
        <v>5622</v>
      </c>
      <c r="C707" t="s">
        <v>7342</v>
      </c>
      <c r="D707" t="s">
        <v>12071</v>
      </c>
      <c r="E707" t="s">
        <v>15902</v>
      </c>
      <c r="G707">
        <f>HYPERLINK("https://www.senat.fr/senateur-3eme-republique/brugerolle_jean0365r3.html", "brugerolle_jean0365r3")</f>
        <v>0</v>
      </c>
      <c r="H707">
        <f>HYPERLINK("https://www.wikidata.org/wiki/Q3171008", "Q3171008")</f>
        <v>0</v>
      </c>
    </row>
    <row r="708" spans="1:8">
      <c r="A708" t="s">
        <v>714</v>
      </c>
      <c r="B708" t="s">
        <v>5623</v>
      </c>
      <c r="C708" t="s">
        <v>9768</v>
      </c>
      <c r="D708" t="s">
        <v>12072</v>
      </c>
      <c r="E708" s="2">
        <v>1193</v>
      </c>
      <c r="F708">
        <f>HYPERLINK("https://www2.assemblee-nationale.fr/sycomore/fiche/(num_dept)/1271", "1271.0")</f>
        <v>0</v>
      </c>
      <c r="G708">
        <f>HYPERLINK("https://www.senat.fr/senateur-3eme-republique/brugnot_alfred1798r3.html", "brugnot_alfred1798r3")</f>
        <v>0</v>
      </c>
      <c r="H708">
        <f>HYPERLINK("https://www.wikidata.org/wiki/Q2834995", "Q2834995")</f>
        <v>0</v>
      </c>
    </row>
    <row r="709" spans="1:8">
      <c r="A709" t="s">
        <v>715</v>
      </c>
      <c r="B709" t="s">
        <v>5624</v>
      </c>
      <c r="C709" t="s">
        <v>7001</v>
      </c>
      <c r="D709" t="s">
        <v>12073</v>
      </c>
      <c r="E709" s="2">
        <v>22878</v>
      </c>
      <c r="G709">
        <f>HYPERLINK("https://www.senat.fr/senateur-3eme-republique/bruguier_georges0829r3.html", "bruguier_georges0829r3")</f>
        <v>0</v>
      </c>
      <c r="H709">
        <f>HYPERLINK("https://www.wikidata.org/wiki/Q1508824", "Q1508824")</f>
        <v>0</v>
      </c>
    </row>
    <row r="710" spans="1:8">
      <c r="A710" t="s">
        <v>716</v>
      </c>
      <c r="B710" t="s">
        <v>5625</v>
      </c>
      <c r="C710" t="s">
        <v>9769</v>
      </c>
      <c r="D710" t="s">
        <v>12074</v>
      </c>
      <c r="E710" s="2">
        <v>8218</v>
      </c>
      <c r="F710">
        <f>HYPERLINK("https://www2.assemblee-nationale.fr/sycomore/fiche/(num_dept)/1267", "1267.0")</f>
        <v>0</v>
      </c>
      <c r="H710">
        <f>HYPERLINK("https://www.wikidata.org/wiki/Q15973953", "Q15973953")</f>
        <v>0</v>
      </c>
    </row>
    <row r="711" spans="1:8">
      <c r="A711" t="s">
        <v>717</v>
      </c>
      <c r="B711" t="s">
        <v>5626</v>
      </c>
      <c r="C711" t="s">
        <v>9355</v>
      </c>
      <c r="D711" t="s">
        <v>12075</v>
      </c>
      <c r="E711" t="s">
        <v>15903</v>
      </c>
      <c r="G711">
        <f>HYPERLINK("https://www.senat.fr/senateur-3eme-republique/brun_charles1729r3.html", "brun_charles1729r3")</f>
        <v>0</v>
      </c>
      <c r="H711">
        <f>HYPERLINK("https://www.wikidata.org/wiki/Q2958626", "Q2958626")</f>
        <v>0</v>
      </c>
    </row>
    <row r="712" spans="1:8">
      <c r="A712" t="s">
        <v>718</v>
      </c>
      <c r="B712" t="s">
        <v>5627</v>
      </c>
      <c r="C712" t="s">
        <v>9377</v>
      </c>
      <c r="D712" t="s">
        <v>12076</v>
      </c>
      <c r="E712" t="s">
        <v>15827</v>
      </c>
      <c r="G712">
        <f>HYPERLINK("https://www.senat.fr/senateur-3eme-republique/brun_lucien1439r3.html", "brun_lucien1439r3")</f>
        <v>0</v>
      </c>
      <c r="H712">
        <f>HYPERLINK("https://www.wikidata.org/wiki/Q3265405", "Q3265405")</f>
        <v>0</v>
      </c>
    </row>
    <row r="713" spans="1:8">
      <c r="A713" t="s">
        <v>719</v>
      </c>
      <c r="B713" t="s">
        <v>5626</v>
      </c>
      <c r="C713" t="s">
        <v>7342</v>
      </c>
      <c r="D713" t="s">
        <v>12077</v>
      </c>
      <c r="E713" s="2">
        <v>4072</v>
      </c>
      <c r="H713">
        <f>HYPERLINK("https://www.wikidata.org/wiki/Q3171014", "Q3171014")</f>
        <v>0</v>
      </c>
    </row>
    <row r="714" spans="1:8">
      <c r="A714" t="s">
        <v>720</v>
      </c>
      <c r="B714" t="s">
        <v>5626</v>
      </c>
      <c r="C714" t="s">
        <v>9770</v>
      </c>
      <c r="D714" t="s">
        <v>12078</v>
      </c>
      <c r="E714" s="2">
        <v>13435</v>
      </c>
      <c r="F714">
        <f>HYPERLINK("https://www2.assemblee-nationale.fr/sycomore/fiche/(num_dept)/1275", "1275.0")</f>
        <v>0</v>
      </c>
      <c r="H714">
        <f>HYPERLINK("https://www.wikidata.org/wiki/Q15973958", "Q15973958")</f>
        <v>0</v>
      </c>
    </row>
    <row r="715" spans="1:8">
      <c r="A715" t="s">
        <v>721</v>
      </c>
      <c r="B715" t="s">
        <v>5628</v>
      </c>
      <c r="C715" t="s">
        <v>9471</v>
      </c>
      <c r="D715" t="s">
        <v>12079</v>
      </c>
      <c r="E715" s="2">
        <v>3859</v>
      </c>
      <c r="F715">
        <f>HYPERLINK("https://www2.assemblee-nationale.fr/sycomore/fiche/(num_dept)/1278", "1278.0")</f>
        <v>0</v>
      </c>
      <c r="H715">
        <f>HYPERLINK("https://www.wikidata.org/wiki/Q13640063", "Q13640063")</f>
        <v>0</v>
      </c>
    </row>
    <row r="716" spans="1:8">
      <c r="A716" t="s">
        <v>722</v>
      </c>
      <c r="B716" t="s">
        <v>5629</v>
      </c>
      <c r="C716" t="s">
        <v>6864</v>
      </c>
      <c r="D716" t="s">
        <v>12080</v>
      </c>
      <c r="E716" s="2">
        <v>2555</v>
      </c>
      <c r="F716">
        <f>HYPERLINK("https://www2.assemblee-nationale.fr/sycomore/fiche/(num_dept)/1280", "1280.0")</f>
        <v>0</v>
      </c>
      <c r="H716">
        <f>HYPERLINK("https://www.wikidata.org/wiki/Q3084116", "Q3084116")</f>
        <v>0</v>
      </c>
    </row>
    <row r="717" spans="1:8">
      <c r="A717" t="s">
        <v>723</v>
      </c>
      <c r="B717" t="s">
        <v>5630</v>
      </c>
      <c r="C717" t="s">
        <v>9771</v>
      </c>
      <c r="D717" t="s">
        <v>12081</v>
      </c>
      <c r="E717" t="s">
        <v>15904</v>
      </c>
      <c r="F717">
        <f>HYPERLINK("https://www2.assemblee-nationale.fr/sycomore/fiche/(num_dept)/8180", "8180.0")</f>
        <v>0</v>
      </c>
      <c r="H717">
        <f>HYPERLINK("https://www.wikidata.org/wiki/Q3561151", "Q3561151")</f>
        <v>0</v>
      </c>
    </row>
    <row r="718" spans="1:8">
      <c r="A718" t="s">
        <v>724</v>
      </c>
      <c r="B718" t="s">
        <v>5631</v>
      </c>
      <c r="C718" t="s">
        <v>9772</v>
      </c>
      <c r="D718" t="s">
        <v>12082</v>
      </c>
      <c r="E718" t="s">
        <v>15905</v>
      </c>
      <c r="F718">
        <f>HYPERLINK("https://www2.assemblee-nationale.fr/sycomore/fiche/(num_dept)/7909", "7909.0")</f>
        <v>0</v>
      </c>
      <c r="H718">
        <f>HYPERLINK("https://www.wikidata.org/wiki/Q16026367", "Q16026367")</f>
        <v>0</v>
      </c>
    </row>
    <row r="719" spans="1:8">
      <c r="A719" t="s">
        <v>725</v>
      </c>
      <c r="B719" t="s">
        <v>5632</v>
      </c>
      <c r="C719" t="s">
        <v>9324</v>
      </c>
      <c r="D719" t="s">
        <v>12083</v>
      </c>
      <c r="E719" s="2">
        <v>15664</v>
      </c>
      <c r="G719">
        <f>HYPERLINK("https://www.senat.fr/senateur-3eme-republique/brunel_henri0373r3.html", "brunel_henri0373r3")</f>
        <v>0</v>
      </c>
      <c r="H719">
        <f>HYPERLINK("https://www.wikidata.org/wiki/Q3130752", "Q3130752")</f>
        <v>0</v>
      </c>
    </row>
    <row r="720" spans="1:8">
      <c r="A720" t="s">
        <v>726</v>
      </c>
      <c r="B720" t="s">
        <v>5633</v>
      </c>
      <c r="C720" t="s">
        <v>9373</v>
      </c>
      <c r="D720" t="s">
        <v>12084</v>
      </c>
      <c r="E720" t="s">
        <v>15906</v>
      </c>
      <c r="G720">
        <f>HYPERLINK("https://www.senat.fr/senateur-3eme-republique/brunet_joseph0460r3.html", "brunet_joseph0460r3")</f>
        <v>0</v>
      </c>
      <c r="H720">
        <f>HYPERLINK("https://www.wikidata.org/wiki/Q3184674", "Q3184674")</f>
        <v>0</v>
      </c>
    </row>
    <row r="721" spans="1:8">
      <c r="A721" t="s">
        <v>727</v>
      </c>
      <c r="B721" t="s">
        <v>5633</v>
      </c>
      <c r="C721" t="s">
        <v>9773</v>
      </c>
      <c r="D721" t="s">
        <v>12085</v>
      </c>
      <c r="E721" s="2">
        <v>198</v>
      </c>
      <c r="G721">
        <f>HYPERLINK("https://www.senat.fr/senateur-3eme-republique/brunet_arthur0277r3.html", "brunet_arthur0277r3")</f>
        <v>0</v>
      </c>
      <c r="H721">
        <f>HYPERLINK("https://www.wikidata.org/wiki/Q2865016", "Q2865016")</f>
        <v>0</v>
      </c>
    </row>
    <row r="722" spans="1:8">
      <c r="A722" t="s">
        <v>728</v>
      </c>
      <c r="B722" t="s">
        <v>5634</v>
      </c>
      <c r="C722" t="s">
        <v>7754</v>
      </c>
      <c r="D722" t="s">
        <v>12086</v>
      </c>
      <c r="E722" s="2">
        <v>2187</v>
      </c>
      <c r="F722">
        <f>HYPERLINK("https://www2.assemblee-nationale.fr/sycomore/fiche/(num_dept)/1289", "1289.0")</f>
        <v>0</v>
      </c>
      <c r="G722">
        <f>HYPERLINK("https://www.senat.fr/senateur-3eme-republique/brunet_louis0849r3.html", "brunet_louis0849r3")</f>
        <v>0</v>
      </c>
      <c r="H722">
        <f>HYPERLINK("https://www.wikidata.org/wiki/Q3261371", "Q3261371")</f>
        <v>0</v>
      </c>
    </row>
    <row r="723" spans="1:8">
      <c r="A723" t="s">
        <v>729</v>
      </c>
      <c r="B723" t="s">
        <v>5634</v>
      </c>
      <c r="C723" t="s">
        <v>9774</v>
      </c>
      <c r="D723" t="s">
        <v>12087</v>
      </c>
      <c r="E723" s="2">
        <v>11802</v>
      </c>
      <c r="F723">
        <f>HYPERLINK("https://www2.assemblee-nationale.fr/sycomore/fiche/(num_dept)/1284", "1284.0")</f>
        <v>0</v>
      </c>
      <c r="H723">
        <f>HYPERLINK("https://www.wikidata.org/wiki/Q2853742", "Q2853742")</f>
        <v>0</v>
      </c>
    </row>
    <row r="724" spans="1:8">
      <c r="A724" t="s">
        <v>730</v>
      </c>
      <c r="B724" t="s">
        <v>5634</v>
      </c>
      <c r="C724" t="s">
        <v>7754</v>
      </c>
      <c r="D724" t="s">
        <v>12088</v>
      </c>
      <c r="E724" s="2">
        <v>10146</v>
      </c>
      <c r="F724">
        <f>HYPERLINK("https://www2.assemblee-nationale.fr/sycomore/fiche/(num_dept)/9620", "9620.0")</f>
        <v>0</v>
      </c>
      <c r="H724">
        <f>HYPERLINK("https://www.wikidata.org/wiki/Q3261372", "Q3261372")</f>
        <v>0</v>
      </c>
    </row>
    <row r="725" spans="1:8">
      <c r="A725" t="s">
        <v>731</v>
      </c>
      <c r="B725" t="s">
        <v>5634</v>
      </c>
      <c r="C725" t="s">
        <v>9775</v>
      </c>
      <c r="D725" t="s">
        <v>12089</v>
      </c>
      <c r="E725" s="2">
        <v>22849</v>
      </c>
      <c r="F725">
        <f>HYPERLINK("https://www2.assemblee-nationale.fr/sycomore/fiche/(num_dept)/1287", "1287.0")</f>
        <v>0</v>
      </c>
      <c r="H725">
        <f>HYPERLINK("https://www.wikidata.org/wiki/Q15974067", "Q15974067")</f>
        <v>0</v>
      </c>
    </row>
    <row r="726" spans="1:8">
      <c r="A726" t="s">
        <v>732</v>
      </c>
      <c r="B726" t="s">
        <v>5634</v>
      </c>
      <c r="C726" t="s">
        <v>9776</v>
      </c>
      <c r="D726" t="s">
        <v>12090</v>
      </c>
      <c r="E726" s="2">
        <v>21100</v>
      </c>
      <c r="F726">
        <f>HYPERLINK("https://www2.assemblee-nationale.fr/sycomore/fiche/(num_dept)/1283", "1283.0")</f>
        <v>0</v>
      </c>
      <c r="H726">
        <f>HYPERLINK("https://www.wikidata.org/wiki/Q2871093", "Q2871093")</f>
        <v>0</v>
      </c>
    </row>
    <row r="727" spans="1:8">
      <c r="A727" t="s">
        <v>733</v>
      </c>
      <c r="B727" t="s">
        <v>5634</v>
      </c>
      <c r="C727" t="s">
        <v>9777</v>
      </c>
      <c r="D727" t="s">
        <v>12091</v>
      </c>
      <c r="E727" s="2">
        <v>18697</v>
      </c>
      <c r="F727">
        <f>HYPERLINK("https://www2.assemblee-nationale.fr/sycomore/fiche/(num_dept)/1290", "1290.0")</f>
        <v>0</v>
      </c>
      <c r="H727">
        <f>HYPERLINK("https://www.wikidata.org/wiki/Q3425935", "Q3425935")</f>
        <v>0</v>
      </c>
    </row>
    <row r="728" spans="1:8">
      <c r="A728" t="s">
        <v>734</v>
      </c>
      <c r="B728" t="s">
        <v>5635</v>
      </c>
      <c r="C728" t="s">
        <v>9778</v>
      </c>
      <c r="D728" t="s">
        <v>12092</v>
      </c>
      <c r="E728" t="s">
        <v>15907</v>
      </c>
      <c r="F728">
        <f>HYPERLINK("https://www2.assemblee-nationale.fr/sycomore/fiche/(num_dept)/1293", "1293.0")</f>
        <v>0</v>
      </c>
      <c r="H728">
        <f>HYPERLINK("https://www.wikidata.org/wiki/Q3092391", "Q3092391")</f>
        <v>0</v>
      </c>
    </row>
    <row r="729" spans="1:8">
      <c r="A729" t="s">
        <v>735</v>
      </c>
      <c r="B729" t="s">
        <v>5636</v>
      </c>
      <c r="C729" t="s">
        <v>9779</v>
      </c>
      <c r="D729" t="s">
        <v>12093</v>
      </c>
      <c r="E729" t="s">
        <v>15908</v>
      </c>
      <c r="G729">
        <f>HYPERLINK("https://www.senat.fr/senateur-3eme-republique/brunon_barthelemy1346r3.html", "brunon_barthelemy1346r3")</f>
        <v>0</v>
      </c>
      <c r="H729">
        <f>HYPERLINK("https://www.wikidata.org/wiki/Q2886025", "Q2886025")</f>
        <v>0</v>
      </c>
    </row>
    <row r="730" spans="1:8">
      <c r="A730" t="s">
        <v>736</v>
      </c>
      <c r="B730" t="s">
        <v>5637</v>
      </c>
      <c r="C730" t="s">
        <v>9780</v>
      </c>
      <c r="D730" t="s">
        <v>12094</v>
      </c>
      <c r="E730" s="2">
        <v>17080</v>
      </c>
      <c r="H730">
        <f>HYPERLINK("https://www.wikidata.org/wiki/Q3009715", "Q3009715")</f>
        <v>0</v>
      </c>
    </row>
    <row r="731" spans="1:8">
      <c r="A731" t="s">
        <v>737</v>
      </c>
      <c r="B731" t="s">
        <v>5638</v>
      </c>
      <c r="C731" t="s">
        <v>9312</v>
      </c>
      <c r="D731" t="s">
        <v>12095</v>
      </c>
      <c r="E731" t="s">
        <v>15909</v>
      </c>
      <c r="G731">
        <f>HYPERLINK("https://www.senat.fr/senateur-3eme-republique/brusset_jean_baptiste1167r3.html", "brusset_jean_baptiste1167r3")</f>
        <v>0</v>
      </c>
      <c r="H731">
        <f>HYPERLINK("https://www.wikidata.org/wiki/Q3163918", "Q3163918")</f>
        <v>0</v>
      </c>
    </row>
    <row r="732" spans="1:8">
      <c r="A732" t="s">
        <v>738</v>
      </c>
      <c r="B732" t="s">
        <v>5639</v>
      </c>
      <c r="C732" t="s">
        <v>9781</v>
      </c>
      <c r="D732" t="s">
        <v>11783</v>
      </c>
      <c r="E732" s="2">
        <v>24297</v>
      </c>
      <c r="F732">
        <f>HYPERLINK("https://www2.assemblee-nationale.fr/sycomore/fiche/(num_dept)/1295", "1295.0")</f>
        <v>0</v>
      </c>
      <c r="H732">
        <f>HYPERLINK("https://www.wikidata.org/wiki/Q15974045", "Q15974045")</f>
        <v>0</v>
      </c>
    </row>
    <row r="733" spans="1:8">
      <c r="A733" t="s">
        <v>739</v>
      </c>
      <c r="B733" t="s">
        <v>5640</v>
      </c>
      <c r="C733" t="s">
        <v>9782</v>
      </c>
      <c r="D733" t="s">
        <v>11925</v>
      </c>
      <c r="E733" s="2">
        <v>16112</v>
      </c>
      <c r="F733">
        <f>HYPERLINK("https://www2.assemblee-nationale.fr/sycomore/fiche/(num_dept)/1187", "1187.0")</f>
        <v>0</v>
      </c>
      <c r="H733">
        <f>HYPERLINK("https://www.wikidata.org/wiki/Q3056865", "Q3056865")</f>
        <v>0</v>
      </c>
    </row>
    <row r="734" spans="1:8">
      <c r="A734" t="s">
        <v>740</v>
      </c>
      <c r="B734" t="s">
        <v>5641</v>
      </c>
      <c r="C734" t="s">
        <v>9783</v>
      </c>
      <c r="D734" t="s">
        <v>12096</v>
      </c>
      <c r="E734" s="2">
        <v>26413</v>
      </c>
      <c r="F734">
        <f>HYPERLINK("https://www2.assemblee-nationale.fr/sycomore/fiche/(num_dept)/1191", "1191.0")</f>
        <v>0</v>
      </c>
      <c r="H734">
        <f>HYPERLINK("https://www.wikidata.org/wiki/Q15972150", "Q15972150")</f>
        <v>0</v>
      </c>
    </row>
    <row r="735" spans="1:8">
      <c r="A735" t="s">
        <v>741</v>
      </c>
      <c r="B735" t="s">
        <v>5642</v>
      </c>
      <c r="C735" t="s">
        <v>7754</v>
      </c>
      <c r="D735" t="s">
        <v>12097</v>
      </c>
      <c r="G735">
        <f>HYPERLINK("https://www.senat.fr/senateur-3eme-republique/buffet_louis1440r3.html", "buffet_louis1440r3")</f>
        <v>0</v>
      </c>
      <c r="H735">
        <f>HYPERLINK("https://www.wikidata.org/wiki/Q548687", "Q548687")</f>
        <v>0</v>
      </c>
    </row>
    <row r="736" spans="1:8">
      <c r="A736" t="s">
        <v>742</v>
      </c>
      <c r="B736" t="s">
        <v>5643</v>
      </c>
      <c r="C736" t="s">
        <v>9368</v>
      </c>
      <c r="D736" t="s">
        <v>12098</v>
      </c>
      <c r="E736" s="2">
        <v>13400</v>
      </c>
      <c r="G736">
        <f>HYPERLINK("https://www.senat.fr/senateur-3eme-republique/buhan_eugene0218r3.html", "buhan_eugene0218r3")</f>
        <v>0</v>
      </c>
      <c r="H736">
        <f>HYPERLINK("https://www.wikidata.org/wiki/Q3059753", "Q3059753")</f>
        <v>0</v>
      </c>
    </row>
    <row r="737" spans="1:8">
      <c r="A737" t="s">
        <v>743</v>
      </c>
      <c r="B737" t="s">
        <v>5644</v>
      </c>
      <c r="C737" t="s">
        <v>9784</v>
      </c>
      <c r="D737" t="s">
        <v>11667</v>
      </c>
      <c r="E737" s="2">
        <v>17907</v>
      </c>
      <c r="F737">
        <f>HYPERLINK("https://www2.assemblee-nationale.fr/sycomore/fiche/(num_dept)/1304", "1304.0")</f>
        <v>0</v>
      </c>
      <c r="H737">
        <f>HYPERLINK("https://www.wikidata.org/wiki/Q3511108", "Q3511108")</f>
        <v>0</v>
      </c>
    </row>
    <row r="738" spans="1:8">
      <c r="A738" t="s">
        <v>744</v>
      </c>
      <c r="B738" t="s">
        <v>5645</v>
      </c>
      <c r="C738" t="s">
        <v>9785</v>
      </c>
      <c r="D738" t="s">
        <v>11618</v>
      </c>
      <c r="E738" s="2">
        <v>11735</v>
      </c>
      <c r="F738">
        <f>HYPERLINK("https://www2.assemblee-nationale.fr/sycomore/fiche/(num_dept)/1306", "1306.0")</f>
        <v>0</v>
      </c>
      <c r="H738">
        <f>HYPERLINK("https://www.wikidata.org/wiki/Q273607", "Q273607")</f>
        <v>0</v>
      </c>
    </row>
    <row r="739" spans="1:8">
      <c r="A739" t="s">
        <v>745</v>
      </c>
      <c r="B739" t="s">
        <v>5646</v>
      </c>
      <c r="C739" t="s">
        <v>5058</v>
      </c>
      <c r="D739" t="s">
        <v>12099</v>
      </c>
      <c r="E739" s="2">
        <v>22422</v>
      </c>
      <c r="G739">
        <f>HYPERLINK("https://www.senat.fr/senateur-3eme-republique/buisson_albert1002r3.html", "buisson_albert1002r3")</f>
        <v>0</v>
      </c>
      <c r="H739">
        <f>HYPERLINK("https://www.wikidata.org/wiki/Q517508", "Q517508")</f>
        <v>0</v>
      </c>
    </row>
    <row r="740" spans="1:8">
      <c r="A740" t="s">
        <v>746</v>
      </c>
      <c r="B740" t="s">
        <v>5647</v>
      </c>
      <c r="C740" t="s">
        <v>9786</v>
      </c>
      <c r="D740" t="s">
        <v>12100</v>
      </c>
      <c r="E740" t="s">
        <v>15910</v>
      </c>
      <c r="F740">
        <f>HYPERLINK("https://www2.assemblee-nationale.fr/sycomore/fiche/(num_dept)/1308", "1308.0")</f>
        <v>0</v>
      </c>
      <c r="H740">
        <f>HYPERLINK("https://www.wikidata.org/wiki/Q8315771", "Q8315771")</f>
        <v>0</v>
      </c>
    </row>
    <row r="741" spans="1:8">
      <c r="A741" t="s">
        <v>747</v>
      </c>
      <c r="B741" t="s">
        <v>5648</v>
      </c>
      <c r="C741" t="s">
        <v>9320</v>
      </c>
      <c r="D741" t="s">
        <v>12101</v>
      </c>
      <c r="E741" s="2">
        <v>22644</v>
      </c>
      <c r="G741">
        <f>HYPERLINK("https://www.senat.fr/senateur-3eme-republique/buquin_rene1242r3.html", "buquin_rene1242r3")</f>
        <v>0</v>
      </c>
      <c r="H741">
        <f>HYPERLINK("https://www.wikidata.org/wiki/Q3425936", "Q3425936")</f>
        <v>0</v>
      </c>
    </row>
    <row r="742" spans="1:8">
      <c r="A742" t="s">
        <v>748</v>
      </c>
      <c r="B742" t="s">
        <v>5649</v>
      </c>
      <c r="C742" t="s">
        <v>9787</v>
      </c>
      <c r="D742" t="s">
        <v>12102</v>
      </c>
      <c r="E742" t="s">
        <v>15911</v>
      </c>
      <c r="F742">
        <f>HYPERLINK("https://www2.assemblee-nationale.fr/sycomore/fiche/(num_dept)/1312", "1312.0")</f>
        <v>0</v>
      </c>
      <c r="H742">
        <f>HYPERLINK("https://www.wikidata.org/wiki/Q2341410", "Q2341410")</f>
        <v>0</v>
      </c>
    </row>
    <row r="743" spans="1:8">
      <c r="A743" t="s">
        <v>749</v>
      </c>
      <c r="B743" t="s">
        <v>5650</v>
      </c>
      <c r="C743" t="s">
        <v>9788</v>
      </c>
      <c r="D743" t="s">
        <v>12103</v>
      </c>
      <c r="E743" s="2">
        <v>14962</v>
      </c>
      <c r="F743">
        <f>HYPERLINK("https://www2.assemblee-nationale.fr/sycomore/fiche/(num_dept)/1313", "1313.0")</f>
        <v>0</v>
      </c>
      <c r="H743">
        <f>HYPERLINK("https://www.wikidata.org/wiki/Q3102398", "Q3102398")</f>
        <v>0</v>
      </c>
    </row>
    <row r="744" spans="1:8">
      <c r="A744" t="s">
        <v>750</v>
      </c>
      <c r="B744" t="s">
        <v>5650</v>
      </c>
      <c r="C744" t="s">
        <v>7001</v>
      </c>
      <c r="D744" t="s">
        <v>12104</v>
      </c>
      <c r="E744" s="2">
        <v>14962</v>
      </c>
      <c r="H744">
        <f>HYPERLINK("https://www.wikidata.org/wiki/Q3102398", "Q3102398")</f>
        <v>0</v>
      </c>
    </row>
    <row r="745" spans="1:8">
      <c r="A745" t="s">
        <v>751</v>
      </c>
      <c r="B745" t="s">
        <v>5651</v>
      </c>
      <c r="C745" t="s">
        <v>9789</v>
      </c>
      <c r="D745" t="s">
        <v>12105</v>
      </c>
      <c r="E745" s="2">
        <v>9984</v>
      </c>
      <c r="F745">
        <f>HYPERLINK("https://www2.assemblee-nationale.fr/sycomore/fiche/(num_dept)/1315", "1315.0")</f>
        <v>0</v>
      </c>
      <c r="H745">
        <f>HYPERLINK("https://www.wikidata.org/wiki/Q8298901", "Q8298901")</f>
        <v>0</v>
      </c>
    </row>
    <row r="746" spans="1:8">
      <c r="A746" t="s">
        <v>752</v>
      </c>
      <c r="B746" t="s">
        <v>5652</v>
      </c>
      <c r="C746" t="s">
        <v>9790</v>
      </c>
      <c r="D746" t="s">
        <v>12106</v>
      </c>
      <c r="E746" s="2">
        <v>13520</v>
      </c>
      <c r="F746">
        <f>HYPERLINK("https://www2.assemblee-nationale.fr/sycomore/fiche/(num_dept)/1317", "1317.0")</f>
        <v>0</v>
      </c>
      <c r="H746">
        <f>HYPERLINK("https://www.wikidata.org/wiki/Q8322628", "Q8322628")</f>
        <v>0</v>
      </c>
    </row>
    <row r="747" spans="1:8">
      <c r="A747" t="s">
        <v>753</v>
      </c>
      <c r="B747" t="s">
        <v>5653</v>
      </c>
      <c r="C747" t="s">
        <v>9791</v>
      </c>
      <c r="D747" t="s">
        <v>12107</v>
      </c>
      <c r="E747" s="2">
        <v>21889</v>
      </c>
      <c r="F747">
        <f>HYPERLINK("https://www2.assemblee-nationale.fr/sycomore/fiche/(num_dept)/1322", "1322.0")</f>
        <v>0</v>
      </c>
      <c r="H747">
        <f>HYPERLINK("https://www.wikidata.org/wiki/Q551771", "Q551771")</f>
        <v>0</v>
      </c>
    </row>
    <row r="748" spans="1:8">
      <c r="A748" t="s">
        <v>754</v>
      </c>
      <c r="B748" t="s">
        <v>5654</v>
      </c>
      <c r="C748" t="s">
        <v>9792</v>
      </c>
      <c r="D748" t="s">
        <v>12108</v>
      </c>
      <c r="E748" s="2">
        <v>27404</v>
      </c>
      <c r="F748">
        <f>HYPERLINK("https://www2.assemblee-nationale.fr/sycomore/fiche/(num_dept)/1323", "1323.0")</f>
        <v>0</v>
      </c>
      <c r="H748">
        <f>HYPERLINK("https://www.wikidata.org/wiki/Q3425940", "Q3425940")</f>
        <v>0</v>
      </c>
    </row>
    <row r="749" spans="1:8">
      <c r="A749" t="s">
        <v>755</v>
      </c>
      <c r="B749" t="s">
        <v>5655</v>
      </c>
      <c r="C749" t="s">
        <v>9793</v>
      </c>
      <c r="D749" t="s">
        <v>12109</v>
      </c>
      <c r="E749" t="s">
        <v>15912</v>
      </c>
      <c r="F749">
        <f>HYPERLINK("https://www2.assemblee-nationale.fr/sycomore/fiche/(num_dept)/8170", "8170.0")</f>
        <v>0</v>
      </c>
      <c r="H749">
        <f>HYPERLINK("https://www.wikidata.org/wiki/Q8338864", "Q8338864")</f>
        <v>0</v>
      </c>
    </row>
    <row r="750" spans="1:8">
      <c r="A750" t="s">
        <v>756</v>
      </c>
      <c r="B750" t="s">
        <v>5656</v>
      </c>
      <c r="C750" t="s">
        <v>9794</v>
      </c>
      <c r="D750" t="s">
        <v>12110</v>
      </c>
      <c r="E750" s="2">
        <v>14118</v>
      </c>
      <c r="F750">
        <f>HYPERLINK("https://www2.assemblee-nationale.fr/sycomore/fiche/(num_dept)/1325", "1325.0")</f>
        <v>0</v>
      </c>
      <c r="H750">
        <f>HYPERLINK("https://www.wikidata.org/wiki/Q15974084", "Q15974084")</f>
        <v>0</v>
      </c>
    </row>
    <row r="751" spans="1:8">
      <c r="A751" t="s">
        <v>757</v>
      </c>
      <c r="B751" t="s">
        <v>5657</v>
      </c>
      <c r="C751" t="s">
        <v>6686</v>
      </c>
      <c r="D751" t="s">
        <v>12111</v>
      </c>
      <c r="E751" s="2">
        <v>14893</v>
      </c>
      <c r="G751">
        <f>HYPERLINK("https://www.senat.fr/senateur-3eme-republique/bussiere_etienne0457r3.html", "bussiere_etienne0457r3")</f>
        <v>0</v>
      </c>
      <c r="H751">
        <f>HYPERLINK("https://www.wikidata.org/wiki/Q3592092", "Q3592092")</f>
        <v>0</v>
      </c>
    </row>
    <row r="752" spans="1:8">
      <c r="A752" t="s">
        <v>758</v>
      </c>
      <c r="B752" t="s">
        <v>5658</v>
      </c>
      <c r="C752" t="s">
        <v>9795</v>
      </c>
      <c r="D752" t="s">
        <v>12111</v>
      </c>
      <c r="E752" s="2">
        <v>14893</v>
      </c>
      <c r="F752">
        <f>HYPERLINK("https://www2.assemblee-nationale.fr/sycomore/fiche/(num_dept)/1327", "1327.0")</f>
        <v>0</v>
      </c>
      <c r="H752">
        <f>HYPERLINK("https://www.wikidata.org/wiki/Q3592092", "Q3592092")</f>
        <v>0</v>
      </c>
    </row>
    <row r="753" spans="1:8">
      <c r="A753" t="s">
        <v>759</v>
      </c>
      <c r="B753" t="s">
        <v>5659</v>
      </c>
      <c r="C753" t="s">
        <v>9324</v>
      </c>
      <c r="D753" t="s">
        <v>12112</v>
      </c>
      <c r="E753" s="2">
        <v>8532</v>
      </c>
      <c r="G753">
        <f>HYPERLINK("https://www.senat.fr/senateur-3eme-republique/busson_billault_henri1291r3.html", "busson_billault_henri1291r3")</f>
        <v>0</v>
      </c>
      <c r="H753">
        <f>HYPERLINK("https://www.wikidata.org/wiki/Q3130416", "Q3130416")</f>
        <v>0</v>
      </c>
    </row>
    <row r="754" spans="1:8">
      <c r="A754" t="s">
        <v>760</v>
      </c>
      <c r="B754" t="s">
        <v>5660</v>
      </c>
      <c r="C754" t="s">
        <v>9368</v>
      </c>
      <c r="D754" t="s">
        <v>12113</v>
      </c>
      <c r="E754" s="2">
        <v>13722</v>
      </c>
      <c r="G754">
        <f>HYPERLINK("https://www.senat.fr/senateur-3eme-republique/bussy_eugene1144r3.html", "bussy_eugene1144r3")</f>
        <v>0</v>
      </c>
      <c r="H754">
        <f>HYPERLINK("https://www.wikidata.org/wiki/Q3059755", "Q3059755")</f>
        <v>0</v>
      </c>
    </row>
    <row r="755" spans="1:8">
      <c r="A755" t="s">
        <v>761</v>
      </c>
      <c r="B755" t="s">
        <v>5661</v>
      </c>
      <c r="C755" t="s">
        <v>9796</v>
      </c>
      <c r="D755" t="s">
        <v>12114</v>
      </c>
      <c r="E755" s="2">
        <v>9732</v>
      </c>
      <c r="F755">
        <f>HYPERLINK("https://www2.assemblee-nationale.fr/sycomore/fiche/(num_dept)/1330", "1330.0")</f>
        <v>0</v>
      </c>
      <c r="H755">
        <f>HYPERLINK("https://www.wikidata.org/wiki/Q3348818", "Q3348818")</f>
        <v>0</v>
      </c>
    </row>
    <row r="756" spans="1:8">
      <c r="A756" t="s">
        <v>762</v>
      </c>
      <c r="B756" t="s">
        <v>5662</v>
      </c>
      <c r="C756" t="s">
        <v>9373</v>
      </c>
      <c r="D756" t="s">
        <v>12115</v>
      </c>
      <c r="E756" s="2">
        <v>11954</v>
      </c>
      <c r="G756">
        <f>HYPERLINK("https://www.senat.fr/senateur-3eme-republique/butterlin_joseph0683r3.html", "butterlin_joseph0683r3")</f>
        <v>0</v>
      </c>
      <c r="H756">
        <f>HYPERLINK("https://www.wikidata.org/wiki/Q3184682", "Q3184682")</f>
        <v>0</v>
      </c>
    </row>
    <row r="757" spans="1:8">
      <c r="A757" t="s">
        <v>763</v>
      </c>
      <c r="B757" t="s">
        <v>5663</v>
      </c>
      <c r="C757" t="s">
        <v>9797</v>
      </c>
      <c r="D757" t="s">
        <v>12116</v>
      </c>
      <c r="E757" s="2">
        <v>1089</v>
      </c>
      <c r="F757">
        <f>HYPERLINK("https://www2.assemblee-nationale.fr/sycomore/fiche/(num_dept)/1331", "1331.0")</f>
        <v>0</v>
      </c>
      <c r="G757">
        <f>HYPERLINK("https://www.senat.fr/senateur-3eme-republique/buvignier_jean1022r3.html", "buvignier_jean1022r3")</f>
        <v>0</v>
      </c>
      <c r="H757">
        <f>HYPERLINK("https://www.wikidata.org/wiki/Q3171041", "Q3171041")</f>
        <v>0</v>
      </c>
    </row>
    <row r="758" spans="1:8">
      <c r="A758" t="s">
        <v>764</v>
      </c>
      <c r="B758" t="s">
        <v>5664</v>
      </c>
      <c r="C758" t="s">
        <v>6686</v>
      </c>
      <c r="D758" t="s">
        <v>12117</v>
      </c>
      <c r="E758" t="s">
        <v>15913</v>
      </c>
      <c r="F758">
        <f>HYPERLINK("https://www2.assemblee-nationale.fr/sycomore/fiche/(num_dept)/1332", "1332.0")</f>
        <v>0</v>
      </c>
      <c r="H758">
        <f>HYPERLINK("https://www.wikidata.org/wiki/Q15974087", "Q15974087")</f>
        <v>0</v>
      </c>
    </row>
    <row r="759" spans="1:8">
      <c r="A759" t="s">
        <v>765</v>
      </c>
      <c r="B759" t="s">
        <v>5664</v>
      </c>
      <c r="C759" t="s">
        <v>9798</v>
      </c>
      <c r="D759" t="s">
        <v>12118</v>
      </c>
      <c r="E759" s="2">
        <v>23250</v>
      </c>
      <c r="F759">
        <f>HYPERLINK("https://www2.assemblee-nationale.fr/sycomore/fiche/(num_dept)/1333", "1333.0")</f>
        <v>0</v>
      </c>
      <c r="H759">
        <f>HYPERLINK("https://www.wikidata.org/wiki/Q3261382", "Q3261382")</f>
        <v>0</v>
      </c>
    </row>
    <row r="760" spans="1:8">
      <c r="A760" t="s">
        <v>766</v>
      </c>
      <c r="B760" t="s">
        <v>5665</v>
      </c>
      <c r="C760" t="s">
        <v>9324</v>
      </c>
      <c r="D760" t="s">
        <v>12119</v>
      </c>
      <c r="E760" s="2">
        <v>5853</v>
      </c>
      <c r="F760">
        <f>HYPERLINK("https://www2.assemblee-nationale.fr/sycomore/fiche/(num_dept)/576", "576.0")</f>
        <v>0</v>
      </c>
      <c r="H760">
        <f>HYPERLINK("https://www.wikidata.org/wiki/Q15973573", "Q15973573")</f>
        <v>0</v>
      </c>
    </row>
    <row r="761" spans="1:8">
      <c r="A761" t="s">
        <v>767</v>
      </c>
      <c r="B761" t="s">
        <v>5666</v>
      </c>
      <c r="C761" t="s">
        <v>9799</v>
      </c>
      <c r="D761" t="s">
        <v>12120</v>
      </c>
      <c r="E761" s="2">
        <v>9748</v>
      </c>
      <c r="F761">
        <f>HYPERLINK("https://www2.assemblee-nationale.fr/sycomore/fiche/(num_dept)/583", "583.0")</f>
        <v>0</v>
      </c>
      <c r="H761">
        <f>HYPERLINK("https://www.wikidata.org/wiki/Q15973586", "Q15973586")</f>
        <v>0</v>
      </c>
    </row>
    <row r="762" spans="1:8">
      <c r="A762" t="s">
        <v>768</v>
      </c>
      <c r="B762" t="s">
        <v>5667</v>
      </c>
      <c r="C762" t="s">
        <v>9800</v>
      </c>
      <c r="D762" t="s">
        <v>11524</v>
      </c>
      <c r="E762" t="s">
        <v>15914</v>
      </c>
      <c r="F762">
        <f>HYPERLINK("https://www2.assemblee-nationale.fr/sycomore/fiche/(num_dept)/584", "584.0")</f>
        <v>0</v>
      </c>
      <c r="H762">
        <f>HYPERLINK("https://www.wikidata.org/wiki/Q3260311", "Q3260311")</f>
        <v>0</v>
      </c>
    </row>
    <row r="763" spans="1:8">
      <c r="A763" t="s">
        <v>769</v>
      </c>
      <c r="B763" t="s">
        <v>5668</v>
      </c>
      <c r="C763" t="s">
        <v>9801</v>
      </c>
      <c r="D763" t="s">
        <v>12121</v>
      </c>
      <c r="E763" s="2">
        <v>21331</v>
      </c>
      <c r="F763">
        <f>HYPERLINK("https://www2.assemblee-nationale.fr/sycomore/fiche/(num_dept)/606", "606.0")</f>
        <v>0</v>
      </c>
      <c r="H763">
        <f>HYPERLINK("https://www.wikidata.org/wiki/Q2934853", "Q2934853")</f>
        <v>0</v>
      </c>
    </row>
    <row r="764" spans="1:8">
      <c r="A764" t="s">
        <v>770</v>
      </c>
      <c r="B764" t="s">
        <v>5669</v>
      </c>
      <c r="C764" t="s">
        <v>9802</v>
      </c>
      <c r="D764" t="s">
        <v>11697</v>
      </c>
      <c r="E764" s="2">
        <v>7662</v>
      </c>
      <c r="F764">
        <f>HYPERLINK("https://www2.assemblee-nationale.fr/sycomore/fiche/(num_dept)/609", "609.0")</f>
        <v>0</v>
      </c>
      <c r="H764">
        <f>HYPERLINK("https://www.wikidata.org/wiki/Q3370245", "Q3370245")</f>
        <v>0</v>
      </c>
    </row>
    <row r="765" spans="1:8">
      <c r="A765" t="s">
        <v>771</v>
      </c>
      <c r="B765" t="s">
        <v>5669</v>
      </c>
      <c r="C765" t="s">
        <v>9430</v>
      </c>
      <c r="D765" t="s">
        <v>11698</v>
      </c>
      <c r="E765" s="2">
        <v>17799</v>
      </c>
      <c r="F765">
        <f>HYPERLINK("https://www2.assemblee-nationale.fr/sycomore/fiche/(num_dept)/608", "608.0")</f>
        <v>0</v>
      </c>
      <c r="H765">
        <f>HYPERLINK("https://www.wikidata.org/wiki/Q3370779", "Q3370779")</f>
        <v>0</v>
      </c>
    </row>
    <row r="766" spans="1:8">
      <c r="A766" t="s">
        <v>772</v>
      </c>
      <c r="B766" t="s">
        <v>5670</v>
      </c>
      <c r="C766" t="s">
        <v>9312</v>
      </c>
      <c r="D766" t="s">
        <v>12122</v>
      </c>
      <c r="E766" s="2">
        <v>3339</v>
      </c>
      <c r="F766">
        <f>HYPERLINK("https://www2.assemblee-nationale.fr/sycomore/fiche/(num_dept)/621", "621.0")</f>
        <v>0</v>
      </c>
      <c r="H766">
        <f>HYPERLINK("https://www.wikidata.org/wiki/Q15973618", "Q15973618")</f>
        <v>0</v>
      </c>
    </row>
    <row r="767" spans="1:8">
      <c r="A767" t="s">
        <v>773</v>
      </c>
      <c r="B767" t="s">
        <v>5671</v>
      </c>
      <c r="C767" t="s">
        <v>9430</v>
      </c>
      <c r="D767" t="s">
        <v>12123</v>
      </c>
      <c r="E767" t="s">
        <v>15915</v>
      </c>
      <c r="F767">
        <f>HYPERLINK("https://www2.assemblee-nationale.fr/sycomore/fiche/(num_dept)/645", "645.0")</f>
        <v>0</v>
      </c>
      <c r="H767">
        <f>HYPERLINK("https://www.wikidata.org/wiki/Q8338037", "Q8338037")</f>
        <v>0</v>
      </c>
    </row>
    <row r="768" spans="1:8">
      <c r="A768" t="s">
        <v>774</v>
      </c>
      <c r="B768" t="s">
        <v>5672</v>
      </c>
      <c r="C768" t="s">
        <v>9332</v>
      </c>
      <c r="D768" t="s">
        <v>12124</v>
      </c>
      <c r="E768" s="2">
        <v>5153</v>
      </c>
      <c r="F768">
        <f>HYPERLINK("https://www2.assemblee-nationale.fr/sycomore/fiche/(num_dept)/648", "648.0")</f>
        <v>0</v>
      </c>
      <c r="H768">
        <f>HYPERLINK("https://www.wikidata.org/wiki/Q3056868", "Q3056868")</f>
        <v>0</v>
      </c>
    </row>
    <row r="769" spans="1:8">
      <c r="A769" t="s">
        <v>775</v>
      </c>
      <c r="B769" t="s">
        <v>5672</v>
      </c>
      <c r="C769" t="s">
        <v>9803</v>
      </c>
      <c r="D769" t="s">
        <v>11709</v>
      </c>
      <c r="E769" s="2">
        <v>8511</v>
      </c>
      <c r="F769">
        <f>HYPERLINK("https://www2.assemblee-nationale.fr/sycomore/fiche/(num_dept)/647", "647.0")</f>
        <v>0</v>
      </c>
      <c r="H769">
        <f>HYPERLINK("https://www.wikidata.org/wiki/Q2833511", "Q2833511")</f>
        <v>0</v>
      </c>
    </row>
    <row r="770" spans="1:8">
      <c r="A770" t="s">
        <v>776</v>
      </c>
      <c r="B770" t="s">
        <v>5672</v>
      </c>
      <c r="C770" t="s">
        <v>9804</v>
      </c>
      <c r="D770" t="s">
        <v>11711</v>
      </c>
      <c r="E770" s="2">
        <v>21971</v>
      </c>
      <c r="F770">
        <f>HYPERLINK("https://www2.assemblee-nationale.fr/sycomore/fiche/(num_dept)/650", "650.0")</f>
        <v>0</v>
      </c>
      <c r="H770">
        <f>HYPERLINK("https://www.wikidata.org/wiki/Q716823", "Q716823")</f>
        <v>0</v>
      </c>
    </row>
    <row r="771" spans="1:8">
      <c r="A771" t="s">
        <v>777</v>
      </c>
      <c r="B771" t="s">
        <v>5673</v>
      </c>
      <c r="C771" t="s">
        <v>9805</v>
      </c>
      <c r="D771" t="s">
        <v>11712</v>
      </c>
      <c r="E771" s="2">
        <v>1860</v>
      </c>
      <c r="F771">
        <f>HYPERLINK("https://www2.assemblee-nationale.fr/sycomore/fiche/(num_dept)/651", "651.0")</f>
        <v>0</v>
      </c>
      <c r="H771">
        <f>HYPERLINK("https://www.wikidata.org/wiki/Q2871095", "Q2871095")</f>
        <v>0</v>
      </c>
    </row>
    <row r="772" spans="1:8">
      <c r="A772" t="s">
        <v>778</v>
      </c>
      <c r="B772" t="s">
        <v>5674</v>
      </c>
      <c r="C772" t="s">
        <v>7233</v>
      </c>
      <c r="D772" t="s">
        <v>11716</v>
      </c>
      <c r="E772" s="2">
        <v>19131</v>
      </c>
      <c r="H772">
        <f>HYPERLINK("https://www.wikidata.org/wiki/Q377169", "Q377169")</f>
        <v>0</v>
      </c>
    </row>
    <row r="773" spans="1:8">
      <c r="A773" t="s">
        <v>779</v>
      </c>
      <c r="B773" t="s">
        <v>5674</v>
      </c>
      <c r="C773" t="s">
        <v>9806</v>
      </c>
      <c r="D773" t="s">
        <v>12125</v>
      </c>
      <c r="E773" s="2">
        <v>24046</v>
      </c>
      <c r="F773">
        <f>HYPERLINK("https://www2.assemblee-nationale.fr/sycomore/fiche/(num_dept)/657", "657.0")</f>
        <v>0</v>
      </c>
      <c r="H773">
        <f>HYPERLINK("https://www.wikidata.org/wiki/Q8308813", "Q8308813")</f>
        <v>0</v>
      </c>
    </row>
    <row r="774" spans="1:8">
      <c r="A774" t="s">
        <v>780</v>
      </c>
      <c r="B774" t="s">
        <v>5675</v>
      </c>
      <c r="C774" t="s">
        <v>9524</v>
      </c>
      <c r="D774" t="s">
        <v>12126</v>
      </c>
      <c r="E774" s="2">
        <v>24166</v>
      </c>
      <c r="F774">
        <f>HYPERLINK("https://www2.assemblee-nationale.fr/sycomore/fiche/(num_dept)/711", "711.0")</f>
        <v>0</v>
      </c>
      <c r="H774">
        <f>HYPERLINK("https://www.wikidata.org/wiki/Q3588388", "Q3588388")</f>
        <v>0</v>
      </c>
    </row>
    <row r="775" spans="1:8">
      <c r="A775" t="s">
        <v>781</v>
      </c>
      <c r="B775" t="s">
        <v>5676</v>
      </c>
      <c r="C775" t="s">
        <v>9807</v>
      </c>
      <c r="D775" t="s">
        <v>11790</v>
      </c>
      <c r="E775" s="2">
        <v>7188</v>
      </c>
      <c r="F775">
        <f>HYPERLINK("https://www2.assemblee-nationale.fr/sycomore/fiche/(num_dept)/777", "777.0")</f>
        <v>0</v>
      </c>
      <c r="H775">
        <f>HYPERLINK("https://www.wikidata.org/wiki/Q3370642", "Q3370642")</f>
        <v>0</v>
      </c>
    </row>
    <row r="776" spans="1:8">
      <c r="A776" t="s">
        <v>782</v>
      </c>
      <c r="B776" t="s">
        <v>5677</v>
      </c>
      <c r="C776" t="s">
        <v>9808</v>
      </c>
      <c r="D776" t="s">
        <v>12127</v>
      </c>
      <c r="E776" s="2">
        <v>17676</v>
      </c>
      <c r="F776">
        <f>HYPERLINK("https://www2.assemblee-nationale.fr/sycomore/fiche/(num_dept)/778", "778.0")</f>
        <v>0</v>
      </c>
      <c r="H776">
        <f>HYPERLINK("https://www.wikidata.org/wiki/Q3434705", "Q3434705")</f>
        <v>0</v>
      </c>
    </row>
    <row r="777" spans="1:8">
      <c r="A777" t="s">
        <v>783</v>
      </c>
      <c r="B777" t="s">
        <v>5678</v>
      </c>
      <c r="C777" t="s">
        <v>9373</v>
      </c>
      <c r="D777" t="s">
        <v>12128</v>
      </c>
      <c r="E777" t="s">
        <v>15916</v>
      </c>
      <c r="G777">
        <f>HYPERLINK("https://www.senat.fr/senateur-3eme-republique/cabanes_joseph0359r3.html", "cabanes_joseph0359r3")</f>
        <v>0</v>
      </c>
      <c r="H777">
        <f>HYPERLINK("https://www.wikidata.org/wiki/Q3184689", "Q3184689")</f>
        <v>0</v>
      </c>
    </row>
    <row r="778" spans="1:8">
      <c r="A778" t="s">
        <v>784</v>
      </c>
      <c r="B778" t="s">
        <v>5678</v>
      </c>
      <c r="C778" t="s">
        <v>7782</v>
      </c>
      <c r="D778" t="s">
        <v>12129</v>
      </c>
      <c r="E778" t="s">
        <v>15917</v>
      </c>
      <c r="G778">
        <f>HYPERLINK("https://www.senat.fr/senateur-3eme-republique/cabanes_leon0366r3.html", "cabanes_leon0366r3")</f>
        <v>0</v>
      </c>
      <c r="H778">
        <f>HYPERLINK("https://www.wikidata.org/wiki/Q3270786", "Q3270786")</f>
        <v>0</v>
      </c>
    </row>
    <row r="779" spans="1:8">
      <c r="A779" t="s">
        <v>785</v>
      </c>
      <c r="B779" t="s">
        <v>5679</v>
      </c>
      <c r="C779" t="s">
        <v>9809</v>
      </c>
      <c r="D779" t="s">
        <v>12130</v>
      </c>
      <c r="E779" s="2">
        <v>16128</v>
      </c>
      <c r="F779">
        <f>HYPERLINK("https://www2.assemblee-nationale.fr/sycomore/fiche/(num_dept)/1336", "1336.0")</f>
        <v>0</v>
      </c>
      <c r="H779">
        <f>HYPERLINK("https://www.wikidata.org/wiki/Q3370781", "Q3370781")</f>
        <v>0</v>
      </c>
    </row>
    <row r="780" spans="1:8">
      <c r="A780" t="s">
        <v>786</v>
      </c>
      <c r="B780" t="s">
        <v>5680</v>
      </c>
      <c r="C780" t="s">
        <v>9810</v>
      </c>
      <c r="D780" t="s">
        <v>12131</v>
      </c>
      <c r="E780" s="2">
        <v>18576</v>
      </c>
      <c r="F780">
        <f>HYPERLINK("https://www2.assemblee-nationale.fr/sycomore/fiche/(num_dept)/1337", "1337.0")</f>
        <v>0</v>
      </c>
      <c r="H780">
        <f>HYPERLINK("https://www.wikidata.org/wiki/Q3098936", "Q3098936")</f>
        <v>0</v>
      </c>
    </row>
    <row r="781" spans="1:8">
      <c r="A781" t="s">
        <v>787</v>
      </c>
      <c r="B781" t="s">
        <v>5681</v>
      </c>
      <c r="C781" t="s">
        <v>9811</v>
      </c>
      <c r="D781" t="s">
        <v>12132</v>
      </c>
      <c r="E781" s="2">
        <v>6780</v>
      </c>
      <c r="F781">
        <f>HYPERLINK("https://www2.assemblee-nationale.fr/sycomore/fiche/(num_dept)/1338", "1338.0")</f>
        <v>0</v>
      </c>
      <c r="G781">
        <f>HYPERLINK("https://www.senat.fr/senateur-3eme-republique/cabart_danneville_charles_maurice1036r3.html", "cabart_danneville_charles_maurice1036r3")</f>
        <v>0</v>
      </c>
      <c r="H781">
        <f>HYPERLINK("https://www.wikidata.org/wiki/Q2959776", "Q2959776")</f>
        <v>0</v>
      </c>
    </row>
    <row r="782" spans="1:8">
      <c r="A782" t="s">
        <v>788</v>
      </c>
      <c r="B782" t="s">
        <v>5682</v>
      </c>
      <c r="C782" t="s">
        <v>7942</v>
      </c>
      <c r="D782" t="s">
        <v>12133</v>
      </c>
      <c r="E782" s="2">
        <v>15463</v>
      </c>
      <c r="G782">
        <f>HYPERLINK("https://www.senat.fr/senateur-3eme-republique/cabart_danneville_maurice1042r3.html", "cabart_danneville_maurice1042r3")</f>
        <v>0</v>
      </c>
      <c r="H782">
        <f>HYPERLINK("https://www.wikidata.org/wiki/Q3300512", "Q3300512")</f>
        <v>0</v>
      </c>
    </row>
    <row r="783" spans="1:8">
      <c r="A783" t="s">
        <v>789</v>
      </c>
      <c r="B783" t="s">
        <v>5683</v>
      </c>
      <c r="C783" t="s">
        <v>9812</v>
      </c>
      <c r="D783" t="s">
        <v>12134</v>
      </c>
      <c r="E783" s="2">
        <v>9034</v>
      </c>
      <c r="F783">
        <f>HYPERLINK("https://www2.assemblee-nationale.fr/sycomore/fiche/(num_dept)/1341", "1341.0")</f>
        <v>0</v>
      </c>
      <c r="H783">
        <f>HYPERLINK("https://www.wikidata.org/wiki/Q16025423", "Q16025423")</f>
        <v>0</v>
      </c>
    </row>
    <row r="784" spans="1:8">
      <c r="A784" t="s">
        <v>790</v>
      </c>
      <c r="B784" t="s">
        <v>5684</v>
      </c>
      <c r="C784" t="s">
        <v>9813</v>
      </c>
      <c r="D784" t="s">
        <v>12135</v>
      </c>
      <c r="E784" s="2">
        <v>5406</v>
      </c>
      <c r="F784">
        <f>HYPERLINK("https://www2.assemblee-nationale.fr/sycomore/fiche/(num_dept)/1343", "1343.0")</f>
        <v>0</v>
      </c>
      <c r="G784">
        <f>HYPERLINK("https://www.senat.fr/senateur-3eme-republique/cachet_louis0907r3.html", "cachet_louis0907r3")</f>
        <v>0</v>
      </c>
      <c r="H784">
        <f>HYPERLINK("https://www.wikidata.org/wiki/Q3261399", "Q3261399")</f>
        <v>0</v>
      </c>
    </row>
    <row r="785" spans="1:8">
      <c r="A785" t="s">
        <v>791</v>
      </c>
      <c r="B785" t="s">
        <v>5685</v>
      </c>
      <c r="C785" t="s">
        <v>9814</v>
      </c>
      <c r="D785" t="s">
        <v>12136</v>
      </c>
      <c r="E785" s="2">
        <v>21228</v>
      </c>
      <c r="F785">
        <f>HYPERLINK("https://www2.assemblee-nationale.fr/sycomore/fiche/(num_dept)/1346", "1346.0")</f>
        <v>0</v>
      </c>
      <c r="G785">
        <f>HYPERLINK("https://www.senat.fr/senateur-3eme-republique/cachin_marcel1405r3.html", "cachin_marcel1405r3")</f>
        <v>0</v>
      </c>
      <c r="H785">
        <f>HYPERLINK("https://www.wikidata.org/wiki/Q658479", "Q658479")</f>
        <v>0</v>
      </c>
    </row>
    <row r="786" spans="1:8">
      <c r="A786" t="s">
        <v>792</v>
      </c>
      <c r="B786" t="s">
        <v>5686</v>
      </c>
      <c r="C786" t="s">
        <v>5330</v>
      </c>
      <c r="D786" t="s">
        <v>12137</v>
      </c>
      <c r="E786" s="2">
        <v>11171</v>
      </c>
      <c r="F786">
        <f>HYPERLINK("https://www2.assemblee-nationale.fr/sycomore/fiche/(num_dept)/1347", "1347.0")</f>
        <v>0</v>
      </c>
      <c r="H786">
        <f>HYPERLINK("https://www.wikidata.org/wiki/Q822341", "Q822341")</f>
        <v>0</v>
      </c>
    </row>
    <row r="787" spans="1:8">
      <c r="A787" t="s">
        <v>793</v>
      </c>
      <c r="B787" t="s">
        <v>5687</v>
      </c>
      <c r="C787" t="s">
        <v>9815</v>
      </c>
      <c r="D787" t="s">
        <v>12138</v>
      </c>
      <c r="E787" t="s">
        <v>11782</v>
      </c>
      <c r="F787">
        <f>HYPERLINK("https://www2.assemblee-nationale.fr/sycomore/fiche/(num_dept)/8250", "8250.0")</f>
        <v>0</v>
      </c>
      <c r="H787">
        <f>HYPERLINK("https://www.wikidata.org/wiki/Q13080929", "Q13080929")</f>
        <v>0</v>
      </c>
    </row>
    <row r="788" spans="1:8">
      <c r="A788" t="s">
        <v>794</v>
      </c>
      <c r="B788" t="s">
        <v>5688</v>
      </c>
      <c r="C788" t="s">
        <v>9816</v>
      </c>
      <c r="D788" t="s">
        <v>12139</v>
      </c>
      <c r="E788" s="2">
        <v>26060</v>
      </c>
      <c r="F788">
        <f>HYPERLINK("https://www2.assemblee-nationale.fr/sycomore/fiche/(num_dept)/1350", "1350.0")</f>
        <v>0</v>
      </c>
      <c r="H788">
        <f>HYPERLINK("https://www.wikidata.org/wiki/Q3184693", "Q3184693")</f>
        <v>0</v>
      </c>
    </row>
    <row r="789" spans="1:8">
      <c r="A789" t="s">
        <v>795</v>
      </c>
      <c r="B789" t="s">
        <v>5689</v>
      </c>
      <c r="C789" t="s">
        <v>9355</v>
      </c>
      <c r="D789" t="s">
        <v>12140</v>
      </c>
      <c r="E789" s="2">
        <v>14967</v>
      </c>
      <c r="G789">
        <f>HYPERLINK("https://www.senat.fr/senateur-3eme-republique/cadilhon_charles0345r3.html", "cadilhon_charles0345r3")</f>
        <v>0</v>
      </c>
      <c r="H789">
        <f>HYPERLINK("https://www.wikidata.org/wiki/Q2958656", "Q2958656")</f>
        <v>0</v>
      </c>
    </row>
    <row r="790" spans="1:8">
      <c r="A790" t="s">
        <v>796</v>
      </c>
      <c r="B790" t="s">
        <v>5690</v>
      </c>
      <c r="C790" t="s">
        <v>9817</v>
      </c>
      <c r="D790" t="s">
        <v>12141</v>
      </c>
      <c r="E790" s="2">
        <v>17738</v>
      </c>
      <c r="F790">
        <f>HYPERLINK("https://www2.assemblee-nationale.fr/sycomore/fiche/(num_dept)/1352", "1352.0")</f>
        <v>0</v>
      </c>
      <c r="H790">
        <f>HYPERLINK("https://www.wikidata.org/wiki/Q3084157", "Q3084157")</f>
        <v>0</v>
      </c>
    </row>
    <row r="791" spans="1:8">
      <c r="A791" t="s">
        <v>797</v>
      </c>
      <c r="B791" t="s">
        <v>5691</v>
      </c>
      <c r="C791" t="s">
        <v>9818</v>
      </c>
      <c r="D791" t="s">
        <v>12142</v>
      </c>
      <c r="E791" s="2">
        <v>17514</v>
      </c>
      <c r="F791">
        <f>HYPERLINK("https://www2.assemblee-nationale.fr/sycomore/fiche/(num_dept)/1353", "1353.0")</f>
        <v>0</v>
      </c>
      <c r="G791">
        <f>HYPERLINK("https://www.senat.fr/senateur-3eme-republique/cadot_henri0980r3.html", "cadot_henri0980r3")</f>
        <v>0</v>
      </c>
      <c r="H791">
        <f>HYPERLINK("https://www.wikidata.org/wiki/Q3130771", "Q3130771")</f>
        <v>0</v>
      </c>
    </row>
    <row r="792" spans="1:8">
      <c r="A792" t="s">
        <v>798</v>
      </c>
      <c r="B792" t="s">
        <v>5692</v>
      </c>
      <c r="C792" t="s">
        <v>5117</v>
      </c>
      <c r="D792" t="s">
        <v>12143</v>
      </c>
      <c r="E792" s="2">
        <v>968</v>
      </c>
      <c r="F792">
        <f>HYPERLINK("https://www2.assemblee-nationale.fr/sycomore/fiche/(num_dept)/1354", "1354.0")</f>
        <v>0</v>
      </c>
      <c r="G792">
        <f>HYPERLINK("https://www.senat.fr/senateur-3eme-republique/caduc_armand0216r3.html", "caduc_armand0216r3")</f>
        <v>0</v>
      </c>
      <c r="H792">
        <f>HYPERLINK("https://www.wikidata.org/wiki/Q2861789", "Q2861789")</f>
        <v>0</v>
      </c>
    </row>
    <row r="793" spans="1:8">
      <c r="A793" t="s">
        <v>799</v>
      </c>
      <c r="B793" t="s">
        <v>5693</v>
      </c>
      <c r="C793" t="s">
        <v>9819</v>
      </c>
      <c r="D793" t="s">
        <v>12144</v>
      </c>
      <c r="E793" s="2">
        <v>4375</v>
      </c>
      <c r="F793">
        <f>HYPERLINK("https://www2.assemblee-nationale.fr/sycomore/fiche/(num_dept)/1355", "1355.0")</f>
        <v>0</v>
      </c>
      <c r="H793">
        <f>HYPERLINK("https://www.wikidata.org/wiki/Q15974110", "Q15974110")</f>
        <v>0</v>
      </c>
    </row>
    <row r="794" spans="1:8">
      <c r="A794" t="s">
        <v>800</v>
      </c>
      <c r="B794" t="s">
        <v>5694</v>
      </c>
      <c r="C794" t="s">
        <v>9820</v>
      </c>
      <c r="D794" t="s">
        <v>12145</v>
      </c>
      <c r="E794" s="2">
        <v>21206</v>
      </c>
      <c r="F794">
        <f>HYPERLINK("https://www2.assemblee-nationale.fr/sycomore/fiche/(num_dept)/1356", "1356.0")</f>
        <v>0</v>
      </c>
      <c r="H794">
        <f>HYPERLINK("https://www.wikidata.org/wiki/Q2959687", "Q2959687")</f>
        <v>0</v>
      </c>
    </row>
    <row r="795" spans="1:8">
      <c r="A795" t="s">
        <v>801</v>
      </c>
      <c r="B795" t="s">
        <v>5695</v>
      </c>
      <c r="C795" t="s">
        <v>9821</v>
      </c>
      <c r="D795" t="s">
        <v>12146</v>
      </c>
      <c r="E795" s="2">
        <v>17278</v>
      </c>
      <c r="F795">
        <f>HYPERLINK("https://www2.assemblee-nationale.fr/sycomore/fiche/(num_dept)/1360", "1360.0")</f>
        <v>0</v>
      </c>
      <c r="H795">
        <f>HYPERLINK("https://www.wikidata.org/wiki/Q8309751", "Q8309751")</f>
        <v>0</v>
      </c>
    </row>
    <row r="796" spans="1:8">
      <c r="A796" t="s">
        <v>802</v>
      </c>
      <c r="B796" t="s">
        <v>5696</v>
      </c>
      <c r="C796" t="s">
        <v>9368</v>
      </c>
      <c r="D796" t="s">
        <v>12147</v>
      </c>
      <c r="E796" t="s">
        <v>15918</v>
      </c>
      <c r="G796">
        <f>HYPERLINK("https://www.senat.fr/senateur-3eme-republique/caillaux_eugene1249r3.html", "caillaux_eugene1249r3")</f>
        <v>0</v>
      </c>
      <c r="H796">
        <f>HYPERLINK("https://www.wikidata.org/wiki/Q521963", "Q521963")</f>
        <v>0</v>
      </c>
    </row>
    <row r="797" spans="1:8">
      <c r="A797" t="s">
        <v>803</v>
      </c>
      <c r="B797" t="s">
        <v>5697</v>
      </c>
      <c r="C797" t="s">
        <v>9373</v>
      </c>
      <c r="D797" t="s">
        <v>12148</v>
      </c>
      <c r="E797" s="2">
        <v>16397</v>
      </c>
      <c r="F797">
        <f>HYPERLINK("https://www2.assemblee-nationale.fr/sycomore/fiche/(num_dept)/1366", "1366.0")</f>
        <v>0</v>
      </c>
      <c r="G797">
        <f>HYPERLINK("https://www.senat.fr/senateur-3eme-republique/caillaux_joseph1254r3.html", "caillaux_joseph1254r3")</f>
        <v>0</v>
      </c>
      <c r="H797">
        <f>HYPERLINK("https://www.wikidata.org/wiki/Q450463", "Q450463")</f>
        <v>0</v>
      </c>
    </row>
    <row r="798" spans="1:8">
      <c r="A798" t="s">
        <v>804</v>
      </c>
      <c r="B798" t="s">
        <v>5698</v>
      </c>
      <c r="C798" t="s">
        <v>9320</v>
      </c>
      <c r="D798" t="s">
        <v>12149</v>
      </c>
      <c r="E798" s="2">
        <v>17117</v>
      </c>
      <c r="G798">
        <f>HYPERLINK("https://www.senat.fr/senateur-3eme-republique/caillier_rene0196r3.html", "caillier_rene0196r3")</f>
        <v>0</v>
      </c>
      <c r="H798">
        <f>HYPERLINK("https://www.wikidata.org/wiki/Q3425952", "Q3425952")</f>
        <v>0</v>
      </c>
    </row>
    <row r="799" spans="1:8">
      <c r="A799" t="s">
        <v>805</v>
      </c>
      <c r="B799" t="s">
        <v>5699</v>
      </c>
      <c r="C799" t="s">
        <v>9822</v>
      </c>
      <c r="D799" t="s">
        <v>12150</v>
      </c>
      <c r="F799">
        <f>HYPERLINK("https://www2.assemblee-nationale.fr/sycomore/fiche/(num_dept)/8249", "8249.0")</f>
        <v>0</v>
      </c>
      <c r="H799">
        <f>HYPERLINK("https://www.wikidata.org/wiki/Q3261404", "Q3261404")</f>
        <v>0</v>
      </c>
    </row>
    <row r="800" spans="1:8">
      <c r="A800" t="s">
        <v>806</v>
      </c>
      <c r="B800" t="s">
        <v>5700</v>
      </c>
      <c r="C800" t="s">
        <v>7342</v>
      </c>
      <c r="D800" t="s">
        <v>12151</v>
      </c>
      <c r="G800">
        <f>HYPERLINK("https://www.senat.fr/senateur-3eme-republique/callen_jean0211r3.html", "callen_jean0211r3")</f>
        <v>0</v>
      </c>
      <c r="H800">
        <f>HYPERLINK("https://www.wikidata.org/wiki/Q3171093", "Q3171093")</f>
        <v>0</v>
      </c>
    </row>
    <row r="801" spans="1:8">
      <c r="A801" t="s">
        <v>807</v>
      </c>
      <c r="B801" t="s">
        <v>5701</v>
      </c>
      <c r="C801" t="s">
        <v>9823</v>
      </c>
      <c r="D801" t="s">
        <v>12152</v>
      </c>
      <c r="E801" s="2">
        <v>18467</v>
      </c>
      <c r="F801">
        <f>HYPERLINK("https://www2.assemblee-nationale.fr/sycomore/fiche/(num_dept)/1379", "1379.0")</f>
        <v>0</v>
      </c>
      <c r="H801">
        <f>HYPERLINK("https://www.wikidata.org/wiki/Q2834469", "Q2834469")</f>
        <v>0</v>
      </c>
    </row>
    <row r="802" spans="1:8">
      <c r="A802" t="s">
        <v>808</v>
      </c>
      <c r="B802" t="s">
        <v>5702</v>
      </c>
      <c r="C802" t="s">
        <v>5117</v>
      </c>
      <c r="D802" t="s">
        <v>12153</v>
      </c>
      <c r="E802" s="2">
        <v>21813</v>
      </c>
      <c r="G802">
        <f>HYPERLINK("https://www.senat.fr/senateur-3eme-republique/calmel_armand0209r3.html", "calmel_armand0209r3")</f>
        <v>0</v>
      </c>
      <c r="H802">
        <f>HYPERLINK("https://www.wikidata.org/wiki/Q2861790", "Q2861790")</f>
        <v>0</v>
      </c>
    </row>
    <row r="803" spans="1:8">
      <c r="A803" t="s">
        <v>809</v>
      </c>
      <c r="B803" t="s">
        <v>5703</v>
      </c>
      <c r="C803" t="s">
        <v>9824</v>
      </c>
      <c r="D803" t="s">
        <v>12154</v>
      </c>
      <c r="E803" t="s">
        <v>15919</v>
      </c>
      <c r="G803">
        <f>HYPERLINK("https://www.senat.fr/senateur-3eme-republique/calmon_marc_antoine1441r3.html", "calmon_marc_antoine1441r3")</f>
        <v>0</v>
      </c>
      <c r="H803">
        <f>HYPERLINK("https://www.wikidata.org/wiki/Q3287763", "Q3287763")</f>
        <v>0</v>
      </c>
    </row>
    <row r="804" spans="1:8">
      <c r="A804" t="s">
        <v>810</v>
      </c>
      <c r="B804" t="s">
        <v>5704</v>
      </c>
      <c r="C804" t="s">
        <v>9825</v>
      </c>
      <c r="D804" t="s">
        <v>12155</v>
      </c>
      <c r="E804" s="2">
        <v>17661</v>
      </c>
      <c r="F804">
        <f>HYPERLINK("https://www2.assemblee-nationale.fr/sycomore/fiche/(num_dept)/1385", "1385.0")</f>
        <v>0</v>
      </c>
      <c r="H804">
        <f>HYPERLINK("https://www.wikidata.org/wiki/Q15974126", "Q15974126")</f>
        <v>0</v>
      </c>
    </row>
    <row r="805" spans="1:8">
      <c r="A805" t="s">
        <v>811</v>
      </c>
      <c r="B805" t="s">
        <v>5705</v>
      </c>
      <c r="C805" t="s">
        <v>7001</v>
      </c>
      <c r="D805" t="s">
        <v>12156</v>
      </c>
      <c r="E805" s="2">
        <v>11881</v>
      </c>
      <c r="F805">
        <f>HYPERLINK("https://www2.assemblee-nationale.fr/sycomore/fiche/(num_dept)/1384", "1384.0")</f>
        <v>0</v>
      </c>
      <c r="H805">
        <f>HYPERLINK("https://www.wikidata.org/wiki/Q15974104", "Q15974104")</f>
        <v>0</v>
      </c>
    </row>
    <row r="806" spans="1:8">
      <c r="A806" t="s">
        <v>812</v>
      </c>
      <c r="B806" t="s">
        <v>5706</v>
      </c>
      <c r="C806" t="s">
        <v>9826</v>
      </c>
      <c r="D806" t="s">
        <v>12157</v>
      </c>
      <c r="G806">
        <f>HYPERLINK("https://www.senat.fr/senateur-3eme-republique/calouin_de_treville_bernard_louis1540r3.html", "calouin_de_treville_bernard_louis1540r3")</f>
        <v>0</v>
      </c>
      <c r="H806">
        <f>HYPERLINK("https://www.wikidata.org/wiki/Q3134042", "Q3134042")</f>
        <v>0</v>
      </c>
    </row>
    <row r="807" spans="1:8">
      <c r="A807" t="s">
        <v>813</v>
      </c>
      <c r="B807" t="s">
        <v>5707</v>
      </c>
      <c r="C807" t="s">
        <v>9827</v>
      </c>
      <c r="D807" t="s">
        <v>12158</v>
      </c>
      <c r="E807" s="2">
        <v>5722</v>
      </c>
      <c r="F807">
        <f>HYPERLINK("https://www2.assemblee-nationale.fr/sycomore/fiche/(num_dept)/1392", "1392.0")</f>
        <v>0</v>
      </c>
      <c r="H807">
        <f>HYPERLINK("https://www.wikidata.org/wiki/Q15974107", "Q15974107")</f>
        <v>0</v>
      </c>
    </row>
    <row r="808" spans="1:8">
      <c r="A808" t="s">
        <v>814</v>
      </c>
      <c r="B808" t="s">
        <v>5708</v>
      </c>
      <c r="C808" t="s">
        <v>9337</v>
      </c>
      <c r="D808" t="s">
        <v>12159</v>
      </c>
      <c r="E808" s="2">
        <v>7756</v>
      </c>
      <c r="G808">
        <f>HYPERLINK("https://www.senat.fr/senateur-3eme-republique/calvet_auguste0412r3.html", "calvet_auguste0412r3")</f>
        <v>0</v>
      </c>
      <c r="H808">
        <f>HYPERLINK("https://www.wikidata.org/wiki/Q2871100", "Q2871100")</f>
        <v>0</v>
      </c>
    </row>
    <row r="809" spans="1:8">
      <c r="A809" t="s">
        <v>815</v>
      </c>
      <c r="B809" t="s">
        <v>5709</v>
      </c>
      <c r="C809" t="s">
        <v>7342</v>
      </c>
      <c r="D809" t="s">
        <v>12160</v>
      </c>
      <c r="E809" s="2">
        <v>23874</v>
      </c>
      <c r="F809">
        <f>HYPERLINK("https://www2.assemblee-nationale.fr/sycomore/fiche/(num_dept)/1391", "1391.0")</f>
        <v>0</v>
      </c>
      <c r="H809">
        <f>HYPERLINK("https://www.wikidata.org/wiki/Q15974111", "Q15974111")</f>
        <v>0</v>
      </c>
    </row>
    <row r="810" spans="1:8">
      <c r="A810" t="s">
        <v>816</v>
      </c>
      <c r="B810" t="s">
        <v>5710</v>
      </c>
      <c r="C810" t="s">
        <v>9828</v>
      </c>
      <c r="D810" t="s">
        <v>12161</v>
      </c>
      <c r="E810" s="2">
        <v>918</v>
      </c>
      <c r="F810">
        <f>HYPERLINK("https://www2.assemblee-nationale.fr/sycomore/fiche/(num_dept)/1393", "1393.0")</f>
        <v>0</v>
      </c>
      <c r="H810">
        <f>HYPERLINK("https://www.wikidata.org/wiki/Q15974106", "Q15974106")</f>
        <v>0</v>
      </c>
    </row>
    <row r="811" spans="1:8">
      <c r="A811" t="s">
        <v>817</v>
      </c>
      <c r="B811" t="s">
        <v>5711</v>
      </c>
      <c r="C811" t="s">
        <v>9829</v>
      </c>
      <c r="D811" t="s">
        <v>12162</v>
      </c>
      <c r="E811" t="s">
        <v>15920</v>
      </c>
      <c r="F811">
        <f>HYPERLINK("https://www2.assemblee-nationale.fr/sycomore/fiche/(num_dept)/1376", "1376.0")</f>
        <v>0</v>
      </c>
      <c r="H811">
        <f>HYPERLINK("https://www.wikidata.org/wiki/Q15974112", "Q15974112")</f>
        <v>0</v>
      </c>
    </row>
    <row r="812" spans="1:8">
      <c r="A812" t="s">
        <v>818</v>
      </c>
      <c r="B812" t="s">
        <v>5712</v>
      </c>
      <c r="C812" t="s">
        <v>9830</v>
      </c>
      <c r="D812" t="s">
        <v>12163</v>
      </c>
      <c r="E812" s="2">
        <v>4668</v>
      </c>
      <c r="F812">
        <f>HYPERLINK("https://www2.assemblee-nationale.fr/sycomore/fiche/(num_dept)/1397", "1397.0")</f>
        <v>0</v>
      </c>
      <c r="H812">
        <f>HYPERLINK("https://www.wikidata.org/wiki/Q15974109", "Q15974109")</f>
        <v>0</v>
      </c>
    </row>
    <row r="813" spans="1:8">
      <c r="A813" t="s">
        <v>819</v>
      </c>
      <c r="B813" t="s">
        <v>5713</v>
      </c>
      <c r="C813" t="s">
        <v>7549</v>
      </c>
      <c r="D813" t="s">
        <v>12164</v>
      </c>
      <c r="E813" s="2">
        <v>22660</v>
      </c>
      <c r="F813">
        <f>HYPERLINK("https://www2.assemblee-nationale.fr/sycomore/fiche/(num_dept)/1399", "1399.0")</f>
        <v>0</v>
      </c>
      <c r="G813">
        <f>HYPERLINK("https://www.senat.fr/senateur-3eme-republique/camboulives_laurent1689r3.html", "camboulives_laurent1689r3")</f>
        <v>0</v>
      </c>
      <c r="H813">
        <f>HYPERLINK("https://www.wikidata.org/wiki/Q3219095", "Q3219095")</f>
        <v>0</v>
      </c>
    </row>
    <row r="814" spans="1:8">
      <c r="A814" t="s">
        <v>820</v>
      </c>
      <c r="B814" t="s">
        <v>5714</v>
      </c>
      <c r="C814" t="s">
        <v>9831</v>
      </c>
      <c r="D814" t="s">
        <v>12165</v>
      </c>
      <c r="E814" s="2">
        <v>8755</v>
      </c>
      <c r="F814">
        <f>HYPERLINK("https://www2.assemblee-nationale.fr/sycomore/fiche/(num_dept)/1401", "1401.0")</f>
        <v>0</v>
      </c>
      <c r="H814">
        <f>HYPERLINK("https://www.wikidata.org/wiki/Q2934043", "Q2934043")</f>
        <v>0</v>
      </c>
    </row>
    <row r="815" spans="1:8">
      <c r="A815" t="s">
        <v>821</v>
      </c>
      <c r="B815" t="s">
        <v>5715</v>
      </c>
      <c r="C815" t="s">
        <v>9832</v>
      </c>
      <c r="D815" t="s">
        <v>12166</v>
      </c>
      <c r="E815" t="s">
        <v>15921</v>
      </c>
      <c r="F815">
        <f>HYPERLINK("https://www2.assemblee-nationale.fr/sycomore/fiche/(num_dept)/8124", "8124.0")</f>
        <v>0</v>
      </c>
      <c r="G815">
        <f>HYPERLINK("https://www.senat.fr/senateur-3eme-republique/camescasse_jean0957r3.html", "camescasse_jean0957r3")</f>
        <v>0</v>
      </c>
      <c r="H815">
        <f>HYPERLINK("https://www.wikidata.org/wiki/Q3056871", "Q3056871")</f>
        <v>0</v>
      </c>
    </row>
    <row r="816" spans="1:8">
      <c r="A816" t="s">
        <v>822</v>
      </c>
      <c r="B816" t="s">
        <v>5716</v>
      </c>
      <c r="C816" t="s">
        <v>9833</v>
      </c>
      <c r="D816" t="s">
        <v>12167</v>
      </c>
      <c r="E816" s="2">
        <v>12363</v>
      </c>
      <c r="F816">
        <f>HYPERLINK("https://www2.assemblee-nationale.fr/sycomore/fiche/(num_dept)/1402", "1402.0")</f>
        <v>0</v>
      </c>
      <c r="H816">
        <f>HYPERLINK("https://www.wikidata.org/wiki/Q15974119", "Q15974119")</f>
        <v>0</v>
      </c>
    </row>
    <row r="817" spans="1:8">
      <c r="A817" t="s">
        <v>823</v>
      </c>
      <c r="B817" t="s">
        <v>5717</v>
      </c>
      <c r="C817" t="s">
        <v>9438</v>
      </c>
      <c r="D817" t="s">
        <v>12168</v>
      </c>
      <c r="E817" s="2">
        <v>4684</v>
      </c>
      <c r="G817">
        <f>HYPERLINK("https://www.senat.fr/senateur-3eme-republique/camparan_victor0101r3.html", "camparan_victor0101r3")</f>
        <v>0</v>
      </c>
      <c r="H817">
        <f>HYPERLINK("https://www.wikidata.org/wiki/Q3557203", "Q3557203")</f>
        <v>0</v>
      </c>
    </row>
    <row r="818" spans="1:8">
      <c r="A818" t="s">
        <v>824</v>
      </c>
      <c r="B818" t="s">
        <v>5718</v>
      </c>
      <c r="C818" t="s">
        <v>9834</v>
      </c>
      <c r="D818" t="s">
        <v>12169</v>
      </c>
      <c r="E818" t="s">
        <v>15922</v>
      </c>
      <c r="G818">
        <f>HYPERLINK("https://www.senat.fr/senateur-3eme-republique/campenon_jean_baptiste1442r3.html", "campenon_jean_baptiste1442r3")</f>
        <v>0</v>
      </c>
      <c r="H818">
        <f>HYPERLINK("https://www.wikidata.org/wiki/Q704909", "Q704909")</f>
        <v>0</v>
      </c>
    </row>
    <row r="819" spans="1:8">
      <c r="A819" t="s">
        <v>825</v>
      </c>
      <c r="B819" t="s">
        <v>5719</v>
      </c>
      <c r="C819" t="s">
        <v>9835</v>
      </c>
      <c r="D819" t="s">
        <v>12170</v>
      </c>
      <c r="E819" s="2">
        <v>15029</v>
      </c>
      <c r="F819">
        <f>HYPERLINK("https://www2.assemblee-nationale.fr/sycomore/fiche/(num_dept)/1406", "1406.0")</f>
        <v>0</v>
      </c>
      <c r="H819">
        <f>HYPERLINK("https://www.wikidata.org/wiki/Q3010436", "Q3010436")</f>
        <v>0</v>
      </c>
    </row>
    <row r="820" spans="1:8">
      <c r="A820" t="s">
        <v>826</v>
      </c>
      <c r="B820" t="s">
        <v>5720</v>
      </c>
      <c r="C820" t="s">
        <v>9836</v>
      </c>
      <c r="D820" t="s">
        <v>12171</v>
      </c>
      <c r="E820" s="2">
        <v>17100</v>
      </c>
      <c r="F820">
        <f>HYPERLINK("https://www2.assemblee-nationale.fr/sycomore/fiche/(num_dept)/1408", "1408.0")</f>
        <v>0</v>
      </c>
      <c r="H820">
        <f>HYPERLINK("https://www.wikidata.org/wiki/Q15974169", "Q15974169")</f>
        <v>0</v>
      </c>
    </row>
    <row r="821" spans="1:8">
      <c r="A821" t="s">
        <v>827</v>
      </c>
      <c r="B821" t="s">
        <v>5721</v>
      </c>
      <c r="C821" t="s">
        <v>9837</v>
      </c>
      <c r="D821" t="s">
        <v>12172</v>
      </c>
      <c r="E821" s="2">
        <v>11753</v>
      </c>
      <c r="F821">
        <f>HYPERLINK("https://www2.assemblee-nationale.fr/sycomore/fiche/(num_dept)/7911", "7911.0")</f>
        <v>0</v>
      </c>
      <c r="H821">
        <f>HYPERLINK("https://www.wikidata.org/wiki/Q3576518", "Q3576518")</f>
        <v>0</v>
      </c>
    </row>
    <row r="822" spans="1:8">
      <c r="A822" t="s">
        <v>828</v>
      </c>
      <c r="B822" t="s">
        <v>5722</v>
      </c>
      <c r="C822" t="s">
        <v>9485</v>
      </c>
      <c r="D822" t="s">
        <v>12173</v>
      </c>
      <c r="E822" s="2">
        <v>15130</v>
      </c>
      <c r="F822">
        <f>HYPERLINK("https://www2.assemblee-nationale.fr/sycomore/fiche/(num_dept)/1412", "1412.0")</f>
        <v>0</v>
      </c>
      <c r="H822">
        <f>HYPERLINK("https://www.wikidata.org/wiki/Q3163931", "Q3163931")</f>
        <v>0</v>
      </c>
    </row>
    <row r="823" spans="1:8">
      <c r="A823" t="s">
        <v>829</v>
      </c>
      <c r="B823" t="s">
        <v>5723</v>
      </c>
      <c r="C823" t="s">
        <v>9838</v>
      </c>
      <c r="D823" t="s">
        <v>12174</v>
      </c>
      <c r="E823" s="2">
        <v>15359</v>
      </c>
      <c r="F823">
        <f>HYPERLINK("https://www2.assemblee-nationale.fr/sycomore/fiche/(num_dept)/1414", "1414.0")</f>
        <v>0</v>
      </c>
      <c r="H823">
        <f>HYPERLINK("https://www.wikidata.org/wiki/Q15974168", "Q15974168")</f>
        <v>0</v>
      </c>
    </row>
    <row r="824" spans="1:8">
      <c r="A824" t="s">
        <v>830</v>
      </c>
      <c r="B824" t="s">
        <v>5724</v>
      </c>
      <c r="C824" t="s">
        <v>7103</v>
      </c>
      <c r="D824" t="s">
        <v>12175</v>
      </c>
      <c r="E824" s="2">
        <v>19460</v>
      </c>
      <c r="F824">
        <f>HYPERLINK("https://www2.assemblee-nationale.fr/sycomore/fiche/(num_dept)/1415", "1415.0")</f>
        <v>0</v>
      </c>
      <c r="H824">
        <f>HYPERLINK("https://www.wikidata.org/wiki/Q3115697", "Q3115697")</f>
        <v>0</v>
      </c>
    </row>
    <row r="825" spans="1:8">
      <c r="A825" t="s">
        <v>831</v>
      </c>
      <c r="B825" t="s">
        <v>5725</v>
      </c>
      <c r="C825" t="s">
        <v>6888</v>
      </c>
      <c r="D825" t="s">
        <v>12176</v>
      </c>
      <c r="E825" s="2">
        <v>4100</v>
      </c>
      <c r="F825">
        <f>HYPERLINK("https://www2.assemblee-nationale.fr/sycomore/fiche/(num_dept)/1416", "1416.0")</f>
        <v>0</v>
      </c>
      <c r="H825">
        <f>HYPERLINK("https://www.wikidata.org/wiki/Q3092397", "Q3092397")</f>
        <v>0</v>
      </c>
    </row>
    <row r="826" spans="1:8">
      <c r="A826" t="s">
        <v>832</v>
      </c>
      <c r="B826" t="s">
        <v>5726</v>
      </c>
      <c r="C826" t="s">
        <v>9430</v>
      </c>
      <c r="D826" t="s">
        <v>12177</v>
      </c>
      <c r="E826" s="2">
        <v>13138</v>
      </c>
      <c r="G826">
        <f>HYPERLINK("https://www.senat.fr/senateur-3eme-republique/cannac_paul0288r3.html", "cannac_paul0288r3")</f>
        <v>0</v>
      </c>
      <c r="H826">
        <f>HYPERLINK("https://www.wikidata.org/wiki/Q3370805", "Q3370805")</f>
        <v>0</v>
      </c>
    </row>
    <row r="827" spans="1:8">
      <c r="A827" t="s">
        <v>833</v>
      </c>
      <c r="B827" t="s">
        <v>5727</v>
      </c>
      <c r="C827" t="s">
        <v>6864</v>
      </c>
      <c r="D827" t="s">
        <v>12178</v>
      </c>
      <c r="E827" t="s">
        <v>15923</v>
      </c>
      <c r="G827">
        <f>HYPERLINK("https://www.senat.fr/senateur-3eme-republique/canrobert_francois0394r3.html", "canrobert_francois0394r3")</f>
        <v>0</v>
      </c>
      <c r="H827">
        <f>HYPERLINK("https://www.wikidata.org/wiki/Q551525", "Q551525")</f>
        <v>0</v>
      </c>
    </row>
    <row r="828" spans="1:8">
      <c r="A828" t="s">
        <v>834</v>
      </c>
      <c r="B828" t="s">
        <v>5728</v>
      </c>
      <c r="C828" t="s">
        <v>9839</v>
      </c>
      <c r="D828" t="s">
        <v>12179</v>
      </c>
      <c r="E828" t="s">
        <v>15924</v>
      </c>
      <c r="F828">
        <f>HYPERLINK("https://www2.assemblee-nationale.fr/sycomore/fiche/(num_dept)/7912", "7912.0")</f>
        <v>0</v>
      </c>
      <c r="H828">
        <f>HYPERLINK("https://www.wikidata.org/wiki/Q13080872", "Q13080872")</f>
        <v>0</v>
      </c>
    </row>
    <row r="829" spans="1:8">
      <c r="A829" t="s">
        <v>835</v>
      </c>
      <c r="B829" t="s">
        <v>5729</v>
      </c>
      <c r="C829" t="s">
        <v>9840</v>
      </c>
      <c r="D829" t="s">
        <v>12180</v>
      </c>
      <c r="E829" s="2">
        <v>20893</v>
      </c>
      <c r="F829">
        <f>HYPERLINK("https://www2.assemblee-nationale.fr/sycomore/fiche/(num_dept)/1418", "1418.0")</f>
        <v>0</v>
      </c>
      <c r="H829">
        <f>HYPERLINK("https://www.wikidata.org/wiki/Q15974138", "Q15974138")</f>
        <v>0</v>
      </c>
    </row>
    <row r="830" spans="1:8">
      <c r="A830" t="s">
        <v>836</v>
      </c>
      <c r="B830" t="s">
        <v>5730</v>
      </c>
      <c r="C830" t="s">
        <v>9841</v>
      </c>
      <c r="D830" t="s">
        <v>12181</v>
      </c>
      <c r="E830" s="2">
        <v>18999</v>
      </c>
      <c r="F830">
        <f>HYPERLINK("https://www2.assemblee-nationale.fr/sycomore/fiche/(num_dept)/1419", "1419.0")</f>
        <v>0</v>
      </c>
      <c r="H830">
        <f>HYPERLINK("https://www.wikidata.org/wiki/Q15974141", "Q15974141")</f>
        <v>0</v>
      </c>
    </row>
    <row r="831" spans="1:8">
      <c r="A831" t="s">
        <v>837</v>
      </c>
      <c r="B831" t="s">
        <v>5731</v>
      </c>
      <c r="C831" t="s">
        <v>9355</v>
      </c>
      <c r="D831" t="s">
        <v>12182</v>
      </c>
      <c r="E831" s="2">
        <v>13987</v>
      </c>
      <c r="G831">
        <f>HYPERLINK("https://www.senat.fr/senateur-3eme-republique/caperan_charles1716r3.html", "caperan_charles1716r3")</f>
        <v>0</v>
      </c>
      <c r="H831">
        <f>HYPERLINK("https://www.wikidata.org/wiki/Q2958671", "Q2958671")</f>
        <v>0</v>
      </c>
    </row>
    <row r="832" spans="1:8">
      <c r="A832" t="s">
        <v>838</v>
      </c>
      <c r="B832" t="s">
        <v>5732</v>
      </c>
      <c r="C832" t="s">
        <v>9533</v>
      </c>
      <c r="D832" t="s">
        <v>12183</v>
      </c>
      <c r="E832" s="2">
        <v>23410</v>
      </c>
      <c r="F832">
        <f>HYPERLINK("https://www2.assemblee-nationale.fr/sycomore/fiche/(num_dept)/1425", "1425.0")</f>
        <v>0</v>
      </c>
      <c r="H832">
        <f>HYPERLINK("https://www.wikidata.org/wiki/Q15974133", "Q15974133")</f>
        <v>0</v>
      </c>
    </row>
    <row r="833" spans="1:8">
      <c r="A833" t="s">
        <v>839</v>
      </c>
      <c r="B833" t="s">
        <v>5733</v>
      </c>
      <c r="C833" t="s">
        <v>5096</v>
      </c>
      <c r="D833" t="s">
        <v>12184</v>
      </c>
      <c r="E833" s="2">
        <v>11249</v>
      </c>
      <c r="F833">
        <f>HYPERLINK("https://www2.assemblee-nationale.fr/sycomore/fiche/(num_dept)/1427", "1427.0")</f>
        <v>0</v>
      </c>
      <c r="H833">
        <f>HYPERLINK("https://www.wikidata.org/wiki/Q2847437", "Q2847437")</f>
        <v>0</v>
      </c>
    </row>
    <row r="834" spans="1:8">
      <c r="A834" t="s">
        <v>840</v>
      </c>
      <c r="B834" t="s">
        <v>5733</v>
      </c>
      <c r="C834" t="s">
        <v>9842</v>
      </c>
      <c r="D834" t="s">
        <v>12185</v>
      </c>
      <c r="E834" s="2">
        <v>30222</v>
      </c>
      <c r="F834">
        <f>HYPERLINK("https://www2.assemblee-nationale.fr/sycomore/fiche/(num_dept)/1428", "1428.0")</f>
        <v>0</v>
      </c>
      <c r="H834">
        <f>HYPERLINK("https://www.wikidata.org/wiki/Q3288762", "Q3288762")</f>
        <v>0</v>
      </c>
    </row>
    <row r="835" spans="1:8">
      <c r="A835" t="s">
        <v>841</v>
      </c>
      <c r="B835" t="s">
        <v>5734</v>
      </c>
      <c r="C835" t="s">
        <v>9373</v>
      </c>
      <c r="D835" t="s">
        <v>12186</v>
      </c>
      <c r="E835" s="2">
        <v>17288</v>
      </c>
      <c r="F835">
        <f>HYPERLINK("https://www2.assemblee-nationale.fr/sycomore/fiche/(num_dept)/1429", "1429.0")</f>
        <v>0</v>
      </c>
      <c r="G835">
        <f>HYPERLINK("https://www.senat.fr/senateur-3eme-republique/capus_joseph0215r3.html", "capus_joseph0215r3")</f>
        <v>0</v>
      </c>
      <c r="H835">
        <f>HYPERLINK("https://www.wikidata.org/wiki/Q2405409", "Q2405409")</f>
        <v>0</v>
      </c>
    </row>
    <row r="836" spans="1:8">
      <c r="A836" t="s">
        <v>842</v>
      </c>
      <c r="B836" t="s">
        <v>5735</v>
      </c>
      <c r="C836" t="s">
        <v>9355</v>
      </c>
      <c r="D836" t="s">
        <v>12182</v>
      </c>
      <c r="E836" s="2">
        <v>13987</v>
      </c>
      <c r="F836">
        <f>HYPERLINK("https://www2.assemblee-nationale.fr/sycomore/fiche/(num_dept)/1423", "1423.0")</f>
        <v>0</v>
      </c>
      <c r="H836">
        <f>HYPERLINK("https://www.wikidata.org/wiki/Q2958671", "Q2958671")</f>
        <v>0</v>
      </c>
    </row>
    <row r="837" spans="1:8">
      <c r="A837" t="s">
        <v>843</v>
      </c>
      <c r="B837" t="s">
        <v>5736</v>
      </c>
      <c r="C837" t="s">
        <v>9843</v>
      </c>
      <c r="D837" t="s">
        <v>12187</v>
      </c>
      <c r="E837" s="2">
        <v>6175</v>
      </c>
      <c r="F837">
        <f>HYPERLINK("https://www2.assemblee-nationale.fr/sycomore/fiche/(num_dept)/7913", "7913.0")</f>
        <v>0</v>
      </c>
      <c r="H837">
        <f>HYPERLINK("https://www.wikidata.org/wiki/Q2831017", "Q2831017")</f>
        <v>0</v>
      </c>
    </row>
    <row r="838" spans="1:8">
      <c r="A838" t="s">
        <v>844</v>
      </c>
      <c r="B838" t="s">
        <v>5737</v>
      </c>
      <c r="C838" t="s">
        <v>9844</v>
      </c>
      <c r="D838" t="s">
        <v>12188</v>
      </c>
      <c r="E838" s="2">
        <v>11594</v>
      </c>
      <c r="F838">
        <f>HYPERLINK("https://www2.assemblee-nationale.fr/sycomore/fiche/(num_dept)/1430", "1430.0")</f>
        <v>0</v>
      </c>
      <c r="H838">
        <f>HYPERLINK("https://www.wikidata.org/wiki/Q3102070", "Q3102070")</f>
        <v>0</v>
      </c>
    </row>
    <row r="839" spans="1:8">
      <c r="A839" t="s">
        <v>845</v>
      </c>
      <c r="B839" t="s">
        <v>5738</v>
      </c>
      <c r="C839" t="s">
        <v>9845</v>
      </c>
      <c r="D839" t="s">
        <v>12189</v>
      </c>
      <c r="E839" s="2">
        <v>27445</v>
      </c>
      <c r="F839">
        <f>HYPERLINK("https://www2.assemblee-nationale.fr/sycomore/fiche/(num_dept)/1435", "1435.0")</f>
        <v>0</v>
      </c>
      <c r="H839">
        <f>HYPERLINK("https://www.wikidata.org/wiki/Q3140478", "Q3140478")</f>
        <v>0</v>
      </c>
    </row>
    <row r="840" spans="1:8">
      <c r="A840" t="s">
        <v>846</v>
      </c>
      <c r="B840" t="s">
        <v>5739</v>
      </c>
      <c r="C840" t="s">
        <v>9846</v>
      </c>
      <c r="D840" t="s">
        <v>12190</v>
      </c>
      <c r="F840">
        <f>HYPERLINK("https://www2.assemblee-nationale.fr/sycomore/fiche/(num_dept)/1438", "1438.0")</f>
        <v>0</v>
      </c>
      <c r="H840">
        <f>HYPERLINK("https://www.wikidata.org/wiki/Q15974130", "Q15974130")</f>
        <v>0</v>
      </c>
    </row>
    <row r="841" spans="1:8">
      <c r="A841" t="s">
        <v>847</v>
      </c>
      <c r="B841" t="s">
        <v>5740</v>
      </c>
      <c r="C841" t="s">
        <v>5117</v>
      </c>
      <c r="D841" t="s">
        <v>12191</v>
      </c>
      <c r="E841" s="2">
        <v>8667</v>
      </c>
      <c r="F841">
        <f>HYPERLINK("https://www2.assemblee-nationale.fr/sycomore/fiche/(num_dept)/1440", "1440.0")</f>
        <v>0</v>
      </c>
      <c r="H841">
        <f>HYPERLINK("https://www.wikidata.org/wiki/Q15974134", "Q15974134")</f>
        <v>0</v>
      </c>
    </row>
    <row r="842" spans="1:8">
      <c r="A842" t="s">
        <v>848</v>
      </c>
      <c r="B842" t="s">
        <v>5741</v>
      </c>
      <c r="C842" t="s">
        <v>9847</v>
      </c>
      <c r="D842" t="s">
        <v>12192</v>
      </c>
      <c r="E842" s="2">
        <v>2931</v>
      </c>
      <c r="F842">
        <f>HYPERLINK("https://www2.assemblee-nationale.fr/sycomore/fiche/(num_dept)/8273", "8273.0")</f>
        <v>0</v>
      </c>
      <c r="H842">
        <f>HYPERLINK("https://www.wikidata.org/wiki/Q2830875", "Q2830875")</f>
        <v>0</v>
      </c>
    </row>
    <row r="843" spans="1:8">
      <c r="A843" t="s">
        <v>849</v>
      </c>
      <c r="B843" t="s">
        <v>5742</v>
      </c>
      <c r="C843" t="s">
        <v>9848</v>
      </c>
      <c r="D843" t="s">
        <v>12193</v>
      </c>
      <c r="E843" s="2">
        <v>23516</v>
      </c>
      <c r="F843">
        <f>HYPERLINK("https://www2.assemblee-nationale.fr/sycomore/fiche/(num_dept)/1445", "1445.0")</f>
        <v>0</v>
      </c>
      <c r="H843">
        <f>HYPERLINK("https://www.wikidata.org/wiki/Q3188469", "Q3188469")</f>
        <v>0</v>
      </c>
    </row>
    <row r="844" spans="1:8">
      <c r="A844" t="s">
        <v>850</v>
      </c>
      <c r="B844" t="s">
        <v>5743</v>
      </c>
      <c r="C844" t="s">
        <v>9256</v>
      </c>
      <c r="D844" t="s">
        <v>12194</v>
      </c>
      <c r="E844" s="2">
        <v>6352</v>
      </c>
      <c r="F844">
        <f>HYPERLINK("https://www2.assemblee-nationale.fr/sycomore/fiche/(num_dept)/1444", "1444.0")</f>
        <v>0</v>
      </c>
      <c r="H844">
        <f>HYPERLINK("https://www.wikidata.org/wiki/Q2526536", "Q2526536")</f>
        <v>0</v>
      </c>
    </row>
    <row r="845" spans="1:8">
      <c r="A845" t="s">
        <v>851</v>
      </c>
      <c r="B845" t="s">
        <v>5744</v>
      </c>
      <c r="C845" t="s">
        <v>9849</v>
      </c>
      <c r="D845" t="s">
        <v>12195</v>
      </c>
      <c r="E845" s="2">
        <v>16343</v>
      </c>
      <c r="F845">
        <f>HYPERLINK("https://www2.assemblee-nationale.fr/sycomore/fiche/(num_dept)/1447", "1447.0")</f>
        <v>0</v>
      </c>
      <c r="H845">
        <f>HYPERLINK("https://www.wikidata.org/wiki/Q15974149", "Q15974149")</f>
        <v>0</v>
      </c>
    </row>
    <row r="846" spans="1:8">
      <c r="A846" t="s">
        <v>852</v>
      </c>
      <c r="B846" t="s">
        <v>5745</v>
      </c>
      <c r="C846" t="s">
        <v>9850</v>
      </c>
      <c r="D846" t="s">
        <v>12196</v>
      </c>
      <c r="E846" s="2">
        <v>13824</v>
      </c>
      <c r="F846">
        <f>HYPERLINK("https://www2.assemblee-nationale.fr/sycomore/fiche/(num_dept)/1448", "1448.0")</f>
        <v>0</v>
      </c>
      <c r="H846">
        <f>HYPERLINK("https://www.wikidata.org/wiki/Q15974162", "Q15974162")</f>
        <v>0</v>
      </c>
    </row>
    <row r="847" spans="1:8">
      <c r="A847" t="s">
        <v>853</v>
      </c>
      <c r="B847" t="s">
        <v>5746</v>
      </c>
      <c r="C847" t="s">
        <v>9851</v>
      </c>
      <c r="D847" t="s">
        <v>12197</v>
      </c>
      <c r="E847" t="s">
        <v>12910</v>
      </c>
      <c r="G847">
        <f>HYPERLINK("https://www.senat.fr/senateur-3eme-republique/carnot_hippolyte1446r3.html", "carnot_hippolyte1446r3")</f>
        <v>0</v>
      </c>
      <c r="H847">
        <f>HYPERLINK("https://www.wikidata.org/wiki/Q950235", "Q950235")</f>
        <v>0</v>
      </c>
    </row>
    <row r="848" spans="1:8">
      <c r="A848" t="s">
        <v>854</v>
      </c>
      <c r="B848" t="s">
        <v>5747</v>
      </c>
      <c r="C848" t="s">
        <v>9852</v>
      </c>
      <c r="D848" t="s">
        <v>12198</v>
      </c>
      <c r="E848" t="s">
        <v>15925</v>
      </c>
      <c r="F848">
        <f>HYPERLINK("https://www2.assemblee-nationale.fr/sycomore/fiche/(num_dept)/1453", "1453.0")</f>
        <v>0</v>
      </c>
      <c r="H848">
        <f>HYPERLINK("https://www.wikidata.org/wiki/Q215778", "Q215778")</f>
        <v>0</v>
      </c>
    </row>
    <row r="849" spans="1:8">
      <c r="A849" t="s">
        <v>855</v>
      </c>
      <c r="B849" t="s">
        <v>5747</v>
      </c>
      <c r="C849" t="s">
        <v>9853</v>
      </c>
      <c r="D849" t="s">
        <v>12199</v>
      </c>
      <c r="E849" s="2">
        <v>20104</v>
      </c>
      <c r="F849">
        <f>HYPERLINK("https://www2.assemblee-nationale.fr/sycomore/fiche/(num_dept)/1450", "1450.0")</f>
        <v>0</v>
      </c>
      <c r="H849">
        <f>HYPERLINK("https://www.wikidata.org/wiki/Q8299336", "Q8299336")</f>
        <v>0</v>
      </c>
    </row>
    <row r="850" spans="1:8">
      <c r="A850" t="s">
        <v>856</v>
      </c>
      <c r="B850" t="s">
        <v>5747</v>
      </c>
      <c r="C850" t="s">
        <v>9854</v>
      </c>
      <c r="D850" t="s">
        <v>12200</v>
      </c>
      <c r="E850" s="2">
        <v>22274</v>
      </c>
      <c r="F850">
        <f>HYPERLINK("https://www2.assemblee-nationale.fr/sycomore/fiche/(num_dept)/1451", "1451.0")</f>
        <v>0</v>
      </c>
      <c r="H850">
        <f>HYPERLINK("https://www.wikidata.org/wiki/Q8322772", "Q8322772")</f>
        <v>0</v>
      </c>
    </row>
    <row r="851" spans="1:8">
      <c r="A851" t="s">
        <v>857</v>
      </c>
      <c r="B851" t="s">
        <v>5747</v>
      </c>
      <c r="C851" t="s">
        <v>9855</v>
      </c>
      <c r="D851" t="s">
        <v>12201</v>
      </c>
      <c r="E851" s="2">
        <v>25317</v>
      </c>
      <c r="F851">
        <f>HYPERLINK("https://www2.assemblee-nationale.fr/sycomore/fiche/(num_dept)/1452", "1452.0")</f>
        <v>0</v>
      </c>
      <c r="H851">
        <f>HYPERLINK("https://www.wikidata.org/wiki/Q15974152", "Q15974152")</f>
        <v>0</v>
      </c>
    </row>
    <row r="852" spans="1:8">
      <c r="A852" t="s">
        <v>858</v>
      </c>
      <c r="B852" t="s">
        <v>5748</v>
      </c>
      <c r="C852" t="s">
        <v>9856</v>
      </c>
      <c r="D852" t="s">
        <v>12202</v>
      </c>
      <c r="E852" s="2">
        <v>11258</v>
      </c>
      <c r="F852">
        <f>HYPERLINK("https://www2.assemblee-nationale.fr/sycomore/fiche/(num_dept)/1456", "1456.0")</f>
        <v>0</v>
      </c>
      <c r="H852">
        <f>HYPERLINK("https://www.wikidata.org/wiki/Q3425965", "Q3425965")</f>
        <v>0</v>
      </c>
    </row>
    <row r="853" spans="1:8">
      <c r="A853" t="s">
        <v>859</v>
      </c>
      <c r="B853" t="s">
        <v>5749</v>
      </c>
      <c r="C853" t="s">
        <v>9857</v>
      </c>
      <c r="D853" t="s">
        <v>12203</v>
      </c>
      <c r="E853" s="2">
        <v>6461</v>
      </c>
      <c r="F853">
        <f>HYPERLINK("https://www2.assemblee-nationale.fr/sycomore/fiche/(num_dept)/1460", "1460.0")</f>
        <v>0</v>
      </c>
      <c r="H853">
        <f>HYPERLINK("https://www.wikidata.org/wiki/Q15974150", "Q15974150")</f>
        <v>0</v>
      </c>
    </row>
    <row r="854" spans="1:8">
      <c r="A854" t="s">
        <v>860</v>
      </c>
      <c r="B854" t="s">
        <v>5750</v>
      </c>
      <c r="C854" t="s">
        <v>6864</v>
      </c>
      <c r="D854" t="s">
        <v>12204</v>
      </c>
      <c r="E854" s="2">
        <v>13458</v>
      </c>
      <c r="F854">
        <f>HYPERLINK("https://www2.assemblee-nationale.fr/sycomore/fiche/(num_dept)/1461", "1461.0")</f>
        <v>0</v>
      </c>
      <c r="H854">
        <f>HYPERLINK("https://www.wikidata.org/wiki/Q3084180", "Q3084180")</f>
        <v>0</v>
      </c>
    </row>
    <row r="855" spans="1:8">
      <c r="A855" t="s">
        <v>861</v>
      </c>
      <c r="B855" t="s">
        <v>5751</v>
      </c>
      <c r="C855" t="s">
        <v>6864</v>
      </c>
      <c r="D855" t="s">
        <v>12205</v>
      </c>
      <c r="E855" t="s">
        <v>15926</v>
      </c>
      <c r="G855">
        <f>HYPERLINK("https://www.senat.fr/senateur-3eme-republique/carquet_francois1295r3.html", "carquet_francois1295r3")</f>
        <v>0</v>
      </c>
      <c r="H855">
        <f>HYPERLINK("https://www.wikidata.org/wiki/Q3084184", "Q3084184")</f>
        <v>0</v>
      </c>
    </row>
    <row r="856" spans="1:8">
      <c r="A856" t="s">
        <v>862</v>
      </c>
      <c r="B856" t="s">
        <v>5752</v>
      </c>
      <c r="C856" t="s">
        <v>9858</v>
      </c>
      <c r="D856" t="s">
        <v>12206</v>
      </c>
      <c r="E856" t="s">
        <v>15926</v>
      </c>
      <c r="F856">
        <f>HYPERLINK("https://www2.assemblee-nationale.fr/sycomore/fiche/(num_dept)/1462", "1462.0")</f>
        <v>0</v>
      </c>
      <c r="H856">
        <f>HYPERLINK("https://www.wikidata.org/wiki/Q38118958", "Q38118958")</f>
        <v>0</v>
      </c>
    </row>
    <row r="857" spans="1:8">
      <c r="A857" t="s">
        <v>863</v>
      </c>
      <c r="B857" t="s">
        <v>5753</v>
      </c>
      <c r="C857" t="s">
        <v>9320</v>
      </c>
      <c r="D857" t="s">
        <v>12207</v>
      </c>
      <c r="E857" s="2">
        <v>19399</v>
      </c>
      <c r="G857">
        <f>HYPERLINK("https://www.senat.fr/senateur-3eme-republique/carre_bonvalet_rene0423r3.html", "carre_bonvalet_rene0423r3")</f>
        <v>0</v>
      </c>
      <c r="H857">
        <f>HYPERLINK("https://www.wikidata.org/wiki/Q3425970", "Q3425970")</f>
        <v>0</v>
      </c>
    </row>
    <row r="858" spans="1:8">
      <c r="A858" t="s">
        <v>864</v>
      </c>
      <c r="B858" t="s">
        <v>5754</v>
      </c>
      <c r="C858" t="s">
        <v>9512</v>
      </c>
      <c r="D858" t="s">
        <v>12208</v>
      </c>
      <c r="E858" s="2">
        <v>13363</v>
      </c>
      <c r="G858">
        <f>HYPERLINK("https://www.senat.fr/senateur-3eme-republique/carrere_gaston0762r3.html", "carrere_gaston0762r3")</f>
        <v>0</v>
      </c>
      <c r="H858">
        <f>HYPERLINK("https://www.wikidata.org/wiki/Q3098937", "Q3098937")</f>
        <v>0</v>
      </c>
    </row>
    <row r="859" spans="1:8">
      <c r="A859" t="s">
        <v>865</v>
      </c>
      <c r="B859" t="s">
        <v>5754</v>
      </c>
      <c r="C859" t="s">
        <v>5354</v>
      </c>
      <c r="D859" t="s">
        <v>12209</v>
      </c>
      <c r="E859" s="2">
        <v>21027</v>
      </c>
      <c r="G859">
        <f>HYPERLINK("https://www.senat.fr/senateur-3eme-republique/carrere_bertrand0105r3.html", "carrere_bertrand0105r3")</f>
        <v>0</v>
      </c>
      <c r="H859">
        <f>HYPERLINK("https://www.wikidata.org/wiki/Q2899476", "Q2899476")</f>
        <v>0</v>
      </c>
    </row>
    <row r="860" spans="1:8">
      <c r="A860" t="s">
        <v>866</v>
      </c>
      <c r="B860" t="s">
        <v>5755</v>
      </c>
      <c r="C860" t="s">
        <v>9471</v>
      </c>
      <c r="D860" t="s">
        <v>12210</v>
      </c>
      <c r="E860" s="2">
        <v>4595</v>
      </c>
      <c r="F860">
        <f>HYPERLINK("https://www2.assemblee-nationale.fr/sycomore/fiche/(num_dept)/7914", "7914.0")</f>
        <v>0</v>
      </c>
      <c r="H860">
        <f>HYPERLINK("https://www.wikidata.org/wiki/Q3188470", "Q3188470")</f>
        <v>0</v>
      </c>
    </row>
    <row r="861" spans="1:8">
      <c r="A861" t="s">
        <v>867</v>
      </c>
      <c r="B861" t="s">
        <v>5756</v>
      </c>
      <c r="C861" t="s">
        <v>7342</v>
      </c>
      <c r="D861" t="s">
        <v>12211</v>
      </c>
      <c r="E861" t="s">
        <v>15927</v>
      </c>
      <c r="F861">
        <f>HYPERLINK("https://www2.assemblee-nationale.fr/sycomore/fiche/(num_dept)/1467", "1467.0")</f>
        <v>0</v>
      </c>
      <c r="H861">
        <f>HYPERLINK("https://www.wikidata.org/wiki/Q8318532", "Q8318532")</f>
        <v>0</v>
      </c>
    </row>
    <row r="862" spans="1:8">
      <c r="A862" t="s">
        <v>868</v>
      </c>
      <c r="B862" t="s">
        <v>5757</v>
      </c>
      <c r="C862" t="s">
        <v>9859</v>
      </c>
      <c r="D862" t="s">
        <v>12212</v>
      </c>
      <c r="E862" s="2">
        <v>5611</v>
      </c>
      <c r="F862">
        <f>HYPERLINK("https://www2.assemblee-nationale.fr/sycomore/fiche/(num_dept)/1471", "1471.0")</f>
        <v>0</v>
      </c>
      <c r="H862">
        <f>HYPERLINK("https://www.wikidata.org/wiki/Q3370815", "Q3370815")</f>
        <v>0</v>
      </c>
    </row>
    <row r="863" spans="1:8">
      <c r="A863" t="s">
        <v>869</v>
      </c>
      <c r="B863" t="s">
        <v>5758</v>
      </c>
      <c r="C863" t="s">
        <v>9860</v>
      </c>
      <c r="D863" t="s">
        <v>11392</v>
      </c>
      <c r="E863" s="2">
        <v>19696</v>
      </c>
      <c r="F863">
        <f>HYPERLINK("https://www2.assemblee-nationale.fr/sycomore/fiche/(num_dept)/1470", "1470.0")</f>
        <v>0</v>
      </c>
      <c r="H863">
        <f>HYPERLINK("https://www.wikidata.org/wiki/Q3143572", "Q3143572")</f>
        <v>0</v>
      </c>
    </row>
    <row r="864" spans="1:8">
      <c r="A864" t="s">
        <v>870</v>
      </c>
      <c r="B864" t="s">
        <v>5759</v>
      </c>
      <c r="C864" t="s">
        <v>9861</v>
      </c>
      <c r="D864" t="s">
        <v>12207</v>
      </c>
      <c r="E864" s="2">
        <v>19399</v>
      </c>
      <c r="F864">
        <f>HYPERLINK("https://www2.assemblee-nationale.fr/sycomore/fiche/(num_dept)/1465", "1465.0")</f>
        <v>0</v>
      </c>
      <c r="H864">
        <f>HYPERLINK("https://www.wikidata.org/wiki/Q3425970", "Q3425970")</f>
        <v>0</v>
      </c>
    </row>
    <row r="865" spans="1:8">
      <c r="A865" t="s">
        <v>871</v>
      </c>
      <c r="B865" t="s">
        <v>5760</v>
      </c>
      <c r="C865" t="s">
        <v>9430</v>
      </c>
      <c r="D865" t="s">
        <v>12213</v>
      </c>
      <c r="E865" s="2">
        <v>5916</v>
      </c>
      <c r="G865">
        <f>HYPERLINK("https://www.senat.fr/senateur-3eme-republique/casabianca_de_paul1854r3.html", "casabianca_de_paul1854r3")</f>
        <v>0</v>
      </c>
      <c r="H865">
        <f>HYPERLINK("https://www.wikidata.org/wiki/Q3372460", "Q3372460")</f>
        <v>0</v>
      </c>
    </row>
    <row r="866" spans="1:8">
      <c r="A866" t="s">
        <v>872</v>
      </c>
      <c r="B866" t="s">
        <v>5761</v>
      </c>
      <c r="C866" t="s">
        <v>9862</v>
      </c>
      <c r="D866" t="s">
        <v>12214</v>
      </c>
      <c r="E866" s="2">
        <v>7332</v>
      </c>
      <c r="F866">
        <f>HYPERLINK("https://www2.assemblee-nationale.fr/sycomore/fiche/(num_dept)/4846", "4846.0")</f>
        <v>0</v>
      </c>
      <c r="H866">
        <f>HYPERLINK("https://www.wikidata.org/wiki/Q16026016", "Q16026016")</f>
        <v>0</v>
      </c>
    </row>
    <row r="867" spans="1:8">
      <c r="A867" t="s">
        <v>873</v>
      </c>
      <c r="B867" t="s">
        <v>5762</v>
      </c>
      <c r="C867" t="s">
        <v>9430</v>
      </c>
      <c r="D867" t="s">
        <v>12215</v>
      </c>
      <c r="E867" t="s">
        <v>15921</v>
      </c>
      <c r="G867">
        <f>HYPERLINK("https://www.senat.fr/senateur-3eme-republique/casimir_perier_paul1582r3.html", "casimir_perier_paul1582r3")</f>
        <v>0</v>
      </c>
      <c r="H867">
        <f>HYPERLINK("https://www.wikidata.org/wiki/Q3370821", "Q3370821")</f>
        <v>0</v>
      </c>
    </row>
    <row r="868" spans="1:8">
      <c r="A868" t="s">
        <v>874</v>
      </c>
      <c r="B868" t="s">
        <v>5763</v>
      </c>
      <c r="C868" t="s">
        <v>9863</v>
      </c>
      <c r="D868" t="s">
        <v>12216</v>
      </c>
      <c r="E868" t="s">
        <v>15921</v>
      </c>
      <c r="F868">
        <f>HYPERLINK("https://www2.assemblee-nationale.fr/sycomore/fiche/(num_dept)/7916", "7916.0")</f>
        <v>0</v>
      </c>
      <c r="H868">
        <f>HYPERLINK("https://www.wikidata.org/wiki/Q3370821", "Q3370821")</f>
        <v>0</v>
      </c>
    </row>
    <row r="869" spans="1:8">
      <c r="A869" t="s">
        <v>875</v>
      </c>
      <c r="B869" t="s">
        <v>5763</v>
      </c>
      <c r="C869" t="s">
        <v>9864</v>
      </c>
      <c r="D869" t="s">
        <v>12217</v>
      </c>
      <c r="E869" s="2">
        <v>2627</v>
      </c>
      <c r="F869">
        <f>HYPERLINK("https://www2.assemblee-nationale.fr/sycomore/fiche/(num_dept)/1484", "1484.0")</f>
        <v>0</v>
      </c>
      <c r="H869">
        <f>HYPERLINK("https://www.wikidata.org/wiki/Q315656", "Q315656")</f>
        <v>0</v>
      </c>
    </row>
    <row r="870" spans="1:8">
      <c r="A870" t="s">
        <v>876</v>
      </c>
      <c r="B870" t="s">
        <v>5764</v>
      </c>
      <c r="C870" t="s">
        <v>5096</v>
      </c>
      <c r="D870" t="s">
        <v>12218</v>
      </c>
      <c r="E870" s="2">
        <v>14170</v>
      </c>
      <c r="F870">
        <f>HYPERLINK("https://www2.assemblee-nationale.fr/sycomore/fiche/(num_dept)/1487", "1487.0")</f>
        <v>0</v>
      </c>
      <c r="H870">
        <f>HYPERLINK("https://www.wikidata.org/wiki/Q15974174", "Q15974174")</f>
        <v>0</v>
      </c>
    </row>
    <row r="871" spans="1:8">
      <c r="A871" t="s">
        <v>877</v>
      </c>
      <c r="B871" t="s">
        <v>5765</v>
      </c>
      <c r="C871" t="s">
        <v>9865</v>
      </c>
      <c r="D871" t="s">
        <v>12219</v>
      </c>
      <c r="E871" s="2">
        <v>1770</v>
      </c>
      <c r="F871">
        <f>HYPERLINK("https://www2.assemblee-nationale.fr/sycomore/fiche/(num_dept)/1488", "1488.0")</f>
        <v>0</v>
      </c>
      <c r="H871">
        <f>HYPERLINK("https://www.wikidata.org/wiki/Q3372467", "Q3372467")</f>
        <v>0</v>
      </c>
    </row>
    <row r="872" spans="1:8">
      <c r="A872" t="s">
        <v>878</v>
      </c>
      <c r="B872" t="s">
        <v>5765</v>
      </c>
      <c r="C872" t="s">
        <v>9866</v>
      </c>
      <c r="D872" t="s">
        <v>12220</v>
      </c>
      <c r="E872" s="2">
        <v>24357</v>
      </c>
      <c r="F872">
        <f>HYPERLINK("https://www2.assemblee-nationale.fr/sycomore/fiche/(num_dept)/1489", "1489.0")</f>
        <v>0</v>
      </c>
      <c r="H872">
        <f>HYPERLINK("https://www.wikidata.org/wiki/Q3371356", "Q3371356")</f>
        <v>0</v>
      </c>
    </row>
    <row r="873" spans="1:8">
      <c r="A873" t="s">
        <v>879</v>
      </c>
      <c r="B873" t="s">
        <v>5766</v>
      </c>
      <c r="C873" t="s">
        <v>9867</v>
      </c>
      <c r="D873" t="s">
        <v>12221</v>
      </c>
      <c r="E873" s="2">
        <v>344</v>
      </c>
      <c r="F873">
        <f>HYPERLINK("https://www2.assemblee-nationale.fr/sycomore/fiche/(num_dept)/7917", "7917.0")</f>
        <v>0</v>
      </c>
      <c r="H873">
        <f>HYPERLINK("https://www.wikidata.org/wiki/Q15974194", "Q15974194")</f>
        <v>0</v>
      </c>
    </row>
    <row r="874" spans="1:8">
      <c r="A874" t="s">
        <v>880</v>
      </c>
      <c r="B874" t="s">
        <v>5767</v>
      </c>
      <c r="C874" t="s">
        <v>9868</v>
      </c>
      <c r="D874" t="s">
        <v>12222</v>
      </c>
      <c r="E874" s="2">
        <v>17790</v>
      </c>
      <c r="G874">
        <f>HYPERLINK("https://www.senat.fr/senateur-3eme-republique/cassez_emile0867r3.html", "cassez_emile0867r3")</f>
        <v>0</v>
      </c>
      <c r="H874">
        <f>HYPERLINK("https://www.wikidata.org/wiki/Q3588397", "Q3588397")</f>
        <v>0</v>
      </c>
    </row>
    <row r="875" spans="1:8">
      <c r="A875" t="s">
        <v>881</v>
      </c>
      <c r="B875" t="s">
        <v>5768</v>
      </c>
      <c r="C875" t="s">
        <v>9869</v>
      </c>
      <c r="D875" t="s">
        <v>12223</v>
      </c>
      <c r="E875" s="2">
        <v>2209</v>
      </c>
      <c r="F875">
        <f>HYPERLINK("https://www2.assemblee-nationale.fr/sycomore/fiche/(num_dept)/1494", "1494.0")</f>
        <v>0</v>
      </c>
      <c r="G875">
        <f>HYPERLINK("https://www.senat.fr/senateur-3eme-republique/cassou_jean1049r3.html", "cassou_jean1049r3")</f>
        <v>0</v>
      </c>
      <c r="H875">
        <f>HYPERLINK("https://www.wikidata.org/wiki/Q3171155", "Q3171155")</f>
        <v>0</v>
      </c>
    </row>
    <row r="876" spans="1:8">
      <c r="A876" t="s">
        <v>882</v>
      </c>
      <c r="B876" t="s">
        <v>5769</v>
      </c>
      <c r="C876" t="s">
        <v>9870</v>
      </c>
      <c r="D876" t="s">
        <v>12224</v>
      </c>
      <c r="E876" s="2">
        <v>21942</v>
      </c>
      <c r="F876">
        <f>HYPERLINK("https://www2.assemblee-nationale.fr/sycomore/fiche/(num_dept)/1496", "1496.0")</f>
        <v>0</v>
      </c>
      <c r="H876">
        <f>HYPERLINK("https://www.wikidata.org/wiki/Q15974200", "Q15974200")</f>
        <v>0</v>
      </c>
    </row>
    <row r="877" spans="1:8">
      <c r="A877" t="s">
        <v>883</v>
      </c>
      <c r="B877" t="s">
        <v>5770</v>
      </c>
      <c r="C877" t="s">
        <v>9871</v>
      </c>
      <c r="D877" s="2">
        <v>850</v>
      </c>
      <c r="E877" s="2">
        <v>27946</v>
      </c>
      <c r="F877">
        <f>HYPERLINK("https://www2.assemblee-nationale.fr/sycomore/fiche/(num_dept)/1497", "1497.0")</f>
        <v>0</v>
      </c>
      <c r="H877">
        <f>HYPERLINK("https://www.wikidata.org/wiki/Q3171156", "Q3171156")</f>
        <v>0</v>
      </c>
    </row>
    <row r="878" spans="1:8">
      <c r="A878" t="s">
        <v>884</v>
      </c>
      <c r="B878" t="s">
        <v>5771</v>
      </c>
      <c r="C878" t="s">
        <v>9872</v>
      </c>
      <c r="D878" t="s">
        <v>12225</v>
      </c>
      <c r="E878" s="2">
        <v>12255</v>
      </c>
      <c r="F878">
        <f>HYPERLINK("https://www2.assemblee-nationale.fr/sycomore/fiche/(num_dept)/1701", "1701.0")</f>
        <v>0</v>
      </c>
      <c r="H878">
        <f>HYPERLINK("https://www.wikidata.org/wiki/Q3119745", "Q3119745")</f>
        <v>0</v>
      </c>
    </row>
    <row r="879" spans="1:8">
      <c r="A879" t="s">
        <v>885</v>
      </c>
      <c r="B879" t="s">
        <v>5772</v>
      </c>
      <c r="C879" t="s">
        <v>9314</v>
      </c>
      <c r="D879" t="s">
        <v>12226</v>
      </c>
      <c r="E879" s="2">
        <v>22543</v>
      </c>
      <c r="F879">
        <f>HYPERLINK("https://www2.assemblee-nationale.fr/sycomore/fiche/(num_dept)/1499", "1499.0")</f>
        <v>0</v>
      </c>
      <c r="H879">
        <f>HYPERLINK("https://www.wikidata.org/wiki/Q3270797", "Q3270797")</f>
        <v>0</v>
      </c>
    </row>
    <row r="880" spans="1:8">
      <c r="A880" t="s">
        <v>886</v>
      </c>
      <c r="B880" t="s">
        <v>5773</v>
      </c>
      <c r="C880" t="s">
        <v>7782</v>
      </c>
      <c r="D880" t="s">
        <v>12227</v>
      </c>
      <c r="E880" s="2">
        <v>20147</v>
      </c>
      <c r="F880">
        <f>HYPERLINK("https://www2.assemblee-nationale.fr/sycomore/fiche/(num_dept)/1500", "1500.0")</f>
        <v>0</v>
      </c>
      <c r="H880">
        <f>HYPERLINK("https://www.wikidata.org/wiki/Q3270798", "Q3270798")</f>
        <v>0</v>
      </c>
    </row>
    <row r="881" spans="1:8">
      <c r="A881" t="s">
        <v>887</v>
      </c>
      <c r="B881" t="s">
        <v>5774</v>
      </c>
      <c r="C881" t="s">
        <v>5096</v>
      </c>
      <c r="D881" t="s">
        <v>12225</v>
      </c>
      <c r="E881" s="2">
        <v>4589</v>
      </c>
      <c r="F881">
        <f>HYPERLINK("https://www2.assemblee-nationale.fr/sycomore/fiche/(num_dept)/1501", "1501.0")</f>
        <v>0</v>
      </c>
      <c r="H881">
        <f>HYPERLINK("https://www.wikidata.org/wiki/Q8322845", "Q8322845")</f>
        <v>0</v>
      </c>
    </row>
    <row r="882" spans="1:8">
      <c r="A882" t="s">
        <v>888</v>
      </c>
      <c r="B882" t="s">
        <v>5775</v>
      </c>
      <c r="C882" t="s">
        <v>9873</v>
      </c>
      <c r="D882" t="s">
        <v>12228</v>
      </c>
      <c r="E882" s="2">
        <v>11982</v>
      </c>
      <c r="F882">
        <f>HYPERLINK("https://www2.assemblee-nationale.fr/sycomore/fiche/(num_dept)/1502", "1502.0")</f>
        <v>0</v>
      </c>
      <c r="H882">
        <f>HYPERLINK("https://www.wikidata.org/wiki/Q2910117", "Q2910117")</f>
        <v>0</v>
      </c>
    </row>
    <row r="883" spans="1:8">
      <c r="A883" t="s">
        <v>889</v>
      </c>
      <c r="B883" t="s">
        <v>5775</v>
      </c>
      <c r="C883" t="s">
        <v>9874</v>
      </c>
      <c r="D883" t="s">
        <v>12229</v>
      </c>
      <c r="E883" s="2">
        <v>23998</v>
      </c>
      <c r="F883">
        <f>HYPERLINK("https://www2.assemblee-nationale.fr/sycomore/fiche/(num_dept)/1504", "1504.0")</f>
        <v>0</v>
      </c>
      <c r="H883">
        <f>HYPERLINK("https://www.wikidata.org/wiki/Q15974209", "Q15974209")</f>
        <v>0</v>
      </c>
    </row>
    <row r="884" spans="1:8">
      <c r="A884" t="s">
        <v>890</v>
      </c>
      <c r="B884" t="s">
        <v>5775</v>
      </c>
      <c r="C884" t="s">
        <v>9875</v>
      </c>
      <c r="D884" t="s">
        <v>12230</v>
      </c>
      <c r="E884" s="2">
        <v>21735</v>
      </c>
      <c r="F884">
        <f>HYPERLINK("https://www2.assemblee-nationale.fr/sycomore/fiche/(num_dept)/1505", "1505.0")</f>
        <v>0</v>
      </c>
      <c r="H884">
        <f>HYPERLINK("https://www.wikidata.org/wiki/Q3496715", "Q3496715")</f>
        <v>0</v>
      </c>
    </row>
    <row r="885" spans="1:8">
      <c r="A885" t="s">
        <v>891</v>
      </c>
      <c r="B885" t="s">
        <v>5776</v>
      </c>
      <c r="C885" t="s">
        <v>9876</v>
      </c>
      <c r="D885" t="s">
        <v>12231</v>
      </c>
      <c r="E885" s="2">
        <v>3376</v>
      </c>
      <c r="F885">
        <f>HYPERLINK("https://www2.assemblee-nationale.fr/sycomore/fiche/(num_dept)/1509", "1509.0")</f>
        <v>0</v>
      </c>
      <c r="H885">
        <f>HYPERLINK("https://www.wikidata.org/wiki/Q3271623", "Q3271623")</f>
        <v>0</v>
      </c>
    </row>
    <row r="886" spans="1:8">
      <c r="A886" t="s">
        <v>892</v>
      </c>
      <c r="B886" t="s">
        <v>5776</v>
      </c>
      <c r="C886" t="s">
        <v>9877</v>
      </c>
      <c r="D886" t="s">
        <v>12232</v>
      </c>
      <c r="E886" s="2">
        <v>16149</v>
      </c>
      <c r="F886">
        <f>HYPERLINK("https://www2.assemblee-nationale.fr/sycomore/fiche/(num_dept)/1508", "1508.0")</f>
        <v>0</v>
      </c>
      <c r="H886">
        <f>HYPERLINK("https://www.wikidata.org/wiki/Q1079578", "Q1079578")</f>
        <v>0</v>
      </c>
    </row>
    <row r="887" spans="1:8">
      <c r="A887" t="s">
        <v>893</v>
      </c>
      <c r="B887" t="s">
        <v>5776</v>
      </c>
      <c r="C887" t="s">
        <v>9878</v>
      </c>
      <c r="D887" t="s">
        <v>12233</v>
      </c>
      <c r="E887" s="2">
        <v>15735</v>
      </c>
      <c r="F887">
        <f>HYPERLINK("https://www2.assemblee-nationale.fr/sycomore/fiche/(num_dept)/1507", "1507.0")</f>
        <v>0</v>
      </c>
      <c r="H887">
        <f>HYPERLINK("https://www.wikidata.org/wiki/Q15974417", "Q15974417")</f>
        <v>0</v>
      </c>
    </row>
    <row r="888" spans="1:8">
      <c r="A888" t="s">
        <v>894</v>
      </c>
      <c r="B888" t="s">
        <v>5777</v>
      </c>
      <c r="C888" t="s">
        <v>9879</v>
      </c>
      <c r="D888" t="s">
        <v>12234</v>
      </c>
      <c r="E888" s="2">
        <v>6781</v>
      </c>
      <c r="F888">
        <f>HYPERLINK("https://www2.assemblee-nationale.fr/sycomore/fiche/(num_dept)/1511", "1511.0")</f>
        <v>0</v>
      </c>
      <c r="H888">
        <f>HYPERLINK("https://www.wikidata.org/wiki/Q15974170", "Q15974170")</f>
        <v>0</v>
      </c>
    </row>
    <row r="889" spans="1:8">
      <c r="A889" t="s">
        <v>895</v>
      </c>
      <c r="B889" t="s">
        <v>5778</v>
      </c>
      <c r="C889" t="s">
        <v>7233</v>
      </c>
      <c r="D889" t="s">
        <v>12235</v>
      </c>
      <c r="E889" s="2">
        <v>10065</v>
      </c>
      <c r="F889">
        <f>HYPERLINK("https://www2.assemblee-nationale.fr/sycomore/fiche/(num_dept)/1512", "1512.0")</f>
        <v>0</v>
      </c>
      <c r="G889">
        <f>HYPERLINK("https://www.senat.fr/senateur-3eme-republique/castillard_henri0222r3.html", "castillard_henri0222r3")</f>
        <v>0</v>
      </c>
      <c r="H889">
        <f>HYPERLINK("https://www.wikidata.org/wiki/Q3130800", "Q3130800")</f>
        <v>0</v>
      </c>
    </row>
    <row r="890" spans="1:8">
      <c r="A890" t="s">
        <v>896</v>
      </c>
      <c r="B890" t="s">
        <v>5779</v>
      </c>
      <c r="C890" t="s">
        <v>9880</v>
      </c>
      <c r="D890" t="s">
        <v>12236</v>
      </c>
      <c r="E890" s="2">
        <v>6756</v>
      </c>
      <c r="F890">
        <f>HYPERLINK("https://www2.assemblee-nationale.fr/sycomore/fiche/(num_dept)/2581", "2581.0")</f>
        <v>0</v>
      </c>
      <c r="H890">
        <f>HYPERLINK("https://www.wikidata.org/wiki/Q3158769", "Q3158769")</f>
        <v>0</v>
      </c>
    </row>
    <row r="891" spans="1:8">
      <c r="A891" t="s">
        <v>897</v>
      </c>
      <c r="B891" t="s">
        <v>5780</v>
      </c>
      <c r="C891" t="s">
        <v>9881</v>
      </c>
      <c r="D891" t="s">
        <v>12237</v>
      </c>
      <c r="E891" s="2">
        <v>18976</v>
      </c>
      <c r="F891">
        <f>HYPERLINK("https://www2.assemblee-nationale.fr/sycomore/fiche/(num_dept)/1515", "1515.0")</f>
        <v>0</v>
      </c>
      <c r="H891">
        <f>HYPERLINK("https://www.wikidata.org/wiki/Q2934881", "Q2934881")</f>
        <v>0</v>
      </c>
    </row>
    <row r="892" spans="1:8">
      <c r="A892" t="s">
        <v>898</v>
      </c>
      <c r="B892" t="s">
        <v>5781</v>
      </c>
      <c r="C892" t="s">
        <v>9882</v>
      </c>
      <c r="D892" t="s">
        <v>12238</v>
      </c>
      <c r="E892" s="2">
        <v>12698</v>
      </c>
      <c r="F892">
        <f>HYPERLINK("https://www2.assemblee-nationale.fr/sycomore/fiche/(num_dept)/1517", "1517.0")</f>
        <v>0</v>
      </c>
      <c r="G892">
        <f>HYPERLINK("https://www.senat.fr/senateur-3eme-republique/catalogne_jacques1059r3.html", "catalogne_jacques1059r3")</f>
        <v>0</v>
      </c>
      <c r="H892">
        <f>HYPERLINK("https://www.wikidata.org/wiki/Q3012747", "Q3012747")</f>
        <v>0</v>
      </c>
    </row>
    <row r="893" spans="1:8">
      <c r="A893" t="s">
        <v>899</v>
      </c>
      <c r="B893" t="s">
        <v>5782</v>
      </c>
      <c r="C893" t="s">
        <v>9883</v>
      </c>
      <c r="D893" t="s">
        <v>12239</v>
      </c>
      <c r="E893" s="2">
        <v>17375</v>
      </c>
      <c r="F893">
        <f>HYPERLINK("https://www2.assemblee-nationale.fr/sycomore/fiche/(num_dept)/1521", "1521.0")</f>
        <v>0</v>
      </c>
      <c r="H893">
        <f>HYPERLINK("https://www.wikidata.org/wiki/Q1921652", "Q1921652")</f>
        <v>0</v>
      </c>
    </row>
    <row r="894" spans="1:8">
      <c r="A894" t="s">
        <v>900</v>
      </c>
      <c r="B894" t="s">
        <v>5783</v>
      </c>
      <c r="C894" t="s">
        <v>9884</v>
      </c>
      <c r="D894" t="s">
        <v>12240</v>
      </c>
      <c r="E894" s="2">
        <v>16149</v>
      </c>
      <c r="F894">
        <f>HYPERLINK("https://www2.assemblee-nationale.fr/sycomore/fiche/(num_dept)/1529", "1529.0")</f>
        <v>0</v>
      </c>
      <c r="H894">
        <f>HYPERLINK("https://www.wikidata.org/wiki/Q15974171", "Q15974171")</f>
        <v>0</v>
      </c>
    </row>
    <row r="895" spans="1:8">
      <c r="A895" t="s">
        <v>901</v>
      </c>
      <c r="B895" t="s">
        <v>5784</v>
      </c>
      <c r="C895" t="s">
        <v>9885</v>
      </c>
      <c r="D895" t="s">
        <v>12241</v>
      </c>
      <c r="E895" s="2">
        <v>22520</v>
      </c>
      <c r="F895">
        <f>HYPERLINK("https://www2.assemblee-nationale.fr/sycomore/fiche/(num_dept)/1531", "1531.0")</f>
        <v>0</v>
      </c>
      <c r="H895">
        <f>HYPERLINK("https://www.wikidata.org/wiki/Q15974215", "Q15974215")</f>
        <v>0</v>
      </c>
    </row>
    <row r="896" spans="1:8">
      <c r="A896" t="s">
        <v>902</v>
      </c>
      <c r="B896" t="s">
        <v>5785</v>
      </c>
      <c r="C896" t="s">
        <v>9851</v>
      </c>
      <c r="D896" t="s">
        <v>12242</v>
      </c>
      <c r="E896" s="2">
        <v>8752</v>
      </c>
      <c r="F896">
        <f>HYPERLINK("https://www2.assemblee-nationale.fr/sycomore/fiche/(num_dept)/8126", "8126.0")</f>
        <v>0</v>
      </c>
      <c r="H896">
        <f>HYPERLINK("https://www.wikidata.org/wiki/Q3136036", "Q3136036")</f>
        <v>0</v>
      </c>
    </row>
    <row r="897" spans="1:8">
      <c r="A897" t="s">
        <v>903</v>
      </c>
      <c r="B897" t="s">
        <v>5786</v>
      </c>
      <c r="C897" t="s">
        <v>9430</v>
      </c>
      <c r="D897" t="s">
        <v>12243</v>
      </c>
      <c r="E897" s="2">
        <v>10206</v>
      </c>
      <c r="F897">
        <f>HYPERLINK("https://www2.assemblee-nationale.fr/sycomore/fiche/(num_dept)/1534", "1534.0")</f>
        <v>0</v>
      </c>
      <c r="H897">
        <f>HYPERLINK("https://www.wikidata.org/wiki/Q15974258", "Q15974258")</f>
        <v>0</v>
      </c>
    </row>
    <row r="898" spans="1:8">
      <c r="A898" t="s">
        <v>904</v>
      </c>
      <c r="B898" t="s">
        <v>5787</v>
      </c>
      <c r="C898" t="s">
        <v>9355</v>
      </c>
      <c r="D898" t="s">
        <v>12244</v>
      </c>
      <c r="E898" s="2">
        <v>9434</v>
      </c>
      <c r="F898">
        <f>HYPERLINK("https://www2.assemblee-nationale.fr/sycomore/fiche/(num_dept)/1535", "1535.0")</f>
        <v>0</v>
      </c>
      <c r="H898">
        <f>HYPERLINK("https://www.wikidata.org/wiki/Q16025424", "Q16025424")</f>
        <v>0</v>
      </c>
    </row>
    <row r="899" spans="1:8">
      <c r="A899" t="s">
        <v>905</v>
      </c>
      <c r="B899" t="s">
        <v>5788</v>
      </c>
      <c r="C899" t="s">
        <v>9352</v>
      </c>
      <c r="D899" t="s">
        <v>12245</v>
      </c>
      <c r="E899" s="2">
        <v>25490</v>
      </c>
      <c r="F899">
        <f>HYPERLINK("https://www2.assemblee-nationale.fr/sycomore/fiche/(num_dept)/1536", "1536.0")</f>
        <v>0</v>
      </c>
      <c r="G899">
        <f>HYPERLINK("https://www.senat.fr/senateur-3eme-republique/cautru_camille0339r3.html", "cautru_camille0339r3")</f>
        <v>0</v>
      </c>
      <c r="H899">
        <f>HYPERLINK("https://www.wikidata.org/wiki/Q2934880", "Q2934880")</f>
        <v>0</v>
      </c>
    </row>
    <row r="900" spans="1:8">
      <c r="A900" t="s">
        <v>906</v>
      </c>
      <c r="B900" t="s">
        <v>5789</v>
      </c>
      <c r="C900" t="s">
        <v>9332</v>
      </c>
      <c r="D900" t="s">
        <v>12246</v>
      </c>
      <c r="E900" s="2">
        <v>8391</v>
      </c>
      <c r="F900">
        <f>HYPERLINK("https://www2.assemblee-nationale.fr/sycomore/fiche/(num_dept)/1538", "1538.0")</f>
        <v>0</v>
      </c>
      <c r="G900">
        <f>HYPERLINK("https://www.senat.fr/senateur-3eme-republique/cauvin_ernest1658r3.html", "cauvin_ernest1658r3")</f>
        <v>0</v>
      </c>
      <c r="H900">
        <f>HYPERLINK("https://www.wikidata.org/wiki/Q3056877", "Q3056877")</f>
        <v>0</v>
      </c>
    </row>
    <row r="901" spans="1:8">
      <c r="A901" t="s">
        <v>907</v>
      </c>
      <c r="B901" t="s">
        <v>5790</v>
      </c>
      <c r="C901" t="s">
        <v>9886</v>
      </c>
      <c r="D901" t="s">
        <v>12247</v>
      </c>
      <c r="E901" s="2">
        <v>2094</v>
      </c>
      <c r="F901">
        <f>HYPERLINK("https://www2.assemblee-nationale.fr/sycomore/fiche/(num_dept)/1539", "1539.0")</f>
        <v>0</v>
      </c>
      <c r="H901">
        <f>HYPERLINK("https://www.wikidata.org/wiki/Q573739", "Q573739")</f>
        <v>0</v>
      </c>
    </row>
    <row r="902" spans="1:8">
      <c r="A902" t="s">
        <v>908</v>
      </c>
      <c r="B902" t="s">
        <v>5791</v>
      </c>
      <c r="C902" t="s">
        <v>9887</v>
      </c>
      <c r="D902" t="s">
        <v>12248</v>
      </c>
      <c r="E902" s="2">
        <v>5967</v>
      </c>
      <c r="F902">
        <f>HYPERLINK("https://www2.assemblee-nationale.fr/sycomore/fiche/(num_dept)/1541", "1541.0")</f>
        <v>0</v>
      </c>
      <c r="H902">
        <f>HYPERLINK("https://www.wikidata.org/wiki/Q15974252", "Q15974252")</f>
        <v>0</v>
      </c>
    </row>
    <row r="903" spans="1:8">
      <c r="A903" t="s">
        <v>909</v>
      </c>
      <c r="B903" t="s">
        <v>5792</v>
      </c>
      <c r="C903" t="s">
        <v>9482</v>
      </c>
      <c r="D903" t="s">
        <v>12249</v>
      </c>
      <c r="E903" s="2">
        <v>20965</v>
      </c>
      <c r="G903">
        <f>HYPERLINK("https://www.senat.fr/senateur-3eme-republique/cavillon_edmond1697r3.html", "cavillon_edmond1697r3")</f>
        <v>0</v>
      </c>
      <c r="H903">
        <f>HYPERLINK("https://www.wikidata.org/wiki/Q3047778", "Q3047778")</f>
        <v>0</v>
      </c>
    </row>
    <row r="904" spans="1:8">
      <c r="A904" t="s">
        <v>910</v>
      </c>
      <c r="B904" t="s">
        <v>5793</v>
      </c>
      <c r="C904" t="s">
        <v>9888</v>
      </c>
      <c r="D904" t="s">
        <v>12250</v>
      </c>
      <c r="E904" t="s">
        <v>15928</v>
      </c>
      <c r="F904">
        <f>HYPERLINK("https://www2.assemblee-nationale.fr/sycomore/fiche/(num_dept)/8076", "8076.0")</f>
        <v>0</v>
      </c>
      <c r="H904">
        <f>HYPERLINK("https://www.wikidata.org/wiki/Q15974247", "Q15974247")</f>
        <v>0</v>
      </c>
    </row>
    <row r="905" spans="1:8">
      <c r="A905" t="s">
        <v>911</v>
      </c>
      <c r="B905" t="s">
        <v>5794</v>
      </c>
      <c r="C905" t="s">
        <v>9889</v>
      </c>
      <c r="D905" t="s">
        <v>12251</v>
      </c>
      <c r="E905" s="2">
        <v>25824</v>
      </c>
      <c r="F905">
        <f>HYPERLINK("https://www2.assemblee-nationale.fr/sycomore/fiche/(num_dept)/1546", "1546.0")</f>
        <v>0</v>
      </c>
      <c r="H905">
        <f>HYPERLINK("https://www.wikidata.org/wiki/Q2853775", "Q2853775")</f>
        <v>0</v>
      </c>
    </row>
    <row r="906" spans="1:8">
      <c r="A906" t="s">
        <v>912</v>
      </c>
      <c r="B906" t="s">
        <v>5795</v>
      </c>
      <c r="C906" t="s">
        <v>7754</v>
      </c>
      <c r="D906" t="s">
        <v>12252</v>
      </c>
      <c r="E906" t="s">
        <v>15929</v>
      </c>
      <c r="G906">
        <f>HYPERLINK("https://www.senat.fr/senateur-3eme-republique/cazalas_louis1076r3.html", "cazalas_louis1076r3")</f>
        <v>0</v>
      </c>
      <c r="H906">
        <f>HYPERLINK("https://www.wikidata.org/wiki/Q3261448", "Q3261448")</f>
        <v>0</v>
      </c>
    </row>
    <row r="907" spans="1:8">
      <c r="A907" t="s">
        <v>913</v>
      </c>
      <c r="B907" t="s">
        <v>5796</v>
      </c>
      <c r="C907" t="s">
        <v>9324</v>
      </c>
      <c r="D907" t="s">
        <v>12253</v>
      </c>
      <c r="E907" s="2">
        <v>16171</v>
      </c>
      <c r="F907">
        <f>HYPERLINK("https://www2.assemblee-nationale.fr/sycomore/fiche/(num_dept)/1548", "1548.0")</f>
        <v>0</v>
      </c>
      <c r="H907">
        <f>HYPERLINK("https://www.wikidata.org/wiki/Q15974239", "Q15974239")</f>
        <v>0</v>
      </c>
    </row>
    <row r="908" spans="1:8">
      <c r="A908" t="s">
        <v>914</v>
      </c>
      <c r="B908" t="s">
        <v>5797</v>
      </c>
      <c r="C908" t="s">
        <v>9890</v>
      </c>
      <c r="D908" t="s">
        <v>12254</v>
      </c>
      <c r="E908" s="2">
        <v>16806</v>
      </c>
      <c r="F908">
        <f>HYPERLINK("https://www2.assemblee-nationale.fr/sycomore/fiche/(num_dept)/1551", "1551.0")</f>
        <v>0</v>
      </c>
      <c r="H908">
        <f>HYPERLINK("https://www.wikidata.org/wiki/Q14613510", "Q14613510")</f>
        <v>0</v>
      </c>
    </row>
    <row r="909" spans="1:8">
      <c r="A909" t="s">
        <v>915</v>
      </c>
      <c r="B909" t="s">
        <v>5797</v>
      </c>
      <c r="C909" t="s">
        <v>8208</v>
      </c>
      <c r="D909" t="s">
        <v>12255</v>
      </c>
      <c r="E909" s="2">
        <v>15461</v>
      </c>
      <c r="F909">
        <f>HYPERLINK("https://www2.assemblee-nationale.fr/sycomore/fiche/(num_dept)/1550", "1550.0")</f>
        <v>0</v>
      </c>
      <c r="G909">
        <f>HYPERLINK("https://www.senat.fr/senateur-3eme-republique/cazals_noel0372r3.html", "cazals_noel0372r3")</f>
        <v>0</v>
      </c>
      <c r="H909">
        <f>HYPERLINK("https://www.wikidata.org/wiki/Q3345784", "Q3345784")</f>
        <v>0</v>
      </c>
    </row>
    <row r="910" spans="1:8">
      <c r="A910" t="s">
        <v>916</v>
      </c>
      <c r="B910" t="s">
        <v>5798</v>
      </c>
      <c r="C910" t="s">
        <v>7549</v>
      </c>
      <c r="D910" t="s">
        <v>12256</v>
      </c>
      <c r="E910" s="2">
        <v>10298</v>
      </c>
      <c r="F910">
        <f>HYPERLINK("https://www2.assemblee-nationale.fr/sycomore/fiche/(num_dept)/1552", "1552.0")</f>
        <v>0</v>
      </c>
      <c r="H910">
        <f>HYPERLINK("https://www.wikidata.org/wiki/Q12949337", "Q12949337")</f>
        <v>0</v>
      </c>
    </row>
    <row r="911" spans="1:8">
      <c r="A911" t="s">
        <v>917</v>
      </c>
      <c r="B911" t="s">
        <v>5799</v>
      </c>
      <c r="C911" t="s">
        <v>5967</v>
      </c>
      <c r="D911" t="s">
        <v>12257</v>
      </c>
      <c r="E911" s="2">
        <v>18064</v>
      </c>
      <c r="F911">
        <f>HYPERLINK("https://www2.assemblee-nationale.fr/sycomore/fiche/(num_dept)/1553", "1553.0")</f>
        <v>0</v>
      </c>
      <c r="H911">
        <f>HYPERLINK("https://www.wikidata.org/wiki/Q2980581", "Q2980581")</f>
        <v>0</v>
      </c>
    </row>
    <row r="912" spans="1:8">
      <c r="A912" t="s">
        <v>918</v>
      </c>
      <c r="B912" t="s">
        <v>5800</v>
      </c>
      <c r="C912" t="s">
        <v>9891</v>
      </c>
      <c r="D912" t="s">
        <v>12258</v>
      </c>
      <c r="E912" t="s">
        <v>15930</v>
      </c>
      <c r="F912">
        <f>HYPERLINK("https://www2.assemblee-nationale.fr/sycomore/fiche/(num_dept)/1554", "1554.0")</f>
        <v>0</v>
      </c>
      <c r="H912">
        <f>HYPERLINK("https://www.wikidata.org/wiki/Q15974256", "Q15974256")</f>
        <v>0</v>
      </c>
    </row>
    <row r="913" spans="1:8">
      <c r="A913" t="s">
        <v>919</v>
      </c>
      <c r="B913" t="s">
        <v>5800</v>
      </c>
      <c r="C913" t="s">
        <v>9892</v>
      </c>
      <c r="D913" t="s">
        <v>12259</v>
      </c>
      <c r="E913" s="2">
        <v>15305</v>
      </c>
      <c r="F913">
        <f>HYPERLINK("https://www2.assemblee-nationale.fr/sycomore/fiche/(num_dept)/1555", "1555.0")</f>
        <v>0</v>
      </c>
      <c r="H913">
        <f>HYPERLINK("https://www.wikidata.org/wiki/Q15974261", "Q15974261")</f>
        <v>0</v>
      </c>
    </row>
    <row r="914" spans="1:8">
      <c r="A914" t="s">
        <v>920</v>
      </c>
      <c r="B914" t="s">
        <v>5801</v>
      </c>
      <c r="C914" t="s">
        <v>9893</v>
      </c>
      <c r="D914" t="s">
        <v>12260</v>
      </c>
      <c r="E914" s="2">
        <v>2810</v>
      </c>
      <c r="F914">
        <f>HYPERLINK("https://www2.assemblee-nationale.fr/sycomore/fiche/(num_dept)/1556", "1556.0")</f>
        <v>0</v>
      </c>
      <c r="G914">
        <f>HYPERLINK("https://www.senat.fr/senateur-3eme-republique/caze_edmond0102r3.html", "caze_edmond0102r3")</f>
        <v>0</v>
      </c>
      <c r="H914">
        <f>HYPERLINK("https://www.wikidata.org/wiki/Q3047779", "Q3047779")</f>
        <v>0</v>
      </c>
    </row>
    <row r="915" spans="1:8">
      <c r="A915" t="s">
        <v>921</v>
      </c>
      <c r="B915" t="s">
        <v>5802</v>
      </c>
      <c r="C915" t="s">
        <v>9894</v>
      </c>
      <c r="D915" t="s">
        <v>12261</v>
      </c>
      <c r="E915" s="2">
        <v>4334</v>
      </c>
      <c r="F915">
        <f>HYPERLINK("https://www2.assemblee-nationale.fr/sycomore/fiche/(num_dept)/1557", "1557.0")</f>
        <v>0</v>
      </c>
      <c r="H915">
        <f>HYPERLINK("https://www.wikidata.org/wiki/Q11984843", "Q11984843")</f>
        <v>0</v>
      </c>
    </row>
    <row r="916" spans="1:8">
      <c r="A916" t="s">
        <v>922</v>
      </c>
      <c r="B916" t="s">
        <v>5803</v>
      </c>
      <c r="C916" t="s">
        <v>9895</v>
      </c>
      <c r="D916" t="s">
        <v>12262</v>
      </c>
      <c r="E916" s="2">
        <v>3532</v>
      </c>
      <c r="F916">
        <f>HYPERLINK("https://www2.assemblee-nationale.fr/sycomore/fiche/(num_dept)/8060", "8060.0")</f>
        <v>0</v>
      </c>
      <c r="H916">
        <f>HYPERLINK("https://www.wikidata.org/wiki/Q15974232", "Q15974232")</f>
        <v>0</v>
      </c>
    </row>
    <row r="917" spans="1:8">
      <c r="A917" t="s">
        <v>923</v>
      </c>
      <c r="B917" t="s">
        <v>5804</v>
      </c>
      <c r="C917" t="s">
        <v>7342</v>
      </c>
      <c r="D917" t="s">
        <v>12263</v>
      </c>
      <c r="E917" s="2">
        <v>8848</v>
      </c>
      <c r="G917">
        <f>HYPERLINK("https://www.senat.fr/senateur-3eme-republique/cazelles_jean0828r3.html", "cazelles_jean0828r3")</f>
        <v>0</v>
      </c>
      <c r="H917">
        <f>HYPERLINK("https://www.wikidata.org/wiki/Q1685418", "Q1685418")</f>
        <v>0</v>
      </c>
    </row>
    <row r="918" spans="1:8">
      <c r="A918" t="s">
        <v>924</v>
      </c>
      <c r="B918" t="s">
        <v>5805</v>
      </c>
      <c r="C918" t="s">
        <v>9896</v>
      </c>
      <c r="D918" t="s">
        <v>11835</v>
      </c>
      <c r="E918" s="2">
        <v>12508</v>
      </c>
      <c r="F918">
        <f>HYPERLINK("https://www2.assemblee-nationale.fr/sycomore/fiche/(num_dept)/1563", "1563.0")</f>
        <v>0</v>
      </c>
      <c r="G918">
        <f>HYPERLINK("https://www.senat.fr/senateur-3eme-republique/cazeneuve_paul1143r3.html", "cazeneuve_paul1143r3")</f>
        <v>0</v>
      </c>
      <c r="H918">
        <f>HYPERLINK("https://www.wikidata.org/wiki/Q3370828", "Q3370828")</f>
        <v>0</v>
      </c>
    </row>
    <row r="919" spans="1:8">
      <c r="A919" t="s">
        <v>925</v>
      </c>
      <c r="B919" t="s">
        <v>5806</v>
      </c>
      <c r="C919" t="s">
        <v>9043</v>
      </c>
      <c r="D919" t="s">
        <v>12264</v>
      </c>
      <c r="E919" s="2">
        <v>11760</v>
      </c>
      <c r="F919">
        <f>HYPERLINK("https://www2.assemblee-nationale.fr/sycomore/fiche/(num_dept)/1565", "1565.0")</f>
        <v>0</v>
      </c>
      <c r="H919">
        <f>HYPERLINK("https://www.wikidata.org/wiki/Q15974262", "Q15974262")</f>
        <v>0</v>
      </c>
    </row>
    <row r="920" spans="1:8">
      <c r="A920" t="s">
        <v>926</v>
      </c>
      <c r="B920" t="s">
        <v>5807</v>
      </c>
      <c r="C920" t="s">
        <v>9471</v>
      </c>
      <c r="D920" t="s">
        <v>12265</v>
      </c>
      <c r="E920" s="2">
        <v>4715</v>
      </c>
      <c r="G920">
        <f>HYPERLINK("https://www.senat.fr/senateur-3eme-republique/cazot_jules1447r3.html", "cazot_jules1447r3")</f>
        <v>0</v>
      </c>
      <c r="H920">
        <f>HYPERLINK("https://www.wikidata.org/wiki/Q647707", "Q647707")</f>
        <v>0</v>
      </c>
    </row>
    <row r="921" spans="1:8">
      <c r="A921" t="s">
        <v>927</v>
      </c>
      <c r="B921" t="s">
        <v>5808</v>
      </c>
      <c r="C921" t="s">
        <v>9897</v>
      </c>
      <c r="D921" t="s">
        <v>12266</v>
      </c>
      <c r="E921" s="2">
        <v>12855</v>
      </c>
      <c r="F921">
        <f>HYPERLINK("https://www2.assemblee-nationale.fr/sycomore/fiche/(num_dept)/1371", "1371.0")</f>
        <v>0</v>
      </c>
      <c r="H921">
        <f>HYPERLINK("https://www.wikidata.org/wiki/Q15974097", "Q15974097")</f>
        <v>0</v>
      </c>
    </row>
    <row r="922" spans="1:8">
      <c r="A922" t="s">
        <v>928</v>
      </c>
      <c r="B922" t="s">
        <v>5809</v>
      </c>
      <c r="C922" t="s">
        <v>9898</v>
      </c>
      <c r="D922" t="s">
        <v>12267</v>
      </c>
      <c r="E922" t="s">
        <v>15931</v>
      </c>
      <c r="F922">
        <f>HYPERLINK("https://www2.assemblee-nationale.fr/sycomore/fiche/(num_dept)/1567", "1567.0")</f>
        <v>0</v>
      </c>
      <c r="H922">
        <f>HYPERLINK("https://www.wikidata.org/wiki/Q15974233", "Q15974233")</f>
        <v>0</v>
      </c>
    </row>
    <row r="923" spans="1:8">
      <c r="A923" t="s">
        <v>929</v>
      </c>
      <c r="B923" t="s">
        <v>5809</v>
      </c>
      <c r="C923" t="s">
        <v>8269</v>
      </c>
      <c r="D923" t="s">
        <v>12268</v>
      </c>
      <c r="E923" s="2">
        <v>6885</v>
      </c>
      <c r="F923">
        <f>HYPERLINK("https://www2.assemblee-nationale.fr/sycomore/fiche/(num_dept)/1568", "1568.0")</f>
        <v>0</v>
      </c>
      <c r="H923">
        <f>HYPERLINK("https://www.wikidata.org/wiki/Q3367326", "Q3367326")</f>
        <v>0</v>
      </c>
    </row>
    <row r="924" spans="1:8">
      <c r="A924" t="s">
        <v>930</v>
      </c>
      <c r="B924" t="s">
        <v>5810</v>
      </c>
      <c r="C924" t="s">
        <v>9337</v>
      </c>
      <c r="D924" t="s">
        <v>12269</v>
      </c>
      <c r="E924" s="2">
        <v>13183</v>
      </c>
      <c r="F924">
        <f>HYPERLINK("https://www2.assemblee-nationale.fr/sycomore/fiche/(num_dept)/1571", "1571.0")</f>
        <v>0</v>
      </c>
      <c r="H924">
        <f>HYPERLINK("https://www.wikidata.org/wiki/Q2871106", "Q2871106")</f>
        <v>0</v>
      </c>
    </row>
    <row r="925" spans="1:8">
      <c r="A925" t="s">
        <v>931</v>
      </c>
      <c r="B925" t="s">
        <v>5811</v>
      </c>
      <c r="C925" t="s">
        <v>9471</v>
      </c>
      <c r="D925" t="s">
        <v>12270</v>
      </c>
      <c r="E925" s="2">
        <v>14177</v>
      </c>
      <c r="F925">
        <f>HYPERLINK("https://www2.assemblee-nationale.fr/sycomore/fiche/(num_dept)/1572", "1572.0")</f>
        <v>0</v>
      </c>
      <c r="H925">
        <f>HYPERLINK("https://www.wikidata.org/wiki/Q3171180", "Q3171180")</f>
        <v>0</v>
      </c>
    </row>
    <row r="926" spans="1:8">
      <c r="A926" t="s">
        <v>932</v>
      </c>
      <c r="B926" t="s">
        <v>5812</v>
      </c>
      <c r="C926" t="s">
        <v>9355</v>
      </c>
      <c r="D926" t="s">
        <v>12271</v>
      </c>
      <c r="E926" s="2">
        <v>13734</v>
      </c>
      <c r="G926">
        <f>HYPERLINK("https://www.senat.fr/senateur-3eme-republique/cencelme_charles0453r3.html", "cencelme_charles0453r3")</f>
        <v>0</v>
      </c>
      <c r="H926">
        <f>HYPERLINK("https://www.wikidata.org/wiki/Q2958700", "Q2958700")</f>
        <v>0</v>
      </c>
    </row>
    <row r="927" spans="1:8">
      <c r="A927" t="s">
        <v>933</v>
      </c>
      <c r="B927" t="s">
        <v>5813</v>
      </c>
      <c r="C927" t="s">
        <v>9899</v>
      </c>
      <c r="D927" t="s">
        <v>12272</v>
      </c>
      <c r="E927" s="2">
        <v>429</v>
      </c>
      <c r="F927">
        <f>HYPERLINK("https://www2.assemblee-nationale.fr/sycomore/fiche/(num_dept)/7552", "7552.0")</f>
        <v>0</v>
      </c>
      <c r="H927">
        <f>HYPERLINK("https://www.wikidata.org/wiki/Q3426487", "Q3426487")</f>
        <v>0</v>
      </c>
    </row>
    <row r="928" spans="1:8">
      <c r="A928" t="s">
        <v>934</v>
      </c>
      <c r="B928" t="s">
        <v>5814</v>
      </c>
      <c r="C928" t="s">
        <v>9900</v>
      </c>
      <c r="D928" t="s">
        <v>12273</v>
      </c>
      <c r="F928">
        <f>HYPERLINK("https://www2.assemblee-nationale.fr/sycomore/fiche/(num_dept)/1577", "1577.0")</f>
        <v>0</v>
      </c>
      <c r="H928">
        <f>HYPERLINK("https://www.wikidata.org/wiki/Q15974254", "Q15974254")</f>
        <v>0</v>
      </c>
    </row>
    <row r="929" spans="1:8">
      <c r="A929" t="s">
        <v>935</v>
      </c>
      <c r="B929" t="s">
        <v>5815</v>
      </c>
      <c r="C929" t="s">
        <v>9901</v>
      </c>
      <c r="D929" t="s">
        <v>12274</v>
      </c>
      <c r="E929" s="2">
        <v>11439</v>
      </c>
      <c r="G929">
        <f>HYPERLINK("https://www.senat.fr/senateur-3eme-republique/cesbron_fabien1065r3.html", "cesbron_fabien1065r3")</f>
        <v>0</v>
      </c>
      <c r="H929">
        <f>HYPERLINK("https://www.wikidata.org/wiki/Q3063562", "Q3063562")</f>
        <v>0</v>
      </c>
    </row>
    <row r="930" spans="1:8">
      <c r="A930" t="s">
        <v>936</v>
      </c>
      <c r="B930" t="s">
        <v>5816</v>
      </c>
      <c r="C930" t="s">
        <v>9355</v>
      </c>
      <c r="D930" t="s">
        <v>12275</v>
      </c>
      <c r="E930" s="2">
        <v>8674</v>
      </c>
      <c r="G930">
        <f>HYPERLINK("https://www.senat.fr/senateur-3eme-republique/chabert_charles0722r3.html", "chabert_charles0722r3")</f>
        <v>0</v>
      </c>
      <c r="H930">
        <f>HYPERLINK("https://www.wikidata.org/wiki/Q15974227", "Q15974227")</f>
        <v>0</v>
      </c>
    </row>
    <row r="931" spans="1:8">
      <c r="A931" t="s">
        <v>937</v>
      </c>
      <c r="B931" t="s">
        <v>5817</v>
      </c>
      <c r="C931" t="s">
        <v>9362</v>
      </c>
      <c r="D931" t="s">
        <v>12276</v>
      </c>
      <c r="E931" s="2">
        <v>9772</v>
      </c>
      <c r="G931">
        <f>HYPERLINK("https://www.senat.fr/senateur-3eme-republique/chabrie_adrien1726r3.html", "chabrie_adrien1726r3")</f>
        <v>0</v>
      </c>
      <c r="H931">
        <f>HYPERLINK("https://www.wikidata.org/wiki/Q2825138", "Q2825138")</f>
        <v>0</v>
      </c>
    </row>
    <row r="932" spans="1:8">
      <c r="A932" t="s">
        <v>938</v>
      </c>
      <c r="B932" t="s">
        <v>5818</v>
      </c>
      <c r="C932" t="s">
        <v>9344</v>
      </c>
      <c r="D932" t="s">
        <v>12277</v>
      </c>
      <c r="E932" s="2">
        <v>12722</v>
      </c>
      <c r="H932">
        <f>HYPERLINK("https://www.wikidata.org/wiki/Q3010435", "Q3010435")</f>
        <v>0</v>
      </c>
    </row>
    <row r="933" spans="1:8">
      <c r="A933" t="s">
        <v>939</v>
      </c>
      <c r="B933" t="s">
        <v>5819</v>
      </c>
      <c r="C933" t="s">
        <v>7782</v>
      </c>
      <c r="D933" t="s">
        <v>12278</v>
      </c>
      <c r="E933" s="2">
        <v>11170</v>
      </c>
      <c r="G933">
        <f>HYPERLINK("https://www.senat.fr/senateur-3eme-republique/chagnaud_leon0646r3.html", "chagnaud_leon0646r3")</f>
        <v>0</v>
      </c>
      <c r="H933">
        <f>HYPERLINK("https://www.wikidata.org/wiki/Q3270809", "Q3270809")</f>
        <v>0</v>
      </c>
    </row>
    <row r="934" spans="1:8">
      <c r="A934" t="s">
        <v>940</v>
      </c>
      <c r="B934" t="s">
        <v>5820</v>
      </c>
      <c r="C934" t="s">
        <v>9902</v>
      </c>
      <c r="D934" t="s">
        <v>12279</v>
      </c>
      <c r="G934">
        <f>HYPERLINK("https://www.senat.fr/senateur-3eme-republique/chaix_cyprien0074r3.html", "chaix_cyprien0074r3")</f>
        <v>0</v>
      </c>
      <c r="H934">
        <f>HYPERLINK("https://www.wikidata.org/wiki/Q3008869", "Q3008869")</f>
        <v>0</v>
      </c>
    </row>
    <row r="935" spans="1:8">
      <c r="A935" t="s">
        <v>941</v>
      </c>
      <c r="B935" t="s">
        <v>5821</v>
      </c>
      <c r="C935" t="s">
        <v>9773</v>
      </c>
      <c r="D935" t="s">
        <v>12280</v>
      </c>
      <c r="E935" t="s">
        <v>15932</v>
      </c>
      <c r="G935">
        <f>HYPERLINK("https://www.senat.fr/senateur-3eme-republique/chalamet_jean0131r3.html", "chalamet_jean0131r3")</f>
        <v>0</v>
      </c>
      <c r="H935">
        <f>HYPERLINK("https://www.wikidata.org/wiki/Q2865033", "Q2865033")</f>
        <v>0</v>
      </c>
    </row>
    <row r="936" spans="1:8">
      <c r="A936" t="s">
        <v>942</v>
      </c>
      <c r="B936" t="s">
        <v>5822</v>
      </c>
      <c r="C936" t="s">
        <v>9324</v>
      </c>
      <c r="D936" t="s">
        <v>12281</v>
      </c>
      <c r="E936" s="2">
        <v>12921</v>
      </c>
      <c r="G936">
        <f>HYPERLINK("https://www.senat.fr/senateur-3eme-republique/chalamet_henri0144r3.html", "chalamet_henri0144r3")</f>
        <v>0</v>
      </c>
      <c r="H936">
        <f>HYPERLINK("https://www.wikidata.org/wiki/Q3130810", "Q3130810")</f>
        <v>0</v>
      </c>
    </row>
    <row r="937" spans="1:8">
      <c r="A937" t="s">
        <v>943</v>
      </c>
      <c r="B937" t="s">
        <v>5823</v>
      </c>
      <c r="C937" t="s">
        <v>9903</v>
      </c>
      <c r="D937" t="s">
        <v>12282</v>
      </c>
      <c r="E937" t="s">
        <v>15933</v>
      </c>
      <c r="G937">
        <f>HYPERLINK("https://www.senat.fr/senateur-3eme-republique/challemel_lacour_paul0315r3.html", "challemel_lacour_paul0315r3")</f>
        <v>0</v>
      </c>
      <c r="H937">
        <f>HYPERLINK("https://www.wikidata.org/wiki/Q674393", "Q674393")</f>
        <v>0</v>
      </c>
    </row>
    <row r="938" spans="1:8">
      <c r="A938" t="s">
        <v>944</v>
      </c>
      <c r="B938" t="s">
        <v>5824</v>
      </c>
      <c r="C938" t="s">
        <v>7782</v>
      </c>
      <c r="D938" t="s">
        <v>12283</v>
      </c>
      <c r="E938" s="2">
        <v>5439</v>
      </c>
      <c r="G938">
        <f>HYPERLINK("https://www.senat.fr/senateur-3eme-republique/chambige_leon1005r3.html", "chambige_leon1005r3")</f>
        <v>0</v>
      </c>
      <c r="H938">
        <f>HYPERLINK("https://www.wikidata.org/wiki/Q3270812", "Q3270812")</f>
        <v>0</v>
      </c>
    </row>
    <row r="939" spans="1:8">
      <c r="A939" t="s">
        <v>945</v>
      </c>
      <c r="B939" t="s">
        <v>5825</v>
      </c>
      <c r="C939" t="s">
        <v>9337</v>
      </c>
      <c r="D939" t="s">
        <v>12284</v>
      </c>
      <c r="E939" s="2">
        <v>27164</v>
      </c>
      <c r="G939">
        <f>HYPERLINK("https://www.senat.fr/senateur-3eme-republique/chambonnet_auguste0629r3.html", "chambonnet_auguste0629r3")</f>
        <v>0</v>
      </c>
      <c r="H939">
        <f>HYPERLINK("https://www.wikidata.org/wiki/Q2871108", "Q2871108")</f>
        <v>0</v>
      </c>
    </row>
    <row r="940" spans="1:8">
      <c r="A940" t="s">
        <v>946</v>
      </c>
      <c r="B940" t="s">
        <v>5826</v>
      </c>
      <c r="C940" t="s">
        <v>9904</v>
      </c>
      <c r="D940" t="s">
        <v>12285</v>
      </c>
      <c r="E940" s="2">
        <v>2870</v>
      </c>
      <c r="F940">
        <f>HYPERLINK("https://www2.assemblee-nationale.fr/sycomore/fiche/(num_dept)/4174", "4174.0")</f>
        <v>0</v>
      </c>
      <c r="H940">
        <f>HYPERLINK("https://www.wikidata.org/wiki/Q8337317", "Q8337317")</f>
        <v>0</v>
      </c>
    </row>
    <row r="941" spans="1:8">
      <c r="A941" t="s">
        <v>947</v>
      </c>
      <c r="B941" t="s">
        <v>5826</v>
      </c>
      <c r="C941" t="s">
        <v>9905</v>
      </c>
      <c r="D941" t="s">
        <v>12286</v>
      </c>
      <c r="E941" s="2">
        <v>13611</v>
      </c>
      <c r="F941">
        <f>HYPERLINK("https://www2.assemblee-nationale.fr/sycomore/fiche/(num_dept)/4173", "4173.0")</f>
        <v>0</v>
      </c>
      <c r="H941">
        <f>HYPERLINK("https://www.wikidata.org/wiki/Q8326582", "Q8326582")</f>
        <v>0</v>
      </c>
    </row>
    <row r="942" spans="1:8">
      <c r="A942" t="s">
        <v>948</v>
      </c>
      <c r="B942" t="s">
        <v>5826</v>
      </c>
      <c r="C942" t="s">
        <v>9906</v>
      </c>
      <c r="D942" t="s">
        <v>12287</v>
      </c>
      <c r="E942" s="2">
        <v>27538</v>
      </c>
      <c r="F942">
        <f>HYPERLINK("https://www2.assemblee-nationale.fr/sycomore/fiche/(num_dept)/4175", "4175.0")</f>
        <v>0</v>
      </c>
      <c r="H942">
        <f>HYPERLINK("https://www.wikidata.org/wiki/Q3121895", "Q3121895")</f>
        <v>0</v>
      </c>
    </row>
    <row r="943" spans="1:8">
      <c r="A943" t="s">
        <v>949</v>
      </c>
      <c r="B943" t="s">
        <v>5827</v>
      </c>
      <c r="C943" t="s">
        <v>9907</v>
      </c>
      <c r="D943" t="s">
        <v>12288</v>
      </c>
      <c r="E943" s="2">
        <v>19960</v>
      </c>
      <c r="F943">
        <f>HYPERLINK("https://www2.assemblee-nationale.fr/sycomore/fiche/(num_dept)/1623", "1623.0")</f>
        <v>0</v>
      </c>
      <c r="H943">
        <f>HYPERLINK("https://www.wikidata.org/wiki/Q3042196", "Q3042196")</f>
        <v>0</v>
      </c>
    </row>
    <row r="944" spans="1:8">
      <c r="A944" t="s">
        <v>950</v>
      </c>
      <c r="B944" t="s">
        <v>5828</v>
      </c>
      <c r="C944" t="s">
        <v>9908</v>
      </c>
      <c r="D944" t="s">
        <v>12289</v>
      </c>
      <c r="E944" s="2">
        <v>4121</v>
      </c>
      <c r="F944">
        <f>HYPERLINK("https://www2.assemblee-nationale.fr/sycomore/fiche/(num_dept)/1624", "1624.0")</f>
        <v>0</v>
      </c>
      <c r="H944">
        <f>HYPERLINK("https://www.wikidata.org/wiki/Q3345786", "Q3345786")</f>
        <v>0</v>
      </c>
    </row>
    <row r="945" spans="1:8">
      <c r="A945" t="s">
        <v>951</v>
      </c>
      <c r="B945" t="s">
        <v>5829</v>
      </c>
      <c r="C945" t="s">
        <v>9909</v>
      </c>
      <c r="D945" t="s">
        <v>12290</v>
      </c>
      <c r="E945" s="2">
        <v>30675</v>
      </c>
      <c r="F945">
        <f>HYPERLINK("https://www2.assemblee-nationale.fr/sycomore/fiche/(num_dept)/1626", "1626.0")</f>
        <v>0</v>
      </c>
      <c r="H945">
        <f>HYPERLINK("https://www.wikidata.org/wiki/Q3160262", "Q3160262")</f>
        <v>0</v>
      </c>
    </row>
    <row r="946" spans="1:8">
      <c r="A946" t="s">
        <v>952</v>
      </c>
      <c r="B946" t="s">
        <v>5830</v>
      </c>
      <c r="C946" t="s">
        <v>9337</v>
      </c>
      <c r="D946" t="s">
        <v>12291</v>
      </c>
      <c r="E946" s="2">
        <v>17232</v>
      </c>
      <c r="G946">
        <f>HYPERLINK("https://www.senat.fr/senateur-3eme-republique/champetier_de_ribes_auguste0517r4.html", "champetier_de_ribes_auguste0517r4")</f>
        <v>0</v>
      </c>
      <c r="H946">
        <f>HYPERLINK("https://www.wikidata.org/wiki/Q478746", "Q478746")</f>
        <v>0</v>
      </c>
    </row>
    <row r="947" spans="1:8">
      <c r="A947" t="s">
        <v>953</v>
      </c>
      <c r="B947" t="s">
        <v>5831</v>
      </c>
      <c r="C947" t="s">
        <v>9910</v>
      </c>
      <c r="D947" t="s">
        <v>12292</v>
      </c>
      <c r="E947" s="2">
        <v>9865</v>
      </c>
      <c r="F947">
        <f>HYPERLINK("https://www2.assemblee-nationale.fr/sycomore/fiche/(num_dept)/1630", "1630.0")</f>
        <v>0</v>
      </c>
      <c r="H947">
        <f>HYPERLINK("https://www.wikidata.org/wiki/Q15974270", "Q15974270")</f>
        <v>0</v>
      </c>
    </row>
    <row r="948" spans="1:8">
      <c r="A948" t="s">
        <v>954</v>
      </c>
      <c r="B948" t="s">
        <v>5832</v>
      </c>
      <c r="C948" t="s">
        <v>9911</v>
      </c>
      <c r="D948" t="s">
        <v>12293</v>
      </c>
      <c r="E948" t="s">
        <v>15934</v>
      </c>
      <c r="F948">
        <f>HYPERLINK("https://www2.assemblee-nationale.fr/sycomore/fiche/(num_dept)/1632", "1632.0")</f>
        <v>0</v>
      </c>
      <c r="H948">
        <f>HYPERLINK("https://www.wikidata.org/wiki/Q16025635", "Q16025635")</f>
        <v>0</v>
      </c>
    </row>
    <row r="949" spans="1:8">
      <c r="A949" t="s">
        <v>955</v>
      </c>
      <c r="B949" t="s">
        <v>5833</v>
      </c>
      <c r="C949" t="s">
        <v>9912</v>
      </c>
      <c r="D949" t="s">
        <v>12294</v>
      </c>
      <c r="E949" s="2">
        <v>18695</v>
      </c>
      <c r="G949">
        <f>HYPERLINK("https://www.senat.fr/senateur-3eme-republique/chanal_jean0017r3.html", "chanal_jean0017r3")</f>
        <v>0</v>
      </c>
      <c r="H949">
        <f>HYPERLINK("https://www.wikidata.org/wiki/Q3059763", "Q3059763")</f>
        <v>0</v>
      </c>
    </row>
    <row r="950" spans="1:8">
      <c r="A950" t="s">
        <v>956</v>
      </c>
      <c r="B950" t="s">
        <v>5834</v>
      </c>
      <c r="C950" t="s">
        <v>9913</v>
      </c>
      <c r="D950" t="s">
        <v>12294</v>
      </c>
      <c r="E950" s="2">
        <v>18695</v>
      </c>
      <c r="F950">
        <f>HYPERLINK("https://www2.assemblee-nationale.fr/sycomore/fiche/(num_dept)/1634", "1634.0")</f>
        <v>0</v>
      </c>
      <c r="H950">
        <f>HYPERLINK("https://www.wikidata.org/wiki/Q3059763", "Q3059763")</f>
        <v>0</v>
      </c>
    </row>
    <row r="951" spans="1:8">
      <c r="A951" t="s">
        <v>957</v>
      </c>
      <c r="B951" t="s">
        <v>5835</v>
      </c>
      <c r="C951" t="s">
        <v>9914</v>
      </c>
      <c r="D951" t="s">
        <v>12295</v>
      </c>
      <c r="E951" s="2">
        <v>5795</v>
      </c>
      <c r="F951">
        <f>HYPERLINK("https://www2.assemblee-nationale.fr/sycomore/fiche/(num_dept)/1637", "1637.0")</f>
        <v>0</v>
      </c>
      <c r="H951">
        <f>HYPERLINK("https://www.wikidata.org/wiki/Q7122126", "Q7122126")</f>
        <v>0</v>
      </c>
    </row>
    <row r="952" spans="1:8">
      <c r="A952" t="s">
        <v>958</v>
      </c>
      <c r="B952" t="s">
        <v>5836</v>
      </c>
      <c r="C952" t="s">
        <v>9471</v>
      </c>
      <c r="D952" t="s">
        <v>12296</v>
      </c>
      <c r="E952" s="2">
        <v>5488</v>
      </c>
      <c r="H952">
        <f>HYPERLINK("https://www.wikidata.org/wiki/Q481402", "Q481402")</f>
        <v>0</v>
      </c>
    </row>
    <row r="953" spans="1:8">
      <c r="A953" t="s">
        <v>959</v>
      </c>
      <c r="B953" t="s">
        <v>5837</v>
      </c>
      <c r="C953" t="s">
        <v>9915</v>
      </c>
      <c r="D953" t="s">
        <v>12297</v>
      </c>
      <c r="E953" s="2">
        <v>7318</v>
      </c>
      <c r="F953">
        <f>HYPERLINK("https://www2.assemblee-nationale.fr/sycomore/fiche/(num_dept)/1639", "1639.0")</f>
        <v>0</v>
      </c>
      <c r="H953">
        <f>HYPERLINK("https://www.wikidata.org/wiki/Q639017", "Q639017")</f>
        <v>0</v>
      </c>
    </row>
    <row r="954" spans="1:8">
      <c r="A954" t="s">
        <v>960</v>
      </c>
      <c r="B954" t="s">
        <v>5838</v>
      </c>
      <c r="C954" t="s">
        <v>9916</v>
      </c>
      <c r="D954" t="s">
        <v>12298</v>
      </c>
      <c r="E954" s="2">
        <v>8746</v>
      </c>
      <c r="F954">
        <f>HYPERLINK("https://www2.assemblee-nationale.fr/sycomore/fiche/(num_dept)/1640", "1640.0")</f>
        <v>0</v>
      </c>
      <c r="H954">
        <f>HYPERLINK("https://www.wikidata.org/wiki/Q15974297", "Q15974297")</f>
        <v>0</v>
      </c>
    </row>
    <row r="955" spans="1:8">
      <c r="A955" t="s">
        <v>961</v>
      </c>
      <c r="B955" t="s">
        <v>5839</v>
      </c>
      <c r="C955" t="s">
        <v>7342</v>
      </c>
      <c r="D955" t="s">
        <v>12299</v>
      </c>
      <c r="E955" s="2">
        <v>2668</v>
      </c>
      <c r="F955">
        <f>HYPERLINK("https://www2.assemblee-nationale.fr/sycomore/fiche/(num_dept)/7918", "7918.0")</f>
        <v>0</v>
      </c>
      <c r="G955">
        <f>HYPERLINK("https://www.senat.fr/senateur-3eme-republique/chantagrel_jean0998r3.html", "chantagrel_jean0998r3")</f>
        <v>0</v>
      </c>
      <c r="H955">
        <f>HYPERLINK("https://www.wikidata.org/wiki/Q3171215", "Q3171215")</f>
        <v>0</v>
      </c>
    </row>
    <row r="956" spans="1:8">
      <c r="A956" t="s">
        <v>962</v>
      </c>
      <c r="B956" t="s">
        <v>5840</v>
      </c>
      <c r="C956" t="s">
        <v>7549</v>
      </c>
      <c r="D956" t="s">
        <v>12300</v>
      </c>
      <c r="E956" s="2">
        <v>1180</v>
      </c>
      <c r="F956">
        <f>HYPERLINK("https://www2.assemblee-nationale.fr/sycomore/fiche/(num_dept)/1644", "1644.0")</f>
        <v>0</v>
      </c>
      <c r="H956">
        <f>HYPERLINK("https://www.wikidata.org/wiki/Q15974289", "Q15974289")</f>
        <v>0</v>
      </c>
    </row>
    <row r="957" spans="1:8">
      <c r="A957" t="s">
        <v>963</v>
      </c>
      <c r="B957" t="s">
        <v>5841</v>
      </c>
      <c r="C957" t="s">
        <v>9373</v>
      </c>
      <c r="D957" t="s">
        <v>12301</v>
      </c>
      <c r="E957" s="2">
        <v>3436</v>
      </c>
      <c r="F957">
        <f>HYPERLINK("https://www2.assemblee-nationale.fr/sycomore/fiche/(num_dept)/1645", "1645.0")</f>
        <v>0</v>
      </c>
      <c r="G957">
        <f>HYPERLINK("https://www.senat.fr/senateur-3eme-republique/chantemille_joseph0047r3.html", "chantemille_joseph0047r3")</f>
        <v>0</v>
      </c>
      <c r="H957">
        <f>HYPERLINK("https://www.wikidata.org/wiki/Q3184731", "Q3184731")</f>
        <v>0</v>
      </c>
    </row>
    <row r="958" spans="1:8">
      <c r="A958" t="s">
        <v>964</v>
      </c>
      <c r="B958" t="s">
        <v>5842</v>
      </c>
      <c r="C958" t="s">
        <v>9564</v>
      </c>
      <c r="D958" t="s">
        <v>12302</v>
      </c>
      <c r="E958" t="s">
        <v>15935</v>
      </c>
      <c r="G958">
        <f>HYPERLINK("https://www.senat.fr/senateur-3eme-republique/chanzy_alfred1452r3.html", "chanzy_alfred1452r3")</f>
        <v>0</v>
      </c>
      <c r="H958">
        <f>HYPERLINK("https://www.wikidata.org/wiki/Q239760", "Q239760")</f>
        <v>0</v>
      </c>
    </row>
    <row r="959" spans="1:8">
      <c r="A959" t="s">
        <v>965</v>
      </c>
      <c r="B959" t="s">
        <v>5843</v>
      </c>
      <c r="C959" t="s">
        <v>9917</v>
      </c>
      <c r="D959" t="s">
        <v>12303</v>
      </c>
      <c r="E959" s="2">
        <v>14588</v>
      </c>
      <c r="F959">
        <f>HYPERLINK("https://www2.assemblee-nationale.fr/sycomore/fiche/(num_dept)/1648", "1648.0")</f>
        <v>0</v>
      </c>
      <c r="H959">
        <f>HYPERLINK("https://www.wikidata.org/wiki/Q3263418", "Q3263418")</f>
        <v>0</v>
      </c>
    </row>
    <row r="960" spans="1:8">
      <c r="A960" t="s">
        <v>966</v>
      </c>
      <c r="B960" t="s">
        <v>5844</v>
      </c>
      <c r="C960" t="s">
        <v>9918</v>
      </c>
      <c r="D960" t="s">
        <v>12304</v>
      </c>
      <c r="E960" s="2">
        <v>14286</v>
      </c>
      <c r="G960">
        <f>HYPERLINK("https://www.senat.fr/senateur-3eme-republique/chapsal_fernand0417r3.html", "chapsal_fernand0417r3")</f>
        <v>0</v>
      </c>
      <c r="H960">
        <f>HYPERLINK("https://www.wikidata.org/wiki/Q3069075", "Q3069075")</f>
        <v>0</v>
      </c>
    </row>
    <row r="961" spans="1:8">
      <c r="A961" t="s">
        <v>967</v>
      </c>
      <c r="B961" t="s">
        <v>5845</v>
      </c>
      <c r="C961" t="s">
        <v>9503</v>
      </c>
      <c r="D961" t="s">
        <v>12305</v>
      </c>
      <c r="E961" s="2">
        <v>7662</v>
      </c>
      <c r="F961">
        <f>HYPERLINK("https://www2.assemblee-nationale.fr/sycomore/fiche/(num_dept)/1650", "1650.0")</f>
        <v>0</v>
      </c>
      <c r="G961">
        <f>HYPERLINK("https://www.senat.fr/senateur-3eme-republique/chapuis_gustave0947r3.html", "chapuis_gustave0947r3")</f>
        <v>0</v>
      </c>
      <c r="H961">
        <f>HYPERLINK("https://www.wikidata.org/wiki/Q3121135", "Q3121135")</f>
        <v>0</v>
      </c>
    </row>
    <row r="962" spans="1:8">
      <c r="A962" t="s">
        <v>968</v>
      </c>
      <c r="B962" t="s">
        <v>5846</v>
      </c>
      <c r="C962" t="s">
        <v>9368</v>
      </c>
      <c r="D962" t="s">
        <v>12306</v>
      </c>
      <c r="E962" s="2">
        <v>13899</v>
      </c>
      <c r="G962">
        <f>HYPERLINK("https://www.senat.fr/senateur-3eme-republique/charabot_eugene0118r3.html", "charabot_eugene0118r3")</f>
        <v>0</v>
      </c>
      <c r="H962">
        <f>HYPERLINK("https://www.wikidata.org/wiki/Q3059764", "Q3059764")</f>
        <v>0</v>
      </c>
    </row>
    <row r="963" spans="1:8">
      <c r="A963" t="s">
        <v>969</v>
      </c>
      <c r="B963" t="s">
        <v>5847</v>
      </c>
      <c r="C963" t="s">
        <v>9564</v>
      </c>
      <c r="D963" t="s">
        <v>12307</v>
      </c>
      <c r="E963" t="s">
        <v>15936</v>
      </c>
      <c r="G963">
        <f>HYPERLINK("https://www.senat.fr/senateur-3eme-republique/chardon_alfred1311r3.html", "chardon_alfred1311r3")</f>
        <v>0</v>
      </c>
      <c r="H963">
        <f>HYPERLINK("https://www.wikidata.org/wiki/Q2835013", "Q2835013")</f>
        <v>0</v>
      </c>
    </row>
    <row r="964" spans="1:8">
      <c r="A964" t="s">
        <v>970</v>
      </c>
      <c r="B964" t="s">
        <v>5848</v>
      </c>
      <c r="C964" t="s">
        <v>9773</v>
      </c>
      <c r="D964" t="s">
        <v>12184</v>
      </c>
      <c r="E964" s="2">
        <v>9982</v>
      </c>
      <c r="H964">
        <f>HYPERLINK("https://www.wikidata.org/wiki/Q2865038", "Q2865038")</f>
        <v>0</v>
      </c>
    </row>
    <row r="965" spans="1:8">
      <c r="A965" t="s">
        <v>971</v>
      </c>
      <c r="B965" t="s">
        <v>5849</v>
      </c>
      <c r="C965" t="s">
        <v>7754</v>
      </c>
      <c r="D965" t="s">
        <v>12308</v>
      </c>
      <c r="E965" s="2">
        <v>4876</v>
      </c>
      <c r="H965">
        <f>HYPERLINK("https://www.wikidata.org/wiki/Q3261486", "Q3261486")</f>
        <v>0</v>
      </c>
    </row>
    <row r="966" spans="1:8">
      <c r="A966" t="s">
        <v>972</v>
      </c>
      <c r="B966" t="s">
        <v>5850</v>
      </c>
      <c r="C966" t="s">
        <v>9919</v>
      </c>
      <c r="D966" t="s">
        <v>12309</v>
      </c>
      <c r="E966" s="2">
        <v>13373</v>
      </c>
      <c r="F966">
        <f>HYPERLINK("https://www2.assemblee-nationale.fr/sycomore/fiche/(num_dept)/629", "629.0")</f>
        <v>0</v>
      </c>
      <c r="H966">
        <f>HYPERLINK("https://www.wikidata.org/wiki/Q2958523", "Q2958523")</f>
        <v>0</v>
      </c>
    </row>
    <row r="967" spans="1:8">
      <c r="A967" t="s">
        <v>973</v>
      </c>
      <c r="B967" t="s">
        <v>5851</v>
      </c>
      <c r="C967" t="s">
        <v>9920</v>
      </c>
      <c r="D967" t="s">
        <v>12310</v>
      </c>
      <c r="E967" s="2">
        <v>10204</v>
      </c>
      <c r="F967">
        <f>HYPERLINK("https://www2.assemblee-nationale.fr/sycomore/fiche/(num_dept)/681", "681.0")</f>
        <v>0</v>
      </c>
      <c r="H967">
        <f>HYPERLINK("https://www.wikidata.org/wiki/Q13080822", "Q13080822")</f>
        <v>0</v>
      </c>
    </row>
    <row r="968" spans="1:8">
      <c r="A968" t="s">
        <v>974</v>
      </c>
      <c r="B968" t="s">
        <v>5852</v>
      </c>
      <c r="C968" t="s">
        <v>9921</v>
      </c>
      <c r="D968" t="s">
        <v>12311</v>
      </c>
      <c r="E968" s="2">
        <v>9942</v>
      </c>
      <c r="F968">
        <f>HYPERLINK("https://www2.assemblee-nationale.fr/sycomore/fiche/(num_dept)/3552", "3552.0")</f>
        <v>0</v>
      </c>
      <c r="H968">
        <f>HYPERLINK("https://www.wikidata.org/wiki/Q16025806", "Q16025806")</f>
        <v>0</v>
      </c>
    </row>
    <row r="969" spans="1:8">
      <c r="A969" t="s">
        <v>975</v>
      </c>
      <c r="B969" t="s">
        <v>5853</v>
      </c>
      <c r="C969" t="s">
        <v>9922</v>
      </c>
      <c r="D969" t="s">
        <v>12312</v>
      </c>
      <c r="E969" s="2">
        <v>6640</v>
      </c>
      <c r="F969">
        <f>HYPERLINK("https://www2.assemblee-nationale.fr/sycomore/fiche/(num_dept)/6164", "6164.0")</f>
        <v>0</v>
      </c>
      <c r="H969">
        <f>HYPERLINK("https://www.wikidata.org/wiki/Q1711666", "Q1711666")</f>
        <v>0</v>
      </c>
    </row>
    <row r="970" spans="1:8">
      <c r="A970" t="s">
        <v>976</v>
      </c>
      <c r="B970" t="s">
        <v>5854</v>
      </c>
      <c r="C970" t="s">
        <v>9309</v>
      </c>
      <c r="D970" t="s">
        <v>12313</v>
      </c>
      <c r="E970" s="2">
        <v>16815</v>
      </c>
      <c r="H970">
        <f>HYPERLINK("https://www.wikidata.org/wiki/Q3592105", "Q3592105")</f>
        <v>0</v>
      </c>
    </row>
    <row r="971" spans="1:8">
      <c r="A971" t="s">
        <v>977</v>
      </c>
      <c r="B971" t="s">
        <v>5855</v>
      </c>
      <c r="C971" t="s">
        <v>9923</v>
      </c>
      <c r="D971" t="s">
        <v>12314</v>
      </c>
      <c r="E971" s="2">
        <v>5848</v>
      </c>
      <c r="F971">
        <f>HYPERLINK("https://www2.assemblee-nationale.fr/sycomore/fiche/(num_dept)/1672", "1672.0")</f>
        <v>0</v>
      </c>
      <c r="H971">
        <f>HYPERLINK("https://www.wikidata.org/wiki/Q2341785", "Q2341785")</f>
        <v>0</v>
      </c>
    </row>
    <row r="972" spans="1:8">
      <c r="A972" t="s">
        <v>978</v>
      </c>
      <c r="B972" t="s">
        <v>5856</v>
      </c>
      <c r="C972" t="s">
        <v>9858</v>
      </c>
      <c r="D972" t="s">
        <v>12315</v>
      </c>
      <c r="G972">
        <f>HYPERLINK("https://www.senat.fr/senateur-3eme-republique/charmes_francis0370r3.html", "charmes_francis0370r3")</f>
        <v>0</v>
      </c>
      <c r="H972">
        <f>HYPERLINK("https://www.wikidata.org/wiki/Q2341785", "Q2341785")</f>
        <v>0</v>
      </c>
    </row>
    <row r="973" spans="1:8">
      <c r="A973" t="s">
        <v>979</v>
      </c>
      <c r="B973" t="s">
        <v>5857</v>
      </c>
      <c r="C973" t="s">
        <v>9924</v>
      </c>
      <c r="D973" t="s">
        <v>12316</v>
      </c>
      <c r="E973" s="2">
        <v>13424</v>
      </c>
      <c r="F973">
        <f>HYPERLINK("https://www2.assemblee-nationale.fr/sycomore/fiche/(num_dept)/1674", "1674.0")</f>
        <v>0</v>
      </c>
      <c r="H973">
        <f>HYPERLINK("https://www.wikidata.org/wiki/Q15971903", "Q15971903")</f>
        <v>0</v>
      </c>
    </row>
    <row r="974" spans="1:8">
      <c r="A974" t="s">
        <v>980</v>
      </c>
      <c r="B974" t="s">
        <v>5858</v>
      </c>
      <c r="C974" t="s">
        <v>9925</v>
      </c>
      <c r="D974" t="s">
        <v>12317</v>
      </c>
      <c r="E974" s="2">
        <v>10583</v>
      </c>
      <c r="F974">
        <f>HYPERLINK("https://www2.assemblee-nationale.fr/sycomore/fiche/(num_dept)/1675", "1675.0")</f>
        <v>0</v>
      </c>
      <c r="H974">
        <f>HYPERLINK("https://www.wikidata.org/wiki/Q16025426", "Q16025426")</f>
        <v>0</v>
      </c>
    </row>
    <row r="975" spans="1:8">
      <c r="A975" t="s">
        <v>981</v>
      </c>
      <c r="B975" t="s">
        <v>5858</v>
      </c>
      <c r="C975" t="s">
        <v>9926</v>
      </c>
      <c r="D975" t="s">
        <v>12318</v>
      </c>
      <c r="E975" s="2">
        <v>16569</v>
      </c>
      <c r="F975">
        <f>HYPERLINK("https://www2.assemblee-nationale.fr/sycomore/fiche/(num_dept)/1678", "1678.0")</f>
        <v>0</v>
      </c>
      <c r="G975">
        <f>HYPERLINK("https://www.senat.fr/senateur-3eme-republique/charpentier_leon0163r3.html", "charpentier_leon0163r3")</f>
        <v>0</v>
      </c>
      <c r="H975">
        <f>HYPERLINK("https://www.wikidata.org/wiki/Q3270817", "Q3270817")</f>
        <v>0</v>
      </c>
    </row>
    <row r="976" spans="1:8">
      <c r="A976" t="s">
        <v>982</v>
      </c>
      <c r="B976" t="s">
        <v>5859</v>
      </c>
      <c r="C976" t="s">
        <v>9346</v>
      </c>
      <c r="D976" t="s">
        <v>12319</v>
      </c>
      <c r="E976" t="s">
        <v>15937</v>
      </c>
      <c r="G976">
        <f>HYPERLINK("https://www.senat.fr/senateur-3eme-republique/charton_edouard1837r3.html", "charton_edouard1837r3")</f>
        <v>0</v>
      </c>
      <c r="H976">
        <f>HYPERLINK("https://www.wikidata.org/wiki/Q528558", "Q528558")</f>
        <v>0</v>
      </c>
    </row>
    <row r="977" spans="1:8">
      <c r="A977" t="s">
        <v>983</v>
      </c>
      <c r="B977" t="s">
        <v>5860</v>
      </c>
      <c r="C977" t="s">
        <v>9927</v>
      </c>
      <c r="D977" t="s">
        <v>12320</v>
      </c>
      <c r="E977" s="2">
        <v>13182</v>
      </c>
      <c r="F977">
        <f>HYPERLINK("https://www2.assemblee-nationale.fr/sycomore/fiche/(num_dept)/1692", "1692.0")</f>
        <v>0</v>
      </c>
      <c r="H977">
        <f>HYPERLINK("https://www.wikidata.org/wiki/Q3370851", "Q3370851")</f>
        <v>0</v>
      </c>
    </row>
    <row r="978" spans="1:8">
      <c r="A978" t="s">
        <v>984</v>
      </c>
      <c r="B978" t="s">
        <v>5861</v>
      </c>
      <c r="C978" t="s">
        <v>9928</v>
      </c>
      <c r="D978" t="s">
        <v>12321</v>
      </c>
      <c r="E978" s="2">
        <v>3038</v>
      </c>
      <c r="F978">
        <f>HYPERLINK("https://www2.assemblee-nationale.fr/sycomore/fiche/(num_dept)/1694", "1694.0")</f>
        <v>0</v>
      </c>
      <c r="H978">
        <f>HYPERLINK("https://www.wikidata.org/wiki/Q3130344", "Q3130344")</f>
        <v>0</v>
      </c>
    </row>
    <row r="979" spans="1:8">
      <c r="A979" t="s">
        <v>985</v>
      </c>
      <c r="B979" t="s">
        <v>5861</v>
      </c>
      <c r="C979" t="s">
        <v>9929</v>
      </c>
      <c r="D979" t="s">
        <v>12322</v>
      </c>
      <c r="E979" s="2">
        <v>24898</v>
      </c>
      <c r="F979">
        <f>HYPERLINK("https://www2.assemblee-nationale.fr/sycomore/fiche/(num_dept)/1693", "1693.0")</f>
        <v>0</v>
      </c>
      <c r="G979">
        <f>HYPERLINK("https://www.senat.fr/senateur-3eme-republique/chassaing_eugene0995r3.html", "chassaing_eugene0995r3")</f>
        <v>0</v>
      </c>
      <c r="H979">
        <f>HYPERLINK("https://www.wikidata.org/wiki/Q3059770", "Q3059770")</f>
        <v>0</v>
      </c>
    </row>
    <row r="980" spans="1:8">
      <c r="A980" t="s">
        <v>986</v>
      </c>
      <c r="B980" t="s">
        <v>5862</v>
      </c>
      <c r="C980" t="s">
        <v>9930</v>
      </c>
      <c r="D980" t="s">
        <v>12323</v>
      </c>
      <c r="E980" s="2">
        <v>16854</v>
      </c>
      <c r="F980">
        <f>HYPERLINK("https://www2.assemblee-nationale.fr/sycomore/fiche/(num_dept)/1698", "1698.0")</f>
        <v>0</v>
      </c>
      <c r="H980">
        <f>HYPERLINK("https://www.wikidata.org/wiki/Q3166703", "Q3166703")</f>
        <v>0</v>
      </c>
    </row>
    <row r="981" spans="1:8">
      <c r="A981" t="s">
        <v>987</v>
      </c>
      <c r="B981" t="s">
        <v>5863</v>
      </c>
      <c r="C981" t="s">
        <v>9618</v>
      </c>
      <c r="D981" t="s">
        <v>12225</v>
      </c>
      <c r="E981" s="2">
        <v>12255</v>
      </c>
      <c r="G981">
        <f>HYPERLINK("https://www.senat.fr/senateur-3eme-republique/chastenet_de_castaing_guillaume0201r3.html", "chastenet_de_castaing_guillaume0201r3")</f>
        <v>0</v>
      </c>
      <c r="H981">
        <f>HYPERLINK("https://www.wikidata.org/wiki/Q3119745", "Q3119745")</f>
        <v>0</v>
      </c>
    </row>
    <row r="982" spans="1:8">
      <c r="A982" t="s">
        <v>988</v>
      </c>
      <c r="B982" t="s">
        <v>5864</v>
      </c>
      <c r="C982" t="s">
        <v>9931</v>
      </c>
      <c r="D982" t="s">
        <v>12324</v>
      </c>
      <c r="F982">
        <f>HYPERLINK("https://www2.assemblee-nationale.fr/sycomore/fiche/(num_dept)/7919", "7919.0")</f>
        <v>0</v>
      </c>
      <c r="H982">
        <f>HYPERLINK("https://www.wikidata.org/wiki/Q16025762", "Q16025762")</f>
        <v>0</v>
      </c>
    </row>
    <row r="983" spans="1:8">
      <c r="A983" t="s">
        <v>989</v>
      </c>
      <c r="B983" t="s">
        <v>5865</v>
      </c>
      <c r="C983" t="s">
        <v>9932</v>
      </c>
      <c r="D983" t="s">
        <v>12325</v>
      </c>
      <c r="E983" s="2">
        <v>18230</v>
      </c>
      <c r="F983">
        <f>HYPERLINK("https://www2.assemblee-nationale.fr/sycomore/fiche/(num_dept)/1707", "1707.0")</f>
        <v>0</v>
      </c>
      <c r="H983">
        <f>HYPERLINK("https://www.wikidata.org/wiki/Q8323085", "Q8323085")</f>
        <v>0</v>
      </c>
    </row>
    <row r="984" spans="1:8">
      <c r="A984" t="s">
        <v>990</v>
      </c>
      <c r="B984" t="s">
        <v>5866</v>
      </c>
      <c r="C984" t="s">
        <v>6888</v>
      </c>
      <c r="D984" t="s">
        <v>12326</v>
      </c>
      <c r="E984" s="2">
        <v>12743</v>
      </c>
      <c r="G984">
        <f>HYPERLINK("https://www.senat.fr/senateur-3eme-republique/chatteleyn_felix1420r3.html", "chatteleyn_felix1420r3")</f>
        <v>0</v>
      </c>
      <c r="H984">
        <f>HYPERLINK("https://www.wikidata.org/wiki/Q3092400", "Q3092400")</f>
        <v>0</v>
      </c>
    </row>
    <row r="985" spans="1:8">
      <c r="A985" t="s">
        <v>991</v>
      </c>
      <c r="B985" t="s">
        <v>5867</v>
      </c>
      <c r="C985" t="s">
        <v>9933</v>
      </c>
      <c r="D985" t="s">
        <v>12327</v>
      </c>
      <c r="E985" s="2">
        <v>14680</v>
      </c>
      <c r="F985">
        <f>HYPERLINK("https://www2.assemblee-nationale.fr/sycomore/fiche/(num_dept)/1709", "1709.0")</f>
        <v>0</v>
      </c>
      <c r="H985">
        <f>HYPERLINK("https://www.wikidata.org/wiki/Q8323089", "Q8323089")</f>
        <v>0</v>
      </c>
    </row>
    <row r="986" spans="1:8">
      <c r="A986" t="s">
        <v>992</v>
      </c>
      <c r="B986" t="s">
        <v>5868</v>
      </c>
      <c r="C986" t="s">
        <v>9934</v>
      </c>
      <c r="D986" t="s">
        <v>12328</v>
      </c>
      <c r="E986" s="2">
        <v>9187</v>
      </c>
      <c r="F986">
        <f>HYPERLINK("https://www2.assemblee-nationale.fr/sycomore/fiche/(num_dept)/1710", "1710.0")</f>
        <v>0</v>
      </c>
      <c r="H986">
        <f>HYPERLINK("https://www.wikidata.org/wiki/Q16798442", "Q16798442")</f>
        <v>0</v>
      </c>
    </row>
    <row r="987" spans="1:8">
      <c r="A987" t="s">
        <v>993</v>
      </c>
      <c r="B987" t="s">
        <v>5869</v>
      </c>
      <c r="C987" t="s">
        <v>9377</v>
      </c>
      <c r="D987" t="s">
        <v>12329</v>
      </c>
      <c r="E987" t="s">
        <v>15938</v>
      </c>
      <c r="F987">
        <f>HYPERLINK("https://www2.assemblee-nationale.fr/sycomore/fiche/(num_dept)/1712", "1712.0")</f>
        <v>0</v>
      </c>
      <c r="H987">
        <f>HYPERLINK("https://www.wikidata.org/wiki/Q3265425", "Q3265425")</f>
        <v>0</v>
      </c>
    </row>
    <row r="988" spans="1:8">
      <c r="A988" t="s">
        <v>994</v>
      </c>
      <c r="B988" t="s">
        <v>5869</v>
      </c>
      <c r="C988" t="s">
        <v>9935</v>
      </c>
      <c r="D988" t="s">
        <v>12330</v>
      </c>
      <c r="E988" s="2">
        <v>24879</v>
      </c>
      <c r="F988">
        <f>HYPERLINK("https://www2.assemblee-nationale.fr/sycomore/fiche/(num_dept)/1713", "1713.0")</f>
        <v>0</v>
      </c>
      <c r="H988">
        <f>HYPERLINK("https://www.wikidata.org/wiki/Q3171275", "Q3171275")</f>
        <v>0</v>
      </c>
    </row>
    <row r="989" spans="1:8">
      <c r="A989" t="s">
        <v>995</v>
      </c>
      <c r="B989" t="s">
        <v>5870</v>
      </c>
      <c r="C989" t="s">
        <v>9936</v>
      </c>
      <c r="D989" t="s">
        <v>12331</v>
      </c>
      <c r="E989" s="2">
        <v>12756</v>
      </c>
      <c r="F989">
        <f>HYPERLINK("https://www2.assemblee-nationale.fr/sycomore/fiche/(num_dept)/1714", "1714.0")</f>
        <v>0</v>
      </c>
      <c r="H989">
        <f>HYPERLINK("https://www.wikidata.org/wiki/Q16026266", "Q16026266")</f>
        <v>0</v>
      </c>
    </row>
    <row r="990" spans="1:8">
      <c r="A990" t="s">
        <v>996</v>
      </c>
      <c r="B990" t="s">
        <v>5871</v>
      </c>
      <c r="C990" t="s">
        <v>9312</v>
      </c>
      <c r="D990" t="s">
        <v>12332</v>
      </c>
      <c r="E990" s="2">
        <v>11232</v>
      </c>
      <c r="F990">
        <f>HYPERLINK("https://www2.assemblee-nationale.fr/sycomore/fiche/(num_dept)/1715", "1715.0")</f>
        <v>0</v>
      </c>
      <c r="H990">
        <f>HYPERLINK("https://www.wikidata.org/wiki/Q3163949", "Q3163949")</f>
        <v>0</v>
      </c>
    </row>
    <row r="991" spans="1:8">
      <c r="A991" t="s">
        <v>997</v>
      </c>
      <c r="B991" t="s">
        <v>5872</v>
      </c>
      <c r="C991" t="s">
        <v>9937</v>
      </c>
      <c r="D991" t="s">
        <v>12333</v>
      </c>
      <c r="E991" s="2">
        <v>11715</v>
      </c>
      <c r="F991">
        <f>HYPERLINK("https://www2.assemblee-nationale.fr/sycomore/fiche/(num_dept)/1716", "1716.0")</f>
        <v>0</v>
      </c>
      <c r="G991">
        <f>HYPERLINK("https://www.senat.fr/senateur-3eme-republique/chaumet_jean0195r3.html", "chaumet_jean0195r3")</f>
        <v>0</v>
      </c>
      <c r="H991">
        <f>HYPERLINK("https://www.wikidata.org/wiki/Q2958718", "Q2958718")</f>
        <v>0</v>
      </c>
    </row>
    <row r="992" spans="1:8">
      <c r="A992" t="s">
        <v>998</v>
      </c>
      <c r="B992" t="s">
        <v>5873</v>
      </c>
      <c r="C992" t="s">
        <v>9938</v>
      </c>
      <c r="D992" t="s">
        <v>12334</v>
      </c>
      <c r="E992" s="2">
        <v>7916</v>
      </c>
      <c r="F992">
        <f>HYPERLINK("https://www2.assemblee-nationale.fr/sycomore/fiche/(num_dept)/1978", "1978.0")</f>
        <v>0</v>
      </c>
      <c r="H992">
        <f>HYPERLINK("https://www.wikidata.org/wiki/Q3588430", "Q3588430")</f>
        <v>0</v>
      </c>
    </row>
    <row r="993" spans="1:8">
      <c r="A993" t="s">
        <v>999</v>
      </c>
      <c r="B993" t="s">
        <v>5873</v>
      </c>
      <c r="C993" t="s">
        <v>9939</v>
      </c>
      <c r="D993" t="s">
        <v>12335</v>
      </c>
      <c r="E993" s="2">
        <v>13922</v>
      </c>
      <c r="F993">
        <f>HYPERLINK("https://www2.assemblee-nationale.fr/sycomore/fiche/(num_dept)/1979", "1979.0")</f>
        <v>0</v>
      </c>
      <c r="H993">
        <f>HYPERLINK("https://www.wikidata.org/wiki/Q3140215", "Q3140215")</f>
        <v>0</v>
      </c>
    </row>
    <row r="994" spans="1:8">
      <c r="A994" t="s">
        <v>1000</v>
      </c>
      <c r="B994" t="s">
        <v>5874</v>
      </c>
      <c r="C994" t="s">
        <v>9373</v>
      </c>
      <c r="D994" t="s">
        <v>12336</v>
      </c>
      <c r="E994" s="2">
        <v>7139</v>
      </c>
      <c r="G994">
        <f>HYPERLINK("https://www.senat.fr/senateur-3eme-republique/chaumie_joseph0747r3.html", "chaumie_joseph0747r3")</f>
        <v>0</v>
      </c>
      <c r="H994">
        <f>HYPERLINK("https://www.wikidata.org/wiki/Q3184755", "Q3184755")</f>
        <v>0</v>
      </c>
    </row>
    <row r="995" spans="1:8">
      <c r="A995" t="s">
        <v>1001</v>
      </c>
      <c r="B995" t="s">
        <v>5874</v>
      </c>
      <c r="C995" t="s">
        <v>8384</v>
      </c>
      <c r="D995" t="s">
        <v>12337</v>
      </c>
      <c r="E995" s="2">
        <v>24271</v>
      </c>
      <c r="G995">
        <f>HYPERLINK("https://www.senat.fr/senateur-3eme-republique/chaumie_pierre0741r3.html", "chaumie_pierre0741r3")</f>
        <v>0</v>
      </c>
      <c r="H995">
        <f>HYPERLINK("https://www.wikidata.org/wiki/Q3384407", "Q3384407")</f>
        <v>0</v>
      </c>
    </row>
    <row r="996" spans="1:8">
      <c r="A996" t="s">
        <v>1002</v>
      </c>
      <c r="B996" t="s">
        <v>5875</v>
      </c>
      <c r="C996" t="s">
        <v>9373</v>
      </c>
      <c r="D996" t="s">
        <v>12336</v>
      </c>
      <c r="E996" s="2">
        <v>7140</v>
      </c>
      <c r="H996">
        <f>HYPERLINK("https://www.wikidata.org/wiki/Q3184755", "Q3184755")</f>
        <v>0</v>
      </c>
    </row>
    <row r="997" spans="1:8">
      <c r="A997" t="s">
        <v>1003</v>
      </c>
      <c r="B997" t="s">
        <v>5875</v>
      </c>
      <c r="C997" t="s">
        <v>9940</v>
      </c>
      <c r="D997" t="s">
        <v>12338</v>
      </c>
      <c r="E997" s="2">
        <v>7579</v>
      </c>
      <c r="F997">
        <f>HYPERLINK("https://www2.assemblee-nationale.fr/sycomore/fiche/(num_dept)/1718", "1718.0")</f>
        <v>0</v>
      </c>
      <c r="H997">
        <f>HYPERLINK("https://www.wikidata.org/wiki/Q16025432", "Q16025432")</f>
        <v>0</v>
      </c>
    </row>
    <row r="998" spans="1:8">
      <c r="A998" t="s">
        <v>1004</v>
      </c>
      <c r="B998" t="s">
        <v>5875</v>
      </c>
      <c r="C998" t="s">
        <v>9941</v>
      </c>
      <c r="D998" t="s">
        <v>12339</v>
      </c>
      <c r="E998" s="2">
        <v>12434</v>
      </c>
      <c r="F998">
        <f>HYPERLINK("https://www2.assemblee-nationale.fr/sycomore/fiche/(num_dept)/1717", "1717.0")</f>
        <v>0</v>
      </c>
      <c r="H998">
        <f>HYPERLINK("https://www.wikidata.org/wiki/Q16025431", "Q16025431")</f>
        <v>0</v>
      </c>
    </row>
    <row r="999" spans="1:8">
      <c r="A999" t="s">
        <v>1005</v>
      </c>
      <c r="B999" t="s">
        <v>5876</v>
      </c>
      <c r="C999" t="s">
        <v>7754</v>
      </c>
      <c r="D999" t="s">
        <v>12340</v>
      </c>
      <c r="E999" t="s">
        <v>15939</v>
      </c>
      <c r="G999">
        <f>HYPERLINK("https://www.senat.fr/senateur-3eme-republique/chaumontel_louis1306r3.html", "chaumontel_louis1306r3")</f>
        <v>0</v>
      </c>
      <c r="H999">
        <f>HYPERLINK("https://www.wikidata.org/wiki/Q3261508", "Q3261508")</f>
        <v>0</v>
      </c>
    </row>
    <row r="1000" spans="1:8">
      <c r="A1000" t="s">
        <v>1006</v>
      </c>
      <c r="B1000" t="s">
        <v>5877</v>
      </c>
      <c r="C1000" t="s">
        <v>7314</v>
      </c>
      <c r="D1000" t="s">
        <v>12341</v>
      </c>
      <c r="E1000" s="2">
        <v>5352</v>
      </c>
      <c r="F1000">
        <f>HYPERLINK("https://www2.assemblee-nationale.fr/sycomore/fiche/(num_dept)/1720", "1720.0")</f>
        <v>0</v>
      </c>
      <c r="H1000">
        <f>HYPERLINK("https://www.wikidata.org/wiki/Q16025433", "Q16025433")</f>
        <v>0</v>
      </c>
    </row>
    <row r="1001" spans="1:8">
      <c r="A1001" t="s">
        <v>1007</v>
      </c>
      <c r="B1001" t="s">
        <v>5878</v>
      </c>
      <c r="C1001" t="s">
        <v>9942</v>
      </c>
      <c r="D1001" t="s">
        <v>12342</v>
      </c>
      <c r="E1001" s="2">
        <v>16799</v>
      </c>
      <c r="F1001">
        <f>HYPERLINK("https://www2.assemblee-nationale.fr/sycomore/fiche/(num_dept)/1722", "1722.0")</f>
        <v>0</v>
      </c>
      <c r="H1001">
        <f>HYPERLINK("https://www.wikidata.org/wiki/Q2865047", "Q2865047")</f>
        <v>0</v>
      </c>
    </row>
    <row r="1002" spans="1:8">
      <c r="A1002" t="s">
        <v>1008</v>
      </c>
      <c r="B1002" t="s">
        <v>5879</v>
      </c>
      <c r="C1002" t="s">
        <v>9943</v>
      </c>
      <c r="D1002" t="s">
        <v>12343</v>
      </c>
      <c r="E1002" s="2">
        <v>12224</v>
      </c>
      <c r="F1002">
        <f>HYPERLINK("https://www2.assemblee-nationale.fr/sycomore/fiche/(num_dept)/1724", "1724.0")</f>
        <v>0</v>
      </c>
      <c r="H1002">
        <f>HYPERLINK("https://www.wikidata.org/wiki/Q16025434", "Q16025434")</f>
        <v>0</v>
      </c>
    </row>
    <row r="1003" spans="1:8">
      <c r="A1003" t="s">
        <v>1009</v>
      </c>
      <c r="B1003" t="s">
        <v>5880</v>
      </c>
      <c r="C1003" t="s">
        <v>9944</v>
      </c>
      <c r="D1003" t="s">
        <v>12344</v>
      </c>
      <c r="E1003" s="2">
        <v>6919</v>
      </c>
      <c r="F1003">
        <f>HYPERLINK("https://www2.assemblee-nationale.fr/sycomore/fiche/(num_dept)/1727", "1727.0")</f>
        <v>0</v>
      </c>
      <c r="G1003">
        <f>HYPERLINK("https://www.senat.fr/senateur-3eme-republique/chautemps_emile1313r3.html", "chautemps_emile1313r3")</f>
        <v>0</v>
      </c>
      <c r="H1003">
        <f>HYPERLINK("https://www.wikidata.org/wiki/Q3588410", "Q3588410")</f>
        <v>0</v>
      </c>
    </row>
    <row r="1004" spans="1:8">
      <c r="A1004" t="s">
        <v>1010</v>
      </c>
      <c r="B1004" t="s">
        <v>5880</v>
      </c>
      <c r="C1004" t="s">
        <v>9457</v>
      </c>
      <c r="D1004" t="s">
        <v>12345</v>
      </c>
      <c r="E1004" s="2">
        <v>16186</v>
      </c>
      <c r="F1004">
        <f>HYPERLINK("https://www2.assemblee-nationale.fr/sycomore/fiche/(num_dept)/1725", "1725.0")</f>
        <v>0</v>
      </c>
      <c r="G1004">
        <f>HYPERLINK("https://www.senat.fr/senateur-3eme-republique/chautemps_alphonse0309r3.html", "chautemps_alphonse0309r3")</f>
        <v>0</v>
      </c>
      <c r="H1004">
        <f>HYPERLINK("https://www.wikidata.org/wiki/Q2839734", "Q2839734")</f>
        <v>0</v>
      </c>
    </row>
    <row r="1005" spans="1:8">
      <c r="A1005" t="s">
        <v>1011</v>
      </c>
      <c r="B1005" t="s">
        <v>5880</v>
      </c>
      <c r="C1005" t="s">
        <v>9945</v>
      </c>
      <c r="D1005" t="s">
        <v>12346</v>
      </c>
      <c r="E1005" s="2">
        <v>5499</v>
      </c>
      <c r="F1005">
        <f>HYPERLINK("https://www2.assemblee-nationale.fr/sycomore/fiche/(num_dept)/1728", "1728.0")</f>
        <v>0</v>
      </c>
      <c r="H1005">
        <f>HYPERLINK("https://www.wikidata.org/wiki/Q8323100", "Q8323100")</f>
        <v>0</v>
      </c>
    </row>
    <row r="1006" spans="1:8">
      <c r="A1006" t="s">
        <v>1012</v>
      </c>
      <c r="B1006" t="s">
        <v>5880</v>
      </c>
      <c r="C1006" t="s">
        <v>9352</v>
      </c>
      <c r="D1006" t="s">
        <v>12347</v>
      </c>
      <c r="E1006" s="2">
        <v>23193</v>
      </c>
      <c r="F1006">
        <f>HYPERLINK("https://www2.assemblee-nationale.fr/sycomore/fiche/(num_dept)/1726", "1726.0")</f>
        <v>0</v>
      </c>
      <c r="G1006">
        <f>HYPERLINK("https://www.senat.fr/senateur-3eme-republique/chautemps_camille0380r3.html", "chautemps_camille0380r3")</f>
        <v>0</v>
      </c>
      <c r="H1006">
        <f>HYPERLINK("https://www.wikidata.org/wiki/Q263884", "Q263884")</f>
        <v>0</v>
      </c>
    </row>
    <row r="1007" spans="1:8">
      <c r="A1007" t="s">
        <v>1013</v>
      </c>
      <c r="B1007" t="s">
        <v>5881</v>
      </c>
      <c r="C1007" t="s">
        <v>9946</v>
      </c>
      <c r="D1007" t="s">
        <v>12348</v>
      </c>
      <c r="E1007" s="2">
        <v>7760</v>
      </c>
      <c r="F1007">
        <f>HYPERLINK("https://www2.assemblee-nationale.fr/sycomore/fiche/(num_dept)/8204", "8204.0")</f>
        <v>0</v>
      </c>
      <c r="G1007">
        <f>HYPERLINK("https://www.senat.fr/senateur-3eme-republique/chauveau_franck0884r3.html", "chauveau_franck0884r3")</f>
        <v>0</v>
      </c>
      <c r="H1007">
        <f>HYPERLINK("https://www.wikidata.org/wiki/Q3082109", "Q3082109")</f>
        <v>0</v>
      </c>
    </row>
    <row r="1008" spans="1:8">
      <c r="A1008" t="s">
        <v>1014</v>
      </c>
      <c r="B1008" t="s">
        <v>5881</v>
      </c>
      <c r="C1008" t="s">
        <v>9548</v>
      </c>
      <c r="D1008" t="s">
        <v>12349</v>
      </c>
      <c r="E1008" s="2">
        <v>14668</v>
      </c>
      <c r="G1008">
        <f>HYPERLINK("https://www.senat.fr/senateur-3eme-republique/chauveau_claude0544r3.html", "chauveau_claude0544r3")</f>
        <v>0</v>
      </c>
      <c r="H1008">
        <f>HYPERLINK("https://www.wikidata.org/wiki/Q2977185", "Q2977185")</f>
        <v>0</v>
      </c>
    </row>
    <row r="1009" spans="1:8">
      <c r="A1009" t="s">
        <v>1015</v>
      </c>
      <c r="B1009" t="s">
        <v>5882</v>
      </c>
      <c r="C1009" t="s">
        <v>9947</v>
      </c>
      <c r="D1009" s="2">
        <v>871</v>
      </c>
      <c r="E1009" s="2">
        <v>27014</v>
      </c>
      <c r="F1009">
        <f>HYPERLINK("https://www2.assemblee-nationale.fr/sycomore/fiche/(num_dept)/1731", "1731.0")</f>
        <v>0</v>
      </c>
      <c r="H1009">
        <f>HYPERLINK("https://www.wikidata.org/wiki/Q3103113", "Q3103113")</f>
        <v>0</v>
      </c>
    </row>
    <row r="1010" spans="1:8">
      <c r="A1010" t="s">
        <v>1016</v>
      </c>
      <c r="B1010" t="s">
        <v>5883</v>
      </c>
      <c r="C1010" t="s">
        <v>9948</v>
      </c>
      <c r="D1010" t="s">
        <v>12350</v>
      </c>
      <c r="E1010" s="2">
        <v>13268</v>
      </c>
      <c r="F1010">
        <f>HYPERLINK("https://www2.assemblee-nationale.fr/sycomore/fiche/(num_dept)/1738", "1738.0")</f>
        <v>0</v>
      </c>
      <c r="H1010">
        <f>HYPERLINK("https://www.wikidata.org/wiki/Q16025437", "Q16025437")</f>
        <v>0</v>
      </c>
    </row>
    <row r="1011" spans="1:8">
      <c r="A1011" t="s">
        <v>1017</v>
      </c>
      <c r="B1011" t="s">
        <v>5883</v>
      </c>
      <c r="C1011" t="s">
        <v>9949</v>
      </c>
      <c r="D1011" t="s">
        <v>12351</v>
      </c>
      <c r="E1011" s="2">
        <v>16712</v>
      </c>
      <c r="F1011">
        <f>HYPERLINK("https://www2.assemblee-nationale.fr/sycomore/fiche/(num_dept)/1735", "1735.0")</f>
        <v>0</v>
      </c>
      <c r="H1011">
        <f>HYPERLINK("https://www.wikidata.org/wiki/Q17176142", "Q17176142")</f>
        <v>0</v>
      </c>
    </row>
    <row r="1012" spans="1:8">
      <c r="A1012" t="s">
        <v>1018</v>
      </c>
      <c r="B1012" t="s">
        <v>5883</v>
      </c>
      <c r="C1012" t="s">
        <v>9524</v>
      </c>
      <c r="D1012" t="s">
        <v>12352</v>
      </c>
      <c r="E1012" s="2">
        <v>12411</v>
      </c>
      <c r="F1012">
        <f>HYPERLINK("https://www2.assemblee-nationale.fr/sycomore/fiche/(num_dept)/1736", "1736.0")</f>
        <v>0</v>
      </c>
      <c r="H1012">
        <f>HYPERLINK("https://www.wikidata.org/wiki/Q16025436", "Q16025436")</f>
        <v>0</v>
      </c>
    </row>
    <row r="1013" spans="1:8">
      <c r="A1013" t="s">
        <v>1019</v>
      </c>
      <c r="B1013" t="s">
        <v>5883</v>
      </c>
      <c r="C1013" t="s">
        <v>9950</v>
      </c>
      <c r="D1013" t="s">
        <v>12353</v>
      </c>
      <c r="E1013" s="2">
        <v>19419</v>
      </c>
      <c r="F1013">
        <f>HYPERLINK("https://www2.assemblee-nationale.fr/sycomore/fiche/(num_dept)/1737", "1737.0")</f>
        <v>0</v>
      </c>
      <c r="H1013">
        <f>HYPERLINK("https://www.wikidata.org/wiki/Q3102461", "Q3102461")</f>
        <v>0</v>
      </c>
    </row>
    <row r="1014" spans="1:8">
      <c r="A1014" t="s">
        <v>1020</v>
      </c>
      <c r="B1014" t="s">
        <v>5884</v>
      </c>
      <c r="C1014" t="s">
        <v>9951</v>
      </c>
      <c r="D1014" t="s">
        <v>12354</v>
      </c>
      <c r="E1014" s="2">
        <v>3806</v>
      </c>
      <c r="F1014">
        <f>HYPERLINK("https://www2.assemblee-nationale.fr/sycomore/fiche/(num_dept)/1734", "1734.0")</f>
        <v>0</v>
      </c>
      <c r="H1014">
        <f>HYPERLINK("https://www.wikidata.org/wiki/Q13080861", "Q13080861")</f>
        <v>0</v>
      </c>
    </row>
    <row r="1015" spans="1:8">
      <c r="A1015" t="s">
        <v>1021</v>
      </c>
      <c r="B1015" t="s">
        <v>5885</v>
      </c>
      <c r="C1015" t="s">
        <v>9952</v>
      </c>
      <c r="D1015" t="s">
        <v>12355</v>
      </c>
      <c r="E1015" s="2">
        <v>20515</v>
      </c>
      <c r="F1015">
        <f>HYPERLINK("https://www2.assemblee-nationale.fr/sycomore/fiche/(num_dept)/1739", "1739.0")</f>
        <v>0</v>
      </c>
      <c r="H1015">
        <f>HYPERLINK("https://www.wikidata.org/wiki/Q8323114", "Q8323114")</f>
        <v>0</v>
      </c>
    </row>
    <row r="1016" spans="1:8">
      <c r="A1016" t="s">
        <v>1022</v>
      </c>
      <c r="B1016" t="s">
        <v>5886</v>
      </c>
      <c r="C1016" t="s">
        <v>9953</v>
      </c>
      <c r="D1016" t="s">
        <v>12356</v>
      </c>
      <c r="E1016" t="s">
        <v>15940</v>
      </c>
      <c r="F1016">
        <f>HYPERLINK("https://www2.assemblee-nationale.fr/sycomore/fiche/(num_dept)/8156", "8156.0")</f>
        <v>0</v>
      </c>
      <c r="H1016">
        <f>HYPERLINK("https://www.wikidata.org/wiki/Q16025439", "Q16025439")</f>
        <v>0</v>
      </c>
    </row>
    <row r="1017" spans="1:8">
      <c r="A1017" t="s">
        <v>1023</v>
      </c>
      <c r="B1017" t="s">
        <v>5886</v>
      </c>
      <c r="C1017" t="s">
        <v>9954</v>
      </c>
      <c r="D1017" t="s">
        <v>12357</v>
      </c>
      <c r="E1017" s="2">
        <v>4080</v>
      </c>
      <c r="F1017">
        <f>HYPERLINK("https://www2.assemblee-nationale.fr/sycomore/fiche/(num_dept)/7920", "7920.0")</f>
        <v>0</v>
      </c>
      <c r="H1017">
        <f>HYPERLINK("https://www.wikidata.org/wiki/Q16025438", "Q16025438")</f>
        <v>0</v>
      </c>
    </row>
    <row r="1018" spans="1:8">
      <c r="A1018" t="s">
        <v>1024</v>
      </c>
      <c r="B1018" t="s">
        <v>5887</v>
      </c>
      <c r="C1018" t="s">
        <v>9312</v>
      </c>
      <c r="D1018" t="s">
        <v>12358</v>
      </c>
      <c r="G1018">
        <f>HYPERLINK("https://www.senat.fr/senateur-3eme-republique/chavassieu_jean_baptiste1335r3.html", "chavassieu_jean_baptiste1335r3")</f>
        <v>0</v>
      </c>
      <c r="H1018">
        <f>HYPERLINK("https://www.wikidata.org/wiki/Q3163952", "Q3163952")</f>
        <v>0</v>
      </c>
    </row>
    <row r="1019" spans="1:8">
      <c r="A1019" t="s">
        <v>1025</v>
      </c>
      <c r="B1019" t="s">
        <v>5888</v>
      </c>
      <c r="C1019" t="s">
        <v>9955</v>
      </c>
      <c r="D1019" t="s">
        <v>12359</v>
      </c>
      <c r="G1019">
        <f>HYPERLINK("https://www.senat.fr/senateur-3eme-republique/chaver_biere_leonce0466r3.html", "chaver_biere_leonce0466r3")</f>
        <v>0</v>
      </c>
      <c r="H1019">
        <f>HYPERLINK("https://www.wikidata.org/wiki/Q3271636", "Q3271636")</f>
        <v>0</v>
      </c>
    </row>
    <row r="1020" spans="1:8">
      <c r="A1020" t="s">
        <v>1026</v>
      </c>
      <c r="B1020" t="s">
        <v>5889</v>
      </c>
      <c r="C1020" t="s">
        <v>9956</v>
      </c>
      <c r="D1020" t="s">
        <v>12360</v>
      </c>
      <c r="E1020" s="2">
        <v>5956</v>
      </c>
      <c r="F1020">
        <f>HYPERLINK("https://www2.assemblee-nationale.fr/sycomore/fiche/(num_dept)/1743", "1743.0")</f>
        <v>0</v>
      </c>
      <c r="H1020">
        <f>HYPERLINK("https://www.wikidata.org/wiki/Q8312689", "Q8312689")</f>
        <v>0</v>
      </c>
    </row>
    <row r="1021" spans="1:8">
      <c r="A1021" t="s">
        <v>1027</v>
      </c>
      <c r="B1021" t="s">
        <v>5890</v>
      </c>
      <c r="C1021" t="s">
        <v>9957</v>
      </c>
      <c r="D1021" t="s">
        <v>12361</v>
      </c>
      <c r="E1021" s="2">
        <v>10315</v>
      </c>
      <c r="F1021">
        <f>HYPERLINK("https://www2.assemblee-nationale.fr/sycomore/fiche/(num_dept)/1744", "1744.0")</f>
        <v>0</v>
      </c>
      <c r="H1021">
        <f>HYPERLINK("https://www.wikidata.org/wiki/Q16025440", "Q16025440")</f>
        <v>0</v>
      </c>
    </row>
    <row r="1022" spans="1:8">
      <c r="A1022" t="s">
        <v>1028</v>
      </c>
      <c r="B1022" t="s">
        <v>5890</v>
      </c>
      <c r="C1022" t="s">
        <v>9312</v>
      </c>
      <c r="D1022" t="s">
        <v>12362</v>
      </c>
      <c r="E1022" t="s">
        <v>12436</v>
      </c>
      <c r="F1022">
        <f>HYPERLINK("https://www2.assemblee-nationale.fr/sycomore/fiche/(num_dept)/8114", "8114.0")</f>
        <v>0</v>
      </c>
      <c r="H1022">
        <f>HYPERLINK("https://www.wikidata.org/wiki/Q16025441", "Q16025441")</f>
        <v>0</v>
      </c>
    </row>
    <row r="1023" spans="1:8">
      <c r="A1023" t="s">
        <v>1029</v>
      </c>
      <c r="B1023" t="s">
        <v>5891</v>
      </c>
      <c r="C1023" t="s">
        <v>9958</v>
      </c>
      <c r="D1023" t="s">
        <v>12363</v>
      </c>
      <c r="E1023" s="2">
        <v>14256</v>
      </c>
      <c r="F1023">
        <f>HYPERLINK("https://www2.assemblee-nationale.fr/sycomore/fiche/(num_dept)/1745", "1745.0")</f>
        <v>0</v>
      </c>
      <c r="H1023">
        <f>HYPERLINK("https://www.wikidata.org/wiki/Q2847425", "Q2847425")</f>
        <v>0</v>
      </c>
    </row>
    <row r="1024" spans="1:8">
      <c r="A1024" t="s">
        <v>1030</v>
      </c>
      <c r="B1024" t="s">
        <v>5892</v>
      </c>
      <c r="C1024" t="s">
        <v>7754</v>
      </c>
      <c r="D1024" t="s">
        <v>12364</v>
      </c>
      <c r="E1024" s="2">
        <v>11050</v>
      </c>
      <c r="F1024">
        <f>HYPERLINK("https://www2.assemblee-nationale.fr/sycomore/fiche/(num_dept)/1754", "1754.0")</f>
        <v>0</v>
      </c>
      <c r="H1024">
        <f>HYPERLINK("https://www.wikidata.org/wiki/Q16025442", "Q16025442")</f>
        <v>0</v>
      </c>
    </row>
    <row r="1025" spans="1:8">
      <c r="A1025" t="s">
        <v>1031</v>
      </c>
      <c r="B1025" t="s">
        <v>5893</v>
      </c>
      <c r="C1025" t="s">
        <v>9959</v>
      </c>
      <c r="D1025" t="s">
        <v>12365</v>
      </c>
      <c r="E1025" s="2">
        <v>7229</v>
      </c>
      <c r="F1025">
        <f>HYPERLINK("https://www2.assemblee-nationale.fr/sycomore/fiche/(num_dept)/1758", "1758.0")</f>
        <v>0</v>
      </c>
      <c r="H1025">
        <f>HYPERLINK("https://www.wikidata.org/wiki/Q15138054", "Q15138054")</f>
        <v>0</v>
      </c>
    </row>
    <row r="1026" spans="1:8">
      <c r="A1026" t="s">
        <v>1032</v>
      </c>
      <c r="B1026" t="s">
        <v>5894</v>
      </c>
      <c r="C1026" t="s">
        <v>9960</v>
      </c>
      <c r="D1026" t="s">
        <v>12366</v>
      </c>
      <c r="E1026" s="2">
        <v>4571</v>
      </c>
      <c r="F1026">
        <f>HYPERLINK("https://www2.assemblee-nationale.fr/sycomore/fiche/(num_dept)/1760", "1760.0")</f>
        <v>0</v>
      </c>
      <c r="H1026">
        <f>HYPERLINK("https://www.wikidata.org/wiki/Q7121784", "Q7121784")</f>
        <v>0</v>
      </c>
    </row>
    <row r="1027" spans="1:8">
      <c r="A1027" t="s">
        <v>1033</v>
      </c>
      <c r="B1027" t="s">
        <v>5895</v>
      </c>
      <c r="C1027" t="s">
        <v>7782</v>
      </c>
      <c r="D1027" t="s">
        <v>12367</v>
      </c>
      <c r="E1027" s="2">
        <v>11117</v>
      </c>
      <c r="G1027">
        <f>HYPERLINK("https://www.senat.fr/senateur-3eme-republique/chenebenoit_leon0038r3.html", "chenebenoit_leon0038r3")</f>
        <v>0</v>
      </c>
      <c r="H1027">
        <f>HYPERLINK("https://www.wikidata.org/wiki/Q3270820", "Q3270820")</f>
        <v>0</v>
      </c>
    </row>
    <row r="1028" spans="1:8">
      <c r="A1028" t="s">
        <v>1034</v>
      </c>
      <c r="B1028" t="s">
        <v>5896</v>
      </c>
      <c r="C1028" t="s">
        <v>9961</v>
      </c>
      <c r="D1028" t="s">
        <v>12368</v>
      </c>
      <c r="E1028" s="2">
        <v>1900</v>
      </c>
      <c r="F1028">
        <f>HYPERLINK("https://www2.assemblee-nationale.fr/sycomore/fiche/(num_dept)/1762", "1762.0")</f>
        <v>0</v>
      </c>
      <c r="H1028">
        <f>HYPERLINK("https://www.wikidata.org/wiki/Q3588406", "Q3588406")</f>
        <v>0</v>
      </c>
    </row>
    <row r="1029" spans="1:8">
      <c r="A1029" t="s">
        <v>1035</v>
      </c>
      <c r="B1029" t="s">
        <v>5897</v>
      </c>
      <c r="C1029" t="s">
        <v>9962</v>
      </c>
      <c r="D1029" t="s">
        <v>12369</v>
      </c>
      <c r="E1029" t="s">
        <v>15941</v>
      </c>
      <c r="F1029">
        <f>HYPERLINK("https://www2.assemblee-nationale.fr/sycomore/fiche/(num_dept)/8096", "8096.0")</f>
        <v>0</v>
      </c>
      <c r="H1029">
        <f>HYPERLINK("https://www.wikidata.org/wiki/Q2871272", "Q2871272")</f>
        <v>0</v>
      </c>
    </row>
    <row r="1030" spans="1:8">
      <c r="A1030" t="s">
        <v>1036</v>
      </c>
      <c r="B1030" t="s">
        <v>5898</v>
      </c>
      <c r="C1030" t="s">
        <v>7233</v>
      </c>
      <c r="D1030" t="s">
        <v>12370</v>
      </c>
      <c r="E1030" s="2">
        <v>13254</v>
      </c>
      <c r="G1030">
        <f>HYPERLINK("https://www.senat.fr/senateur-3eme-republique/cheron_henry0337r3.html", "cheron_henry0337r3")</f>
        <v>0</v>
      </c>
      <c r="H1030">
        <f>HYPERLINK("https://www.wikidata.org/wiki/Q3132698", "Q3132698")</f>
        <v>0</v>
      </c>
    </row>
    <row r="1031" spans="1:8">
      <c r="A1031" t="s">
        <v>1037</v>
      </c>
      <c r="B1031" t="s">
        <v>5899</v>
      </c>
      <c r="C1031" t="s">
        <v>9355</v>
      </c>
      <c r="D1031" t="s">
        <v>12371</v>
      </c>
      <c r="E1031" t="s">
        <v>15942</v>
      </c>
      <c r="G1031">
        <f>HYPERLINK("https://www.senat.fr/senateur-3eme-republique/cherpin_charles1317r3.html", "cherpin_charles1317r3")</f>
        <v>0</v>
      </c>
      <c r="H1031">
        <f>HYPERLINK("https://www.wikidata.org/wiki/Q2958720", "Q2958720")</f>
        <v>0</v>
      </c>
    </row>
    <row r="1032" spans="1:8">
      <c r="A1032" t="s">
        <v>1038</v>
      </c>
      <c r="B1032" t="s">
        <v>5900</v>
      </c>
      <c r="C1032" t="s">
        <v>9963</v>
      </c>
      <c r="D1032" t="s">
        <v>12372</v>
      </c>
      <c r="E1032" s="2">
        <v>8495</v>
      </c>
      <c r="F1032">
        <f>HYPERLINK("https://www2.assemblee-nationale.fr/sycomore/fiche/(num_dept)/7553", "7553.0")</f>
        <v>0</v>
      </c>
      <c r="H1032">
        <f>HYPERLINK("https://www.wikidata.org/wiki/Q3185225", "Q3185225")</f>
        <v>0</v>
      </c>
    </row>
    <row r="1033" spans="1:8">
      <c r="A1033" t="s">
        <v>1039</v>
      </c>
      <c r="B1033" t="s">
        <v>5901</v>
      </c>
      <c r="C1033" t="s">
        <v>9355</v>
      </c>
      <c r="D1033" t="s">
        <v>12373</v>
      </c>
      <c r="E1033" t="s">
        <v>15943</v>
      </c>
      <c r="G1033">
        <f>HYPERLINK("https://www.senat.fr/senateur-3eme-republique/chesnelong_charles1454r3.html", "chesnelong_charles1454r3")</f>
        <v>0</v>
      </c>
      <c r="H1033">
        <f>HYPERLINK("https://www.wikidata.org/wiki/Q2958721", "Q2958721")</f>
        <v>0</v>
      </c>
    </row>
    <row r="1034" spans="1:8">
      <c r="A1034" t="s">
        <v>1040</v>
      </c>
      <c r="B1034" t="s">
        <v>5902</v>
      </c>
      <c r="C1034" t="s">
        <v>9964</v>
      </c>
      <c r="D1034" t="s">
        <v>12374</v>
      </c>
      <c r="E1034" s="2">
        <v>12826</v>
      </c>
      <c r="G1034">
        <f>HYPERLINK("https://www.senat.fr/senateur-3eme-republique/chevalier_pol1014r3.html", "chevalier_pol1014r3")</f>
        <v>0</v>
      </c>
      <c r="H1034">
        <f>HYPERLINK("https://www.wikidata.org/wiki/Q3393992", "Q3393992")</f>
        <v>0</v>
      </c>
    </row>
    <row r="1035" spans="1:8">
      <c r="A1035" t="s">
        <v>1041</v>
      </c>
      <c r="B1035" t="s">
        <v>5903</v>
      </c>
      <c r="C1035" t="s">
        <v>9965</v>
      </c>
      <c r="D1035" t="s">
        <v>12375</v>
      </c>
      <c r="E1035" t="s">
        <v>15944</v>
      </c>
      <c r="F1035">
        <f>HYPERLINK("https://www2.assemblee-nationale.fr/sycomore/fiche/(num_dept)/7922", "7922.0")</f>
        <v>0</v>
      </c>
      <c r="H1035">
        <f>HYPERLINK("https://www.wikidata.org/wiki/Q3056890", "Q3056890")</f>
        <v>0</v>
      </c>
    </row>
    <row r="1036" spans="1:8">
      <c r="A1036" t="s">
        <v>1042</v>
      </c>
      <c r="B1036" t="s">
        <v>5903</v>
      </c>
      <c r="C1036" t="s">
        <v>9966</v>
      </c>
      <c r="D1036" t="s">
        <v>12376</v>
      </c>
      <c r="E1036" s="2">
        <v>5972</v>
      </c>
      <c r="F1036">
        <f>HYPERLINK("https://www2.assemblee-nationale.fr/sycomore/fiche/(num_dept)/7921", "7921.0")</f>
        <v>0</v>
      </c>
      <c r="H1036">
        <f>HYPERLINK("https://www.wikidata.org/wiki/Q17176185", "Q17176185")</f>
        <v>0</v>
      </c>
    </row>
    <row r="1037" spans="1:8">
      <c r="A1037" t="s">
        <v>1043</v>
      </c>
      <c r="B1037" t="s">
        <v>5903</v>
      </c>
      <c r="C1037" t="s">
        <v>6895</v>
      </c>
      <c r="D1037" t="s">
        <v>12377</v>
      </c>
      <c r="E1037" s="2">
        <v>9091</v>
      </c>
      <c r="F1037">
        <f>HYPERLINK("https://www2.assemblee-nationale.fr/sycomore/fiche/(num_dept)/1772", "1772.0")</f>
        <v>0</v>
      </c>
      <c r="H1037">
        <f>HYPERLINK("https://www.wikidata.org/wiki/Q16025444", "Q16025444")</f>
        <v>0</v>
      </c>
    </row>
    <row r="1038" spans="1:8">
      <c r="A1038" t="s">
        <v>1044</v>
      </c>
      <c r="B1038" t="s">
        <v>5904</v>
      </c>
      <c r="C1038" t="s">
        <v>9967</v>
      </c>
      <c r="D1038" t="s">
        <v>12378</v>
      </c>
      <c r="E1038" t="s">
        <v>15945</v>
      </c>
      <c r="F1038">
        <f>HYPERLINK("https://www2.assemblee-nationale.fr/sycomore/fiche/(num_dept)/8242", "8242.0")</f>
        <v>0</v>
      </c>
      <c r="H1038">
        <f>HYPERLINK("https://www.wikidata.org/wiki/Q7122252", "Q7122252")</f>
        <v>0</v>
      </c>
    </row>
    <row r="1039" spans="1:8">
      <c r="A1039" t="s">
        <v>1045</v>
      </c>
      <c r="B1039" t="s">
        <v>5905</v>
      </c>
      <c r="C1039" t="s">
        <v>9968</v>
      </c>
      <c r="D1039" t="s">
        <v>12379</v>
      </c>
      <c r="E1039" s="2">
        <v>763</v>
      </c>
      <c r="F1039">
        <f>HYPERLINK("https://www2.assemblee-nationale.fr/sycomore/fiche/(num_dept)/1774", "1774.0")</f>
        <v>0</v>
      </c>
      <c r="H1039">
        <f>HYPERLINK("https://www.wikidata.org/wiki/Q3588407", "Q3588407")</f>
        <v>0</v>
      </c>
    </row>
    <row r="1040" spans="1:8">
      <c r="A1040" t="s">
        <v>1046</v>
      </c>
      <c r="B1040" t="s">
        <v>5906</v>
      </c>
      <c r="C1040" t="s">
        <v>9969</v>
      </c>
      <c r="D1040" t="s">
        <v>12380</v>
      </c>
      <c r="E1040" t="s">
        <v>14524</v>
      </c>
      <c r="F1040">
        <f>HYPERLINK("https://www2.assemblee-nationale.fr/sycomore/fiche/(num_dept)/1779", "1779.0")</f>
        <v>0</v>
      </c>
      <c r="G1040">
        <f>HYPERLINK("https://www.senat.fr/senateur-3eme-republique/chevandier_antoine0726r3.html", "chevandier_antoine0726r3")</f>
        <v>0</v>
      </c>
      <c r="H1040">
        <f>HYPERLINK("https://www.wikidata.org/wiki/Q2853793", "Q2853793")</f>
        <v>0</v>
      </c>
    </row>
    <row r="1041" spans="1:8">
      <c r="A1041" t="s">
        <v>1047</v>
      </c>
      <c r="B1041" t="s">
        <v>5907</v>
      </c>
      <c r="C1041" t="s">
        <v>9970</v>
      </c>
      <c r="D1041" t="s">
        <v>12295</v>
      </c>
      <c r="E1041" s="2">
        <v>3772</v>
      </c>
      <c r="F1041">
        <f>HYPERLINK("https://www2.assemblee-nationale.fr/sycomore/fiche/(num_dept)/1783", "1783.0")</f>
        <v>0</v>
      </c>
      <c r="H1041">
        <f>HYPERLINK("https://www.wikidata.org/wiki/Q3184756", "Q3184756")</f>
        <v>0</v>
      </c>
    </row>
    <row r="1042" spans="1:8">
      <c r="A1042" t="s">
        <v>1048</v>
      </c>
      <c r="B1042" t="s">
        <v>5907</v>
      </c>
      <c r="C1042" t="s">
        <v>9634</v>
      </c>
      <c r="D1042" t="s">
        <v>12381</v>
      </c>
      <c r="E1042" s="2">
        <v>5531</v>
      </c>
      <c r="F1042">
        <f>HYPERLINK("https://www2.assemblee-nationale.fr/sycomore/fiche/(num_dept)/1784", "1784.0")</f>
        <v>0</v>
      </c>
      <c r="H1042">
        <f>HYPERLINK("https://www.wikidata.org/wiki/Q1471469", "Q1471469")</f>
        <v>0</v>
      </c>
    </row>
    <row r="1043" spans="1:8">
      <c r="A1043" t="s">
        <v>1049</v>
      </c>
      <c r="B1043" t="s">
        <v>5908</v>
      </c>
      <c r="C1043" t="s">
        <v>9971</v>
      </c>
      <c r="D1043" t="s">
        <v>12382</v>
      </c>
      <c r="E1043" s="2">
        <v>5240</v>
      </c>
      <c r="F1043">
        <f>HYPERLINK("https://www2.assemblee-nationale.fr/sycomore/fiche/(num_dept)/1786", "1786.0")</f>
        <v>0</v>
      </c>
      <c r="H1043">
        <f>HYPERLINK("https://www.wikidata.org/wiki/Q3164631", "Q3164631")</f>
        <v>0</v>
      </c>
    </row>
    <row r="1044" spans="1:8">
      <c r="A1044" t="s">
        <v>1050</v>
      </c>
      <c r="B1044" t="s">
        <v>5909</v>
      </c>
      <c r="C1044" t="s">
        <v>9972</v>
      </c>
      <c r="D1044" t="s">
        <v>12383</v>
      </c>
      <c r="E1044" s="2">
        <v>1242</v>
      </c>
      <c r="F1044">
        <f>HYPERLINK("https://www2.assemblee-nationale.fr/sycomore/fiche/(num_dept)/1787", "1787.0")</f>
        <v>0</v>
      </c>
      <c r="H1044">
        <f>HYPERLINK("https://www.wikidata.org/wiki/Q3130830", "Q3130830")</f>
        <v>0</v>
      </c>
    </row>
    <row r="1045" spans="1:8">
      <c r="A1045" t="s">
        <v>1051</v>
      </c>
      <c r="B1045" t="s">
        <v>5909</v>
      </c>
      <c r="C1045" t="s">
        <v>9973</v>
      </c>
      <c r="D1045" t="s">
        <v>11975</v>
      </c>
      <c r="E1045" s="2">
        <v>3728</v>
      </c>
      <c r="F1045">
        <f>HYPERLINK("https://www2.assemblee-nationale.fr/sycomore/fiche/(num_dept)/8058", "8058.0")</f>
        <v>0</v>
      </c>
      <c r="H1045">
        <f>HYPERLINK("https://www.wikidata.org/wiki/Q3526614", "Q3526614")</f>
        <v>0</v>
      </c>
    </row>
    <row r="1046" spans="1:8">
      <c r="A1046" t="s">
        <v>1052</v>
      </c>
      <c r="B1046" t="s">
        <v>5910</v>
      </c>
      <c r="C1046" t="s">
        <v>9974</v>
      </c>
      <c r="D1046" t="s">
        <v>12384</v>
      </c>
      <c r="E1046" s="2">
        <v>10992</v>
      </c>
      <c r="F1046">
        <f>HYPERLINK("https://www2.assemblee-nationale.fr/sycomore/fiche/(num_dept)/302", "302.0")</f>
        <v>0</v>
      </c>
      <c r="H1046">
        <f>HYPERLINK("https://www.wikidata.org/wiki/Q16025418", "Q16025418")</f>
        <v>0</v>
      </c>
    </row>
    <row r="1047" spans="1:8">
      <c r="A1047" t="s">
        <v>1053</v>
      </c>
      <c r="B1047" t="s">
        <v>5911</v>
      </c>
      <c r="C1047" t="s">
        <v>9975</v>
      </c>
      <c r="D1047" t="s">
        <v>12385</v>
      </c>
      <c r="E1047" s="2">
        <v>5303</v>
      </c>
      <c r="F1047">
        <f>HYPERLINK("https://www2.assemblee-nationale.fr/sycomore/fiche/(num_dept)/1788", "1788.0")</f>
        <v>0</v>
      </c>
      <c r="H1047">
        <f>HYPERLINK("https://www.wikidata.org/wiki/Q8343915", "Q8343915")</f>
        <v>0</v>
      </c>
    </row>
    <row r="1048" spans="1:8">
      <c r="A1048" t="s">
        <v>1054</v>
      </c>
      <c r="B1048" t="s">
        <v>5912</v>
      </c>
      <c r="C1048" t="s">
        <v>9447</v>
      </c>
      <c r="D1048" t="s">
        <v>12386</v>
      </c>
      <c r="E1048" s="2">
        <v>12959</v>
      </c>
      <c r="F1048">
        <f>HYPERLINK("https://www2.assemblee-nationale.fr/sycomore/fiche/(num_dept)/1789", "1789.0")</f>
        <v>0</v>
      </c>
      <c r="H1048">
        <f>HYPERLINK("https://www.wikidata.org/wiki/Q3130828", "Q3130828")</f>
        <v>0</v>
      </c>
    </row>
    <row r="1049" spans="1:8">
      <c r="A1049" t="s">
        <v>1055</v>
      </c>
      <c r="B1049" t="s">
        <v>5913</v>
      </c>
      <c r="C1049" t="s">
        <v>9548</v>
      </c>
      <c r="D1049" t="s">
        <v>12387</v>
      </c>
      <c r="E1049" s="2">
        <v>4888</v>
      </c>
      <c r="F1049">
        <f>HYPERLINK("https://www2.assemblee-nationale.fr/sycomore/fiche/(num_dept)/1791", "1791.0")</f>
        <v>0</v>
      </c>
      <c r="H1049">
        <f>HYPERLINK("https://www.wikidata.org/wiki/Q16025445", "Q16025445")</f>
        <v>0</v>
      </c>
    </row>
    <row r="1050" spans="1:8">
      <c r="A1050" t="s">
        <v>1056</v>
      </c>
      <c r="B1050" t="s">
        <v>5914</v>
      </c>
      <c r="C1050" t="s">
        <v>9976</v>
      </c>
      <c r="D1050" t="s">
        <v>12388</v>
      </c>
      <c r="E1050" s="2">
        <v>16299</v>
      </c>
      <c r="F1050">
        <f>HYPERLINK("https://www2.assemblee-nationale.fr/sycomore/fiche/(num_dept)/1795", "1795.0")</f>
        <v>0</v>
      </c>
      <c r="H1050">
        <f>HYPERLINK("https://www.wikidata.org/wiki/Q2831044", "Q2831044")</f>
        <v>0</v>
      </c>
    </row>
    <row r="1051" spans="1:8">
      <c r="A1051" t="s">
        <v>1057</v>
      </c>
      <c r="B1051" t="s">
        <v>5915</v>
      </c>
      <c r="C1051" t="s">
        <v>5058</v>
      </c>
      <c r="D1051" t="s">
        <v>12389</v>
      </c>
      <c r="E1051" s="2">
        <v>13763</v>
      </c>
      <c r="F1051">
        <f>HYPERLINK("https://www2.assemblee-nationale.fr/sycomore/fiche/(num_dept)/1794", "1794.0")</f>
        <v>0</v>
      </c>
      <c r="H1051">
        <f>HYPERLINK("https://www.wikidata.org/wiki/Q16025446", "Q16025446")</f>
        <v>0</v>
      </c>
    </row>
    <row r="1052" spans="1:8">
      <c r="A1052" t="s">
        <v>1058</v>
      </c>
      <c r="B1052" t="s">
        <v>5916</v>
      </c>
      <c r="C1052" t="s">
        <v>9977</v>
      </c>
      <c r="D1052" t="s">
        <v>12390</v>
      </c>
      <c r="E1052" s="2">
        <v>7342</v>
      </c>
      <c r="F1052">
        <f>HYPERLINK("https://www2.assemblee-nationale.fr/sycomore/fiche/(num_dept)/1797", "1797.0")</f>
        <v>0</v>
      </c>
      <c r="H1052">
        <f>HYPERLINK("https://www.wikidata.org/wiki/Q16025447", "Q16025447")</f>
        <v>0</v>
      </c>
    </row>
    <row r="1053" spans="1:8">
      <c r="A1053" t="s">
        <v>1059</v>
      </c>
      <c r="B1053" t="s">
        <v>5917</v>
      </c>
      <c r="C1053" t="s">
        <v>9978</v>
      </c>
      <c r="D1053" t="s">
        <v>12391</v>
      </c>
      <c r="E1053" s="2">
        <v>17</v>
      </c>
      <c r="F1053">
        <f>HYPERLINK("https://www2.assemblee-nationale.fr/sycomore/fiche/(num_dept)/1799", "1799.0")</f>
        <v>0</v>
      </c>
      <c r="G1053">
        <f>HYPERLINK("https://www.senat.fr/senateur-3eme-republique/chiris_francois0121r3.html", "chiris_francois0121r3")</f>
        <v>0</v>
      </c>
      <c r="H1053">
        <f>HYPERLINK("https://www.wikidata.org/wiki/Q3270821", "Q3270821")</f>
        <v>0</v>
      </c>
    </row>
    <row r="1054" spans="1:8">
      <c r="A1054" t="s">
        <v>1060</v>
      </c>
      <c r="B1054" t="s">
        <v>5918</v>
      </c>
      <c r="C1054" t="s">
        <v>9979</v>
      </c>
      <c r="D1054" t="s">
        <v>12392</v>
      </c>
      <c r="E1054" s="2">
        <v>5819</v>
      </c>
      <c r="F1054">
        <f>HYPERLINK("https://www2.assemblee-nationale.fr/sycomore/fiche/(num_dept)/1801", "1801.0")</f>
        <v>0</v>
      </c>
      <c r="H1054">
        <f>HYPERLINK("https://www.wikidata.org/wiki/Q3140479", "Q3140479")</f>
        <v>0</v>
      </c>
    </row>
    <row r="1055" spans="1:8">
      <c r="A1055" t="s">
        <v>1061</v>
      </c>
      <c r="B1055" t="s">
        <v>5919</v>
      </c>
      <c r="C1055" t="s">
        <v>9980</v>
      </c>
      <c r="D1055" t="s">
        <v>12393</v>
      </c>
      <c r="E1055" s="2">
        <v>4264</v>
      </c>
      <c r="F1055">
        <f>HYPERLINK("https://www2.assemblee-nationale.fr/sycomore/fiche/(num_dept)/1802", "1802.0")</f>
        <v>0</v>
      </c>
      <c r="G1055">
        <f>HYPERLINK("https://www.senat.fr/senateur-3eme-republique/chollet_andre1325r3.html", "chollet_andre1325r3")</f>
        <v>0</v>
      </c>
      <c r="H1055">
        <f>HYPERLINK("https://www.wikidata.org/wiki/Q2847520", "Q2847520")</f>
        <v>0</v>
      </c>
    </row>
    <row r="1056" spans="1:8">
      <c r="A1056" t="s">
        <v>1062</v>
      </c>
      <c r="B1056" t="s">
        <v>5919</v>
      </c>
      <c r="C1056" t="s">
        <v>9981</v>
      </c>
      <c r="D1056" t="s">
        <v>12394</v>
      </c>
      <c r="E1056" s="2">
        <v>10706</v>
      </c>
      <c r="F1056">
        <f>HYPERLINK("https://www2.assemblee-nationale.fr/sycomore/fiche/(num_dept)/1804", "1804.0")</f>
        <v>0</v>
      </c>
      <c r="H1056">
        <f>HYPERLINK("https://www.wikidata.org/wiki/Q3526641", "Q3526641")</f>
        <v>0</v>
      </c>
    </row>
    <row r="1057" spans="1:8">
      <c r="A1057" t="s">
        <v>1063</v>
      </c>
      <c r="B1057" t="s">
        <v>5920</v>
      </c>
      <c r="C1057" t="s">
        <v>9524</v>
      </c>
      <c r="D1057" t="s">
        <v>12395</v>
      </c>
      <c r="G1057">
        <f>HYPERLINK("https://www.senat.fr/senateur-3eme-republique/chomet_emile1264r3.html", "chomet_emile1264r3")</f>
        <v>0</v>
      </c>
      <c r="H1057">
        <f>HYPERLINK("https://www.wikidata.org/wiki/Q3588412", "Q3588412")</f>
        <v>0</v>
      </c>
    </row>
    <row r="1058" spans="1:8">
      <c r="A1058" t="s">
        <v>1064</v>
      </c>
      <c r="B1058" t="s">
        <v>5921</v>
      </c>
      <c r="C1058" t="s">
        <v>9982</v>
      </c>
      <c r="D1058" t="s">
        <v>12396</v>
      </c>
      <c r="E1058" s="2">
        <v>20307</v>
      </c>
      <c r="F1058">
        <f>HYPERLINK("https://www2.assemblee-nationale.fr/sycomore/fiche/(num_dept)/1808", "1808.0")</f>
        <v>0</v>
      </c>
      <c r="H1058">
        <f>HYPERLINK("https://www.wikidata.org/wiki/Q16025448", "Q16025448")</f>
        <v>0</v>
      </c>
    </row>
    <row r="1059" spans="1:8">
      <c r="A1059" t="s">
        <v>1065</v>
      </c>
      <c r="B1059" t="s">
        <v>5922</v>
      </c>
      <c r="C1059" t="s">
        <v>9524</v>
      </c>
      <c r="D1059" t="s">
        <v>12397</v>
      </c>
      <c r="E1059" s="2">
        <v>12810</v>
      </c>
      <c r="G1059">
        <f>HYPERLINK("https://www.senat.fr/senateur-3eme-republique/chopin_emile1231r3.html", "chopin_emile1231r3")</f>
        <v>0</v>
      </c>
      <c r="H1059">
        <f>HYPERLINK("https://www.wikidata.org/wiki/Q3588413", "Q3588413")</f>
        <v>0</v>
      </c>
    </row>
    <row r="1060" spans="1:8">
      <c r="A1060" t="s">
        <v>1066</v>
      </c>
      <c r="B1060" t="s">
        <v>5923</v>
      </c>
      <c r="C1060" t="s">
        <v>9503</v>
      </c>
      <c r="D1060" t="s">
        <v>12398</v>
      </c>
      <c r="E1060" s="2">
        <v>6932</v>
      </c>
      <c r="F1060">
        <f>HYPERLINK("https://www2.assemblee-nationale.fr/sycomore/fiche/(num_dept)/1811", "1811.0")</f>
        <v>0</v>
      </c>
      <c r="H1060">
        <f>HYPERLINK("https://www.wikidata.org/wiki/Q3121138", "Q3121138")</f>
        <v>0</v>
      </c>
    </row>
    <row r="1061" spans="1:8">
      <c r="A1061" t="s">
        <v>1067</v>
      </c>
      <c r="B1061" t="s">
        <v>5924</v>
      </c>
      <c r="C1061" t="s">
        <v>9983</v>
      </c>
      <c r="D1061" t="s">
        <v>12399</v>
      </c>
      <c r="E1061" s="2">
        <v>8027</v>
      </c>
      <c r="F1061">
        <f>HYPERLINK("https://www2.assemblee-nationale.fr/sycomore/fiche/(num_dept)/1812", "1812.0")</f>
        <v>0</v>
      </c>
      <c r="H1061">
        <f>HYPERLINK("https://www.wikidata.org/wiki/Q16025449", "Q16025449")</f>
        <v>0</v>
      </c>
    </row>
    <row r="1062" spans="1:8">
      <c r="A1062" t="s">
        <v>1068</v>
      </c>
      <c r="B1062" t="s">
        <v>5925</v>
      </c>
      <c r="C1062" t="s">
        <v>9984</v>
      </c>
      <c r="D1062" t="s">
        <v>12400</v>
      </c>
      <c r="E1062" s="2">
        <v>21486</v>
      </c>
      <c r="F1062">
        <f>HYPERLINK("https://www2.assemblee-nationale.fr/sycomore/fiche/(num_dept)/1816", "1816.0")</f>
        <v>0</v>
      </c>
      <c r="H1062">
        <f>HYPERLINK("https://www.wikidata.org/wiki/Q2861802", "Q2861802")</f>
        <v>0</v>
      </c>
    </row>
    <row r="1063" spans="1:8">
      <c r="A1063" t="s">
        <v>1069</v>
      </c>
      <c r="B1063" t="s">
        <v>5926</v>
      </c>
      <c r="C1063" t="s">
        <v>9457</v>
      </c>
      <c r="D1063" t="s">
        <v>12401</v>
      </c>
      <c r="E1063" s="2">
        <v>2113</v>
      </c>
      <c r="G1063">
        <f>HYPERLINK("https://www.senat.fr/senateur-3eme-republique/chovet_alphonse0889r3.html", "chovet_alphonse0889r3")</f>
        <v>0</v>
      </c>
      <c r="H1063">
        <f>HYPERLINK("https://www.wikidata.org/wiki/Q2839737", "Q2839737")</f>
        <v>0</v>
      </c>
    </row>
    <row r="1064" spans="1:8">
      <c r="A1064" t="s">
        <v>1070</v>
      </c>
      <c r="B1064" t="s">
        <v>5927</v>
      </c>
      <c r="C1064" t="s">
        <v>9985</v>
      </c>
      <c r="D1064" t="s">
        <v>12402</v>
      </c>
      <c r="E1064" s="2">
        <v>1484</v>
      </c>
      <c r="F1064">
        <f>HYPERLINK("https://www2.assemblee-nationale.fr/sycomore/fiche/(num_dept)/1818", "1818.0")</f>
        <v>0</v>
      </c>
      <c r="H1064">
        <f>HYPERLINK("https://www.wikidata.org/wiki/Q2190717", "Q2190717")</f>
        <v>0</v>
      </c>
    </row>
    <row r="1065" spans="1:8">
      <c r="A1065" t="s">
        <v>1071</v>
      </c>
      <c r="B1065" t="s">
        <v>5927</v>
      </c>
      <c r="C1065" t="s">
        <v>9986</v>
      </c>
      <c r="D1065" t="s">
        <v>12403</v>
      </c>
      <c r="E1065" s="2">
        <v>5850</v>
      </c>
      <c r="F1065">
        <f>HYPERLINK("https://www2.assemblee-nationale.fr/sycomore/fiche/(num_dept)/1819", "1819.0")</f>
        <v>0</v>
      </c>
      <c r="H1065">
        <f>HYPERLINK("https://www.wikidata.org/wiki/Q16025452", "Q16025452")</f>
        <v>0</v>
      </c>
    </row>
    <row r="1066" spans="1:8">
      <c r="A1066" t="s">
        <v>1072</v>
      </c>
      <c r="B1066" t="s">
        <v>5928</v>
      </c>
      <c r="C1066" t="s">
        <v>9987</v>
      </c>
      <c r="D1066" t="s">
        <v>12404</v>
      </c>
      <c r="E1066" s="2">
        <v>3553</v>
      </c>
      <c r="F1066">
        <f>HYPERLINK("https://www2.assemblee-nationale.fr/sycomore/fiche/(num_dept)/8088", "8088.0")</f>
        <v>0</v>
      </c>
      <c r="H1066">
        <f>HYPERLINK("https://www.wikidata.org/wiki/Q8323148", "Q8323148")</f>
        <v>0</v>
      </c>
    </row>
    <row r="1067" spans="1:8">
      <c r="A1067" t="s">
        <v>1073</v>
      </c>
      <c r="B1067" t="s">
        <v>5929</v>
      </c>
      <c r="C1067" t="s">
        <v>9988</v>
      </c>
      <c r="D1067" t="s">
        <v>12405</v>
      </c>
      <c r="E1067" s="2">
        <v>3289</v>
      </c>
      <c r="F1067">
        <f>HYPERLINK("https://www2.assemblee-nationale.fr/sycomore/fiche/(num_dept)/14482", "14482.0")</f>
        <v>0</v>
      </c>
      <c r="H1067">
        <f>HYPERLINK("https://www.wikidata.org/wiki/Q16025443", "Q16025443")</f>
        <v>0</v>
      </c>
    </row>
    <row r="1068" spans="1:8">
      <c r="A1068" t="s">
        <v>1074</v>
      </c>
      <c r="B1068" t="s">
        <v>5930</v>
      </c>
      <c r="C1068" t="s">
        <v>7233</v>
      </c>
      <c r="D1068" t="s">
        <v>12370</v>
      </c>
      <c r="E1068" s="2">
        <v>13254</v>
      </c>
      <c r="F1068">
        <f>HYPERLINK("https://www2.assemblee-nationale.fr/sycomore/fiche/(num_dept)/1768", "1768.0")</f>
        <v>0</v>
      </c>
      <c r="H1068">
        <f>HYPERLINK("https://www.wikidata.org/wiki/Q3132698", "Q3132698")</f>
        <v>0</v>
      </c>
    </row>
    <row r="1069" spans="1:8">
      <c r="A1069" t="s">
        <v>1075</v>
      </c>
      <c r="B1069" t="s">
        <v>5930</v>
      </c>
      <c r="C1069" t="s">
        <v>9989</v>
      </c>
      <c r="D1069" t="s">
        <v>12406</v>
      </c>
      <c r="E1069" s="2">
        <v>18959</v>
      </c>
      <c r="F1069">
        <f>HYPERLINK("https://www2.assemblee-nationale.fr/sycomore/fiche/(num_dept)/1767", "1767.0")</f>
        <v>0</v>
      </c>
      <c r="H1069">
        <f>HYPERLINK("https://www.wikidata.org/wiki/Q2824794", "Q2824794")</f>
        <v>0</v>
      </c>
    </row>
    <row r="1070" spans="1:8">
      <c r="A1070" t="s">
        <v>1076</v>
      </c>
      <c r="B1070" t="s">
        <v>5931</v>
      </c>
      <c r="C1070" t="s">
        <v>9990</v>
      </c>
      <c r="D1070" t="s">
        <v>12407</v>
      </c>
      <c r="E1070" s="2">
        <v>5309</v>
      </c>
      <c r="F1070">
        <f>HYPERLINK("https://www2.assemblee-nationale.fr/sycomore/fiche/(num_dept)/1822", "1822.0")</f>
        <v>0</v>
      </c>
      <c r="H1070">
        <f>HYPERLINK("https://www.wikidata.org/wiki/Q2835023", "Q2835023")</f>
        <v>0</v>
      </c>
    </row>
    <row r="1071" spans="1:8">
      <c r="A1071" t="s">
        <v>1077</v>
      </c>
      <c r="B1071" t="s">
        <v>5931</v>
      </c>
      <c r="C1071" t="s">
        <v>9991</v>
      </c>
      <c r="D1071" t="s">
        <v>11409</v>
      </c>
      <c r="E1071" s="2">
        <v>7572</v>
      </c>
      <c r="F1071">
        <f>HYPERLINK("https://www2.assemblee-nationale.fr/sycomore/fiche/(num_dept)/1823", "1823.0")</f>
        <v>0</v>
      </c>
      <c r="H1071">
        <f>HYPERLINK("https://www.wikidata.org/wiki/Q16025453", "Q16025453")</f>
        <v>0</v>
      </c>
    </row>
    <row r="1072" spans="1:8">
      <c r="A1072" t="s">
        <v>1078</v>
      </c>
      <c r="B1072" t="s">
        <v>5932</v>
      </c>
      <c r="C1072" t="s">
        <v>9621</v>
      </c>
      <c r="D1072" t="s">
        <v>12387</v>
      </c>
      <c r="E1072" s="2">
        <v>10361</v>
      </c>
      <c r="G1072">
        <f>HYPERLINK("https://www.senat.fr/senateur-3eme-republique/ciceron_adolphe0844r3.html", "ciceron_adolphe0844r3")</f>
        <v>0</v>
      </c>
      <c r="H1072">
        <f>HYPERLINK("https://www.wikidata.org/wiki/Q16219216", "Q16219216")</f>
        <v>0</v>
      </c>
    </row>
    <row r="1073" spans="1:8">
      <c r="A1073" t="s">
        <v>1079</v>
      </c>
      <c r="B1073" t="s">
        <v>5933</v>
      </c>
      <c r="C1073" t="s">
        <v>9992</v>
      </c>
      <c r="D1073" t="s">
        <v>12408</v>
      </c>
      <c r="E1073" t="s">
        <v>15946</v>
      </c>
      <c r="F1073">
        <f>HYPERLINK("https://www2.assemblee-nationale.fr/sycomore/fiche/(num_dept)/8190", "8190.0")</f>
        <v>0</v>
      </c>
      <c r="G1073">
        <f>HYPERLINK("https://www.senat.fr/senateur-3eme-republique/cirier_victor1378r3.html", "cirier_victor1378r3")</f>
        <v>0</v>
      </c>
      <c r="H1073">
        <f>HYPERLINK("https://www.wikidata.org/wiki/Q3557222", "Q3557222")</f>
        <v>0</v>
      </c>
    </row>
    <row r="1074" spans="1:8">
      <c r="A1074" t="s">
        <v>1080</v>
      </c>
      <c r="B1074" t="s">
        <v>5934</v>
      </c>
      <c r="C1074" t="s">
        <v>9993</v>
      </c>
      <c r="D1074" t="s">
        <v>12409</v>
      </c>
      <c r="E1074" t="s">
        <v>15947</v>
      </c>
      <c r="F1074">
        <f>HYPERLINK("https://www2.assemblee-nationale.fr/sycomore/fiche/(num_dept)/8169", "8169.0")</f>
        <v>0</v>
      </c>
      <c r="H1074">
        <f>HYPERLINK("https://www.wikidata.org/wiki/Q3131510", "Q3131510")</f>
        <v>0</v>
      </c>
    </row>
    <row r="1075" spans="1:8">
      <c r="A1075" t="s">
        <v>1081</v>
      </c>
      <c r="B1075" t="s">
        <v>5935</v>
      </c>
      <c r="C1075" t="s">
        <v>7782</v>
      </c>
      <c r="D1075" t="s">
        <v>12410</v>
      </c>
      <c r="E1075" s="2">
        <v>7673</v>
      </c>
      <c r="G1075">
        <f>HYPERLINK("https://www.senat.fr/senateur-3eme-republique/claeys_leon1385r3.html", "claeys_leon1385r3")</f>
        <v>0</v>
      </c>
      <c r="H1075">
        <f>HYPERLINK("https://www.wikidata.org/wiki/Q3270827", "Q3270827")</f>
        <v>0</v>
      </c>
    </row>
    <row r="1076" spans="1:8">
      <c r="A1076" t="s">
        <v>1082</v>
      </c>
      <c r="B1076" t="s">
        <v>5936</v>
      </c>
      <c r="C1076" t="s">
        <v>9994</v>
      </c>
      <c r="D1076" t="s">
        <v>12411</v>
      </c>
      <c r="E1076" s="2">
        <v>10212</v>
      </c>
      <c r="F1076">
        <f>HYPERLINK("https://www2.assemblee-nationale.fr/sycomore/fiche/(num_dept)/3305", "3305.0")</f>
        <v>0</v>
      </c>
      <c r="H1076">
        <f>HYPERLINK("https://www.wikidata.org/wiki/Q8343994", "Q8343994")</f>
        <v>0</v>
      </c>
    </row>
    <row r="1077" spans="1:8">
      <c r="A1077" t="s">
        <v>1083</v>
      </c>
      <c r="B1077" t="s">
        <v>5937</v>
      </c>
      <c r="C1077" t="s">
        <v>9995</v>
      </c>
      <c r="D1077" t="s">
        <v>12412</v>
      </c>
      <c r="E1077" s="2">
        <v>732</v>
      </c>
      <c r="G1077">
        <f>HYPERLINK("https://www.senat.fr/senateur-3eme-republique/clamageran_jean_jules1455r3.html", "clamageran_jean_jules1455r3")</f>
        <v>0</v>
      </c>
      <c r="H1077">
        <f>HYPERLINK("https://www.wikidata.org/wiki/Q3166560", "Q3166560")</f>
        <v>0</v>
      </c>
    </row>
    <row r="1078" spans="1:8">
      <c r="A1078" t="s">
        <v>1084</v>
      </c>
      <c r="B1078" t="s">
        <v>5938</v>
      </c>
      <c r="C1078" t="s">
        <v>9511</v>
      </c>
      <c r="D1078" t="s">
        <v>12413</v>
      </c>
      <c r="E1078" s="2">
        <v>26710</v>
      </c>
      <c r="F1078">
        <f>HYPERLINK("https://www2.assemblee-nationale.fr/sycomore/fiche/(num_dept)/1829", "1829.0")</f>
        <v>0</v>
      </c>
      <c r="G1078">
        <f>HYPERLINK("https://www.senat.fr/senateur-3eme-republique/clamamus_jean_marie1568r3.html", "clamamus_jean_marie1568r3")</f>
        <v>0</v>
      </c>
      <c r="H1078">
        <f>HYPERLINK("https://www.wikidata.org/wiki/Q3167607", "Q3167607")</f>
        <v>0</v>
      </c>
    </row>
    <row r="1079" spans="1:8">
      <c r="A1079" t="s">
        <v>1085</v>
      </c>
      <c r="B1079" t="s">
        <v>5939</v>
      </c>
      <c r="C1079" t="s">
        <v>9996</v>
      </c>
      <c r="D1079" t="s">
        <v>12414</v>
      </c>
      <c r="E1079" s="2">
        <v>9211</v>
      </c>
      <c r="F1079">
        <f>HYPERLINK("https://www2.assemblee-nationale.fr/sycomore/fiche/(num_dept)/1831", "1831.0")</f>
        <v>0</v>
      </c>
      <c r="H1079">
        <f>HYPERLINK("https://www.wikidata.org/wiki/Q16025454", "Q16025454")</f>
        <v>0</v>
      </c>
    </row>
    <row r="1080" spans="1:8">
      <c r="A1080" t="s">
        <v>1086</v>
      </c>
      <c r="B1080" t="s">
        <v>5940</v>
      </c>
      <c r="C1080" t="s">
        <v>7342</v>
      </c>
      <c r="D1080" t="s">
        <v>12415</v>
      </c>
      <c r="E1080" s="2">
        <v>9706</v>
      </c>
      <c r="F1080">
        <f>HYPERLINK("https://www2.assemblee-nationale.fr/sycomore/fiche/(num_dept)/1832", "1832.0")</f>
        <v>0</v>
      </c>
      <c r="H1080">
        <f>HYPERLINK("https://www.wikidata.org/wiki/Q16025455", "Q16025455")</f>
        <v>0</v>
      </c>
    </row>
    <row r="1081" spans="1:8">
      <c r="A1081" t="s">
        <v>1087</v>
      </c>
      <c r="B1081" t="s">
        <v>5941</v>
      </c>
      <c r="C1081" t="s">
        <v>9997</v>
      </c>
      <c r="D1081" t="s">
        <v>12416</v>
      </c>
      <c r="E1081" s="2">
        <v>5358</v>
      </c>
      <c r="G1081">
        <f>HYPERLINK("https://www.senat.fr/senateur-3eme-republique/claris_louis_edmond0826r3.html", "claris_louis_edmond0826r3")</f>
        <v>0</v>
      </c>
      <c r="H1081">
        <f>HYPERLINK("https://www.wikidata.org/wiki/Q1871393", "Q1871393")</f>
        <v>0</v>
      </c>
    </row>
    <row r="1082" spans="1:8">
      <c r="A1082" t="s">
        <v>1088</v>
      </c>
      <c r="B1082" t="s">
        <v>5942</v>
      </c>
      <c r="C1082" t="s">
        <v>5117</v>
      </c>
      <c r="D1082" t="s">
        <v>12417</v>
      </c>
      <c r="E1082" s="2">
        <v>9940</v>
      </c>
      <c r="F1082">
        <f>HYPERLINK("https://www2.assemblee-nationale.fr/sycomore/fiche/(num_dept)/1833", "1833.0")</f>
        <v>0</v>
      </c>
      <c r="H1082">
        <f>HYPERLINK("https://www.wikidata.org/wiki/Q2861803", "Q2861803")</f>
        <v>0</v>
      </c>
    </row>
    <row r="1083" spans="1:8">
      <c r="A1083" t="s">
        <v>1089</v>
      </c>
      <c r="B1083" t="s">
        <v>5943</v>
      </c>
      <c r="C1083" t="s">
        <v>8182</v>
      </c>
      <c r="D1083" t="s">
        <v>12279</v>
      </c>
      <c r="E1083" t="s">
        <v>15948</v>
      </c>
      <c r="G1083">
        <f>HYPERLINK("https://www.senat.fr/senateur-3eme-republique/claude_nicolas1796r3.html", "claude_nicolas1796r3")</f>
        <v>0</v>
      </c>
      <c r="H1083">
        <f>HYPERLINK("https://www.wikidata.org/wiki/Q3340201", "Q3340201")</f>
        <v>0</v>
      </c>
    </row>
    <row r="1084" spans="1:8">
      <c r="A1084" t="s">
        <v>1090</v>
      </c>
      <c r="B1084" t="s">
        <v>5944</v>
      </c>
      <c r="C1084" t="s">
        <v>9998</v>
      </c>
      <c r="D1084" t="s">
        <v>12418</v>
      </c>
      <c r="E1084" s="2">
        <v>28540</v>
      </c>
      <c r="F1084">
        <f>HYPERLINK("https://www2.assemblee-nationale.fr/sycomore/fiche/(num_dept)/1835", "1835.0")</f>
        <v>0</v>
      </c>
      <c r="H1084">
        <f>HYPERLINK("https://www.wikidata.org/wiki/Q3069087", "Q3069087")</f>
        <v>0</v>
      </c>
    </row>
    <row r="1085" spans="1:8">
      <c r="A1085" t="s">
        <v>1091</v>
      </c>
      <c r="B1085" t="s">
        <v>5945</v>
      </c>
      <c r="C1085" t="s">
        <v>7001</v>
      </c>
      <c r="D1085" t="s">
        <v>12419</v>
      </c>
      <c r="E1085" s="2">
        <v>11066</v>
      </c>
      <c r="F1085">
        <f>HYPERLINK("https://www2.assemblee-nationale.fr/sycomore/fiche/(num_dept)/1836", "1836.0")</f>
        <v>0</v>
      </c>
      <c r="H1085">
        <f>HYPERLINK("https://www.wikidata.org/wiki/Q16025457", "Q16025457")</f>
        <v>0</v>
      </c>
    </row>
    <row r="1086" spans="1:8">
      <c r="A1086" t="s">
        <v>1092</v>
      </c>
      <c r="B1086" t="s">
        <v>5946</v>
      </c>
      <c r="C1086" t="s">
        <v>9373</v>
      </c>
      <c r="D1086" t="s">
        <v>12420</v>
      </c>
      <c r="E1086" s="2">
        <v>9445</v>
      </c>
      <c r="F1086">
        <f>HYPERLINK("https://www2.assemblee-nationale.fr/sycomore/fiche/(num_dept)/1839", "1839.0")</f>
        <v>0</v>
      </c>
      <c r="H1086">
        <f>HYPERLINK("https://www.wikidata.org/wiki/Q3184763", "Q3184763")</f>
        <v>0</v>
      </c>
    </row>
    <row r="1087" spans="1:8">
      <c r="A1087" t="s">
        <v>1093</v>
      </c>
      <c r="B1087" t="s">
        <v>5947</v>
      </c>
      <c r="C1087" t="s">
        <v>9999</v>
      </c>
      <c r="D1087" t="s">
        <v>12421</v>
      </c>
      <c r="E1087" t="s">
        <v>15949</v>
      </c>
      <c r="F1087">
        <f>HYPERLINK("https://www2.assemblee-nationale.fr/sycomore/fiche/(num_dept)/1840", "1840.0")</f>
        <v>0</v>
      </c>
      <c r="H1087">
        <f>HYPERLINK("https://www.wikidata.org/wiki/Q16025459", "Q16025459")</f>
        <v>0</v>
      </c>
    </row>
    <row r="1088" spans="1:8">
      <c r="A1088" t="s">
        <v>1094</v>
      </c>
      <c r="B1088" t="s">
        <v>5948</v>
      </c>
      <c r="C1088" t="s">
        <v>10000</v>
      </c>
      <c r="D1088" t="s">
        <v>12422</v>
      </c>
      <c r="E1088" s="2">
        <v>7920</v>
      </c>
      <c r="G1088">
        <f>HYPERLINK("https://www.senat.fr/senateur-3eme-republique/claveille_albert0663r3.html", "claveille_albert0663r3")</f>
        <v>0</v>
      </c>
      <c r="H1088">
        <f>HYPERLINK("https://www.wikidata.org/wiki/Q2830877", "Q2830877")</f>
        <v>0</v>
      </c>
    </row>
    <row r="1089" spans="1:8">
      <c r="A1089" t="s">
        <v>1095</v>
      </c>
      <c r="B1089" t="s">
        <v>5949</v>
      </c>
      <c r="C1089" t="s">
        <v>10001</v>
      </c>
      <c r="D1089" t="s">
        <v>12423</v>
      </c>
      <c r="E1089" s="2">
        <v>5497</v>
      </c>
      <c r="F1089">
        <f>HYPERLINK("https://www2.assemblee-nationale.fr/sycomore/fiche/(num_dept)/8007", "8007.0")</f>
        <v>0</v>
      </c>
      <c r="H1089">
        <f>HYPERLINK("https://www.wikidata.org/wiki/Q16026076", "Q16026076")</f>
        <v>0</v>
      </c>
    </row>
    <row r="1090" spans="1:8">
      <c r="A1090" t="s">
        <v>1096</v>
      </c>
      <c r="B1090" t="s">
        <v>5950</v>
      </c>
      <c r="C1090" t="s">
        <v>10002</v>
      </c>
      <c r="D1090" t="s">
        <v>12424</v>
      </c>
      <c r="F1090">
        <f>HYPERLINK("https://www2.assemblee-nationale.fr/sycomore/fiche/(num_dept)/7556", "7556.0")</f>
        <v>0</v>
      </c>
      <c r="H1090">
        <f>HYPERLINK("https://www.wikidata.org/wiki/Q2831322", "Q2831322")</f>
        <v>0</v>
      </c>
    </row>
    <row r="1091" spans="1:8">
      <c r="A1091" t="s">
        <v>1097</v>
      </c>
      <c r="B1091" t="s">
        <v>5951</v>
      </c>
      <c r="C1091" t="s">
        <v>9511</v>
      </c>
      <c r="D1091" t="s">
        <v>12425</v>
      </c>
      <c r="E1091" t="s">
        <v>15950</v>
      </c>
      <c r="F1091">
        <f>HYPERLINK("https://www2.assemblee-nationale.fr/sycomore/fiche/(num_dept)/1842", "1842.0")</f>
        <v>0</v>
      </c>
      <c r="H1091">
        <f>HYPERLINK("https://www.wikidata.org/wiki/Q3167610", "Q3167610")</f>
        <v>0</v>
      </c>
    </row>
    <row r="1092" spans="1:8">
      <c r="A1092" t="s">
        <v>1098</v>
      </c>
      <c r="B1092" t="s">
        <v>5952</v>
      </c>
      <c r="C1092" t="s">
        <v>10003</v>
      </c>
      <c r="D1092" t="s">
        <v>12426</v>
      </c>
      <c r="E1092" s="2">
        <v>10921</v>
      </c>
      <c r="F1092">
        <f>HYPERLINK("https://www2.assemblee-nationale.fr/sycomore/fiche/(num_dept)/1844", "1844.0")</f>
        <v>0</v>
      </c>
      <c r="G1092">
        <f>HYPERLINK("https://www.senat.fr/senateur-3eme-republique/clemenceau_georges1741r3.html", "clemenceau_georges1741r3")</f>
        <v>0</v>
      </c>
      <c r="H1092">
        <f>HYPERLINK("https://www.wikidata.org/wiki/Q171730", "Q171730")</f>
        <v>0</v>
      </c>
    </row>
    <row r="1093" spans="1:8">
      <c r="A1093" t="s">
        <v>1099</v>
      </c>
      <c r="B1093" t="s">
        <v>5953</v>
      </c>
      <c r="C1093" t="s">
        <v>7782</v>
      </c>
      <c r="D1093" t="s">
        <v>12427</v>
      </c>
      <c r="E1093" t="s">
        <v>15951</v>
      </c>
      <c r="G1093">
        <f>HYPERLINK("https://www.senat.fr/senateur-3eme-republique/clement_leon0258r3.html", "clement_leon0258r3")</f>
        <v>0</v>
      </c>
      <c r="H1093">
        <f>HYPERLINK("https://www.wikidata.org/wiki/Q3270832", "Q3270832")</f>
        <v>0</v>
      </c>
    </row>
    <row r="1094" spans="1:8">
      <c r="A1094" t="s">
        <v>1100</v>
      </c>
      <c r="B1094" t="s">
        <v>5954</v>
      </c>
      <c r="C1094" t="s">
        <v>6686</v>
      </c>
      <c r="D1094" t="s">
        <v>12428</v>
      </c>
      <c r="E1094" s="2">
        <v>13509</v>
      </c>
      <c r="G1094">
        <f>HYPERLINK("https://www.senat.fr/senateur-3eme-republique/clementel_etienne1006r3.html", "clementel_etienne1006r3")</f>
        <v>0</v>
      </c>
      <c r="H1094">
        <f>HYPERLINK("https://www.wikidata.org/wiki/Q3592114", "Q3592114")</f>
        <v>0</v>
      </c>
    </row>
    <row r="1095" spans="1:8">
      <c r="A1095" t="s">
        <v>1101</v>
      </c>
      <c r="B1095" t="s">
        <v>5955</v>
      </c>
      <c r="C1095" t="s">
        <v>9918</v>
      </c>
      <c r="D1095" t="s">
        <v>12429</v>
      </c>
      <c r="E1095" s="2">
        <v>14330</v>
      </c>
      <c r="G1095">
        <f>HYPERLINK("https://www.senat.fr/senateur-3eme-republique/clerc_fernand0702r3.html", "clerc_fernand0702r3")</f>
        <v>0</v>
      </c>
      <c r="H1095">
        <f>HYPERLINK("https://www.wikidata.org/wiki/Q3069089", "Q3069089")</f>
        <v>0</v>
      </c>
    </row>
    <row r="1096" spans="1:8">
      <c r="A1096" t="s">
        <v>1102</v>
      </c>
      <c r="B1096" t="s">
        <v>5956</v>
      </c>
      <c r="C1096" t="s">
        <v>10004</v>
      </c>
      <c r="D1096" t="s">
        <v>12430</v>
      </c>
      <c r="E1096" s="2">
        <v>14330</v>
      </c>
      <c r="F1096">
        <f>HYPERLINK("https://www2.assemblee-nationale.fr/sycomore/fiche/(num_dept)/9981", "9981.0")</f>
        <v>0</v>
      </c>
      <c r="H1096">
        <f>HYPERLINK("https://www.wikidata.org/wiki/Q3069089", "Q3069089")</f>
        <v>0</v>
      </c>
    </row>
    <row r="1097" spans="1:8">
      <c r="A1097" t="s">
        <v>1103</v>
      </c>
      <c r="B1097" t="s">
        <v>5956</v>
      </c>
      <c r="C1097" t="s">
        <v>10005</v>
      </c>
      <c r="D1097" t="s">
        <v>12431</v>
      </c>
      <c r="E1097" s="2">
        <v>24740</v>
      </c>
      <c r="F1097">
        <f>HYPERLINK("https://www2.assemblee-nationale.fr/sycomore/fiche/(num_dept)/1851", "1851.0")</f>
        <v>0</v>
      </c>
      <c r="H1097">
        <f>HYPERLINK("https://www.wikidata.org/wiki/Q3130841", "Q3130841")</f>
        <v>0</v>
      </c>
    </row>
    <row r="1098" spans="1:8">
      <c r="A1098" t="s">
        <v>1104</v>
      </c>
      <c r="B1098" t="s">
        <v>5957</v>
      </c>
      <c r="C1098" t="s">
        <v>10006</v>
      </c>
      <c r="D1098" t="s">
        <v>12432</v>
      </c>
      <c r="E1098" s="2">
        <v>727</v>
      </c>
      <c r="F1098">
        <f>HYPERLINK("https://www2.assemblee-nationale.fr/sycomore/fiche/(num_dept)/7923", "7923.0")</f>
        <v>0</v>
      </c>
      <c r="H1098">
        <f>HYPERLINK("https://www.wikidata.org/wiki/Q596961", "Q596961")</f>
        <v>0</v>
      </c>
    </row>
    <row r="1099" spans="1:8">
      <c r="A1099" t="s">
        <v>1105</v>
      </c>
      <c r="B1099" t="s">
        <v>5958</v>
      </c>
      <c r="C1099" t="s">
        <v>10007</v>
      </c>
      <c r="D1099" t="s">
        <v>12433</v>
      </c>
      <c r="E1099" t="s">
        <v>15952</v>
      </c>
      <c r="F1099">
        <f>HYPERLINK("https://www2.assemblee-nationale.fr/sycomore/fiche/(num_dept)/1855", "1855.0")</f>
        <v>0</v>
      </c>
      <c r="H1099">
        <f>HYPERLINK("https://www.wikidata.org/wiki/Q16025462", "Q16025462")</f>
        <v>0</v>
      </c>
    </row>
    <row r="1100" spans="1:8">
      <c r="A1100" t="s">
        <v>1106</v>
      </c>
      <c r="B1100" t="s">
        <v>5959</v>
      </c>
      <c r="C1100" t="s">
        <v>10008</v>
      </c>
      <c r="D1100" t="s">
        <v>12434</v>
      </c>
      <c r="E1100" t="s">
        <v>15953</v>
      </c>
      <c r="G1100">
        <f>HYPERLINK("https://www.senat.fr/senateur-3eme-republique/cleron_d_haussonville_othenin1484r3.html", "cleron_d_haussonville_othenin1484r3")</f>
        <v>0</v>
      </c>
      <c r="H1100">
        <f>HYPERLINK("https://www.wikidata.org/wiki/Q345822", "Q345822")</f>
        <v>0</v>
      </c>
    </row>
    <row r="1101" spans="1:8">
      <c r="A1101" t="s">
        <v>1107</v>
      </c>
      <c r="B1101" t="s">
        <v>5960</v>
      </c>
      <c r="C1101" t="s">
        <v>10009</v>
      </c>
      <c r="D1101" t="s">
        <v>12435</v>
      </c>
      <c r="E1101" s="2">
        <v>5308</v>
      </c>
      <c r="F1101">
        <f>HYPERLINK("https://www2.assemblee-nationale.fr/sycomore/fiche/(num_dept)/1859", "1859.0")</f>
        <v>0</v>
      </c>
      <c r="H1101">
        <f>HYPERLINK("https://www.wikidata.org/wiki/Q3588422", "Q3588422")</f>
        <v>0</v>
      </c>
    </row>
    <row r="1102" spans="1:8">
      <c r="A1102" t="s">
        <v>1108</v>
      </c>
      <c r="B1102" t="s">
        <v>5961</v>
      </c>
      <c r="C1102" t="s">
        <v>10010</v>
      </c>
      <c r="D1102" t="s">
        <v>12436</v>
      </c>
      <c r="E1102" s="2">
        <v>20331</v>
      </c>
      <c r="F1102">
        <f>HYPERLINK("https://www2.assemblee-nationale.fr/sycomore/fiche/(num_dept)/113", "113.0")</f>
        <v>0</v>
      </c>
      <c r="H1102">
        <f>HYPERLINK("https://www.wikidata.org/wiki/Q3383696", "Q3383696")</f>
        <v>0</v>
      </c>
    </row>
    <row r="1103" spans="1:8">
      <c r="A1103" t="s">
        <v>1109</v>
      </c>
      <c r="B1103" t="s">
        <v>5962</v>
      </c>
      <c r="C1103" t="s">
        <v>10011</v>
      </c>
      <c r="D1103" t="s">
        <v>12437</v>
      </c>
      <c r="E1103" s="2">
        <v>1075</v>
      </c>
      <c r="F1103">
        <f>HYPERLINK("https://www2.assemblee-nationale.fr/sycomore/fiche/(num_dept)/1861", "1861.0")</f>
        <v>0</v>
      </c>
      <c r="H1103">
        <f>HYPERLINK("https://www.wikidata.org/wiki/Q13080834", "Q13080834")</f>
        <v>0</v>
      </c>
    </row>
    <row r="1104" spans="1:8">
      <c r="A1104" t="s">
        <v>1110</v>
      </c>
      <c r="B1104" t="s">
        <v>5963</v>
      </c>
      <c r="C1104" t="s">
        <v>10012</v>
      </c>
      <c r="D1104" t="s">
        <v>12438</v>
      </c>
      <c r="E1104" s="2">
        <v>235</v>
      </c>
      <c r="F1104">
        <f>HYPERLINK("https://www2.assemblee-nationale.fr/sycomore/fiche/(num_dept)/1862", "1862.0")</f>
        <v>0</v>
      </c>
      <c r="H1104">
        <f>HYPERLINK("https://www.wikidata.org/wiki/Q684449", "Q684449")</f>
        <v>0</v>
      </c>
    </row>
    <row r="1105" spans="1:8">
      <c r="A1105" t="s">
        <v>1111</v>
      </c>
      <c r="B1105" t="s">
        <v>5964</v>
      </c>
      <c r="C1105" t="s">
        <v>10013</v>
      </c>
      <c r="D1105" t="s">
        <v>12439</v>
      </c>
      <c r="E1105" s="2">
        <v>13486</v>
      </c>
      <c r="F1105">
        <f>HYPERLINK("https://www2.assemblee-nationale.fr/sycomore/fiche/(num_dept)/1863", "1863.0")</f>
        <v>0</v>
      </c>
      <c r="H1105">
        <f>HYPERLINK("https://www.wikidata.org/wiki/Q16025463", "Q16025463")</f>
        <v>0</v>
      </c>
    </row>
    <row r="1106" spans="1:8">
      <c r="A1106" t="s">
        <v>1112</v>
      </c>
      <c r="B1106" t="s">
        <v>5965</v>
      </c>
      <c r="C1106" t="s">
        <v>10014</v>
      </c>
      <c r="D1106" t="s">
        <v>12440</v>
      </c>
      <c r="E1106" s="2">
        <v>20397</v>
      </c>
      <c r="F1106">
        <f>HYPERLINK("https://www2.assemblee-nationale.fr/sycomore/fiche/(num_dept)/1864", "1864.0")</f>
        <v>0</v>
      </c>
      <c r="H1106">
        <f>HYPERLINK("https://www.wikidata.org/wiki/Q16025464", "Q16025464")</f>
        <v>0</v>
      </c>
    </row>
    <row r="1107" spans="1:8">
      <c r="A1107" t="s">
        <v>1113</v>
      </c>
      <c r="B1107" t="s">
        <v>5966</v>
      </c>
      <c r="C1107" t="s">
        <v>7342</v>
      </c>
      <c r="D1107" t="s">
        <v>12441</v>
      </c>
      <c r="E1107" s="2">
        <v>1386</v>
      </c>
      <c r="F1107">
        <f>HYPERLINK("https://www2.assemblee-nationale.fr/sycomore/fiche/(num_dept)/1843", "1843.0")</f>
        <v>0</v>
      </c>
      <c r="H1107">
        <f>HYPERLINK("https://www.wikidata.org/wiki/Q16025826", "Q16025826")</f>
        <v>0</v>
      </c>
    </row>
    <row r="1108" spans="1:8">
      <c r="A1108" t="s">
        <v>1114</v>
      </c>
      <c r="B1108" t="s">
        <v>5967</v>
      </c>
      <c r="C1108" t="s">
        <v>10015</v>
      </c>
      <c r="D1108" t="s">
        <v>12442</v>
      </c>
      <c r="E1108" s="2">
        <v>8713</v>
      </c>
      <c r="F1108">
        <f>HYPERLINK("https://www2.assemblee-nationale.fr/sycomore/fiche/(num_dept)/1846", "1846.0")</f>
        <v>0</v>
      </c>
      <c r="H1108">
        <f>HYPERLINK("https://www.wikidata.org/wiki/Q5891894", "Q5891894")</f>
        <v>0</v>
      </c>
    </row>
    <row r="1109" spans="1:8">
      <c r="A1109" t="s">
        <v>1115</v>
      </c>
      <c r="B1109" t="s">
        <v>5968</v>
      </c>
      <c r="C1109" t="s">
        <v>6686</v>
      </c>
      <c r="D1109" t="s">
        <v>12428</v>
      </c>
      <c r="E1109" s="2">
        <v>13509</v>
      </c>
      <c r="F1109">
        <f>HYPERLINK("https://www2.assemblee-nationale.fr/sycomore/fiche/(num_dept)/1849", "1849.0")</f>
        <v>0</v>
      </c>
      <c r="H1109">
        <f>HYPERLINK("https://www.wikidata.org/wiki/Q3592114", "Q3592114")</f>
        <v>0</v>
      </c>
    </row>
    <row r="1110" spans="1:8">
      <c r="A1110" t="s">
        <v>1116</v>
      </c>
      <c r="B1110" t="s">
        <v>5969</v>
      </c>
      <c r="C1110" t="s">
        <v>10016</v>
      </c>
      <c r="D1110" t="s">
        <v>12443</v>
      </c>
      <c r="E1110" s="2">
        <v>3840</v>
      </c>
      <c r="F1110">
        <f>HYPERLINK("https://www2.assemblee-nationale.fr/sycomore/fiche/(num_dept)/1865", "1865.0")</f>
        <v>0</v>
      </c>
      <c r="H1110">
        <f>HYPERLINK("https://www.wikidata.org/wiki/Q16025465", "Q16025465")</f>
        <v>0</v>
      </c>
    </row>
    <row r="1111" spans="1:8">
      <c r="A1111" t="s">
        <v>1117</v>
      </c>
      <c r="B1111" t="s">
        <v>5969</v>
      </c>
      <c r="C1111" t="s">
        <v>10017</v>
      </c>
      <c r="D1111" t="s">
        <v>12444</v>
      </c>
      <c r="E1111" s="2">
        <v>21919</v>
      </c>
      <c r="F1111">
        <f>HYPERLINK("https://www2.assemblee-nationale.fr/sycomore/fiche/(num_dept)/1866", "1866.0")</f>
        <v>0</v>
      </c>
      <c r="H1111">
        <f>HYPERLINK("https://www.wikidata.org/wiki/Q16025466", "Q16025466")</f>
        <v>0</v>
      </c>
    </row>
    <row r="1112" spans="1:8">
      <c r="A1112" t="s">
        <v>1118</v>
      </c>
      <c r="B1112" t="s">
        <v>5970</v>
      </c>
      <c r="C1112" t="s">
        <v>10018</v>
      </c>
      <c r="D1112" t="s">
        <v>12445</v>
      </c>
      <c r="E1112" s="2">
        <v>13710</v>
      </c>
      <c r="G1112">
        <f>HYPERLINK("https://www.senat.fr/senateur-3eme-republique/cochard_philibert1222r3.html", "cochard_philibert1222r3")</f>
        <v>0</v>
      </c>
      <c r="H1112">
        <f>HYPERLINK("https://www.wikidata.org/wiki/Q3378921", "Q3378921")</f>
        <v>0</v>
      </c>
    </row>
    <row r="1113" spans="1:8">
      <c r="A1113" t="s">
        <v>1119</v>
      </c>
      <c r="B1113" t="s">
        <v>5971</v>
      </c>
      <c r="C1113" t="s">
        <v>10019</v>
      </c>
      <c r="D1113" t="s">
        <v>12446</v>
      </c>
      <c r="E1113" s="2">
        <v>287</v>
      </c>
      <c r="F1113">
        <f>HYPERLINK("https://www2.assemblee-nationale.fr/sycomore/fiche/(num_dept)/7924", "7924.0")</f>
        <v>0</v>
      </c>
      <c r="G1113">
        <f>HYPERLINK("https://www.senat.fr/senateur-3eme-republique/cochery_adolphe0505r3.html", "cochery_adolphe0505r3")</f>
        <v>0</v>
      </c>
      <c r="H1113">
        <f>HYPERLINK("https://www.wikidata.org/wiki/Q960751", "Q960751")</f>
        <v>0</v>
      </c>
    </row>
    <row r="1114" spans="1:8">
      <c r="A1114" t="s">
        <v>1120</v>
      </c>
      <c r="B1114" t="s">
        <v>5971</v>
      </c>
      <c r="C1114" t="s">
        <v>10020</v>
      </c>
      <c r="D1114" t="s">
        <v>12447</v>
      </c>
      <c r="E1114" s="2">
        <v>5334</v>
      </c>
      <c r="F1114">
        <f>HYPERLINK("https://www2.assemblee-nationale.fr/sycomore/fiche/(num_dept)/1869", "1869.0")</f>
        <v>0</v>
      </c>
      <c r="H1114">
        <f>HYPERLINK("https://www.wikidata.org/wiki/Q2599226", "Q2599226")</f>
        <v>0</v>
      </c>
    </row>
    <row r="1115" spans="1:8">
      <c r="A1115" t="s">
        <v>1121</v>
      </c>
      <c r="B1115" t="s">
        <v>5972</v>
      </c>
      <c r="C1115" t="s">
        <v>9355</v>
      </c>
      <c r="D1115" t="s">
        <v>12448</v>
      </c>
      <c r="E1115" s="2">
        <v>20148</v>
      </c>
      <c r="F1115">
        <f>HYPERLINK("https://www2.assemblee-nationale.fr/sycomore/fiche/(num_dept)/1870", "1870.0")</f>
        <v>0</v>
      </c>
      <c r="H1115">
        <f>HYPERLINK("https://www.wikidata.org/wiki/Q2958746", "Q2958746")</f>
        <v>0</v>
      </c>
    </row>
    <row r="1116" spans="1:8">
      <c r="A1116" t="s">
        <v>1122</v>
      </c>
      <c r="B1116" t="s">
        <v>5973</v>
      </c>
      <c r="C1116" t="s">
        <v>10021</v>
      </c>
      <c r="D1116" t="s">
        <v>12449</v>
      </c>
      <c r="E1116" s="2">
        <v>8119</v>
      </c>
      <c r="F1116">
        <f>HYPERLINK("https://www2.assemblee-nationale.fr/sycomore/fiche/(num_dept)/1874", "1874.0")</f>
        <v>0</v>
      </c>
      <c r="H1116">
        <f>HYPERLINK("https://www.wikidata.org/wiki/Q3023401", "Q3023401")</f>
        <v>0</v>
      </c>
    </row>
    <row r="1117" spans="1:8">
      <c r="A1117" t="s">
        <v>1123</v>
      </c>
      <c r="B1117" t="s">
        <v>5973</v>
      </c>
      <c r="C1117" t="s">
        <v>10022</v>
      </c>
      <c r="D1117" t="s">
        <v>12450</v>
      </c>
      <c r="E1117" s="2">
        <v>9840</v>
      </c>
      <c r="F1117">
        <f>HYPERLINK("https://www2.assemblee-nationale.fr/sycomore/fiche/(num_dept)/1875", "1875.0")</f>
        <v>0</v>
      </c>
      <c r="H1117">
        <f>HYPERLINK("https://www.wikidata.org/wiki/Q3132702", "Q3132702")</f>
        <v>0</v>
      </c>
    </row>
    <row r="1118" spans="1:8">
      <c r="A1118" t="s">
        <v>1124</v>
      </c>
      <c r="B1118" t="s">
        <v>5973</v>
      </c>
      <c r="C1118" t="s">
        <v>10023</v>
      </c>
      <c r="D1118" t="s">
        <v>12451</v>
      </c>
      <c r="E1118" s="2">
        <v>6940</v>
      </c>
      <c r="F1118">
        <f>HYPERLINK("https://www2.assemblee-nationale.fr/sycomore/fiche/(num_dept)/1873", "1873.0")</f>
        <v>0</v>
      </c>
      <c r="H1118">
        <f>HYPERLINK("https://www.wikidata.org/wiki/Q2977199", "Q2977199")</f>
        <v>0</v>
      </c>
    </row>
    <row r="1119" spans="1:8">
      <c r="A1119" t="s">
        <v>1125</v>
      </c>
      <c r="B1119" t="s">
        <v>5974</v>
      </c>
      <c r="C1119" t="s">
        <v>7342</v>
      </c>
      <c r="D1119" t="s">
        <v>12452</v>
      </c>
      <c r="E1119" s="2">
        <v>5806</v>
      </c>
      <c r="G1119">
        <f>HYPERLINK("https://www.senat.fr/senateur-3eme-republique/cocula_jean0604r3.html", "cocula_jean0604r3")</f>
        <v>0</v>
      </c>
      <c r="H1119">
        <f>HYPERLINK("https://www.wikidata.org/wiki/Q3171360", "Q3171360")</f>
        <v>0</v>
      </c>
    </row>
    <row r="1120" spans="1:8">
      <c r="A1120" t="s">
        <v>1126</v>
      </c>
      <c r="B1120" t="s">
        <v>5975</v>
      </c>
      <c r="C1120" t="s">
        <v>10024</v>
      </c>
      <c r="D1120" t="s">
        <v>12453</v>
      </c>
      <c r="E1120" s="2">
        <v>7589</v>
      </c>
      <c r="F1120">
        <f>HYPERLINK("https://www2.assemblee-nationale.fr/sycomore/fiche/(num_dept)/1878", "1878.0")</f>
        <v>0</v>
      </c>
      <c r="G1120">
        <f>HYPERLINK("https://www.senat.fr/senateur-3eme-republique/codet_jean1786r3.html", "codet_jean1786r3")</f>
        <v>0</v>
      </c>
      <c r="H1120">
        <f>HYPERLINK("https://www.wikidata.org/wiki/Q3171361", "Q3171361")</f>
        <v>0</v>
      </c>
    </row>
    <row r="1121" spans="1:8">
      <c r="A1121" t="s">
        <v>1127</v>
      </c>
      <c r="B1121" t="s">
        <v>5976</v>
      </c>
      <c r="C1121" t="s">
        <v>8384</v>
      </c>
      <c r="D1121" t="s">
        <v>12454</v>
      </c>
      <c r="E1121" s="2">
        <v>9031</v>
      </c>
      <c r="G1121">
        <f>HYPERLINK("https://www.senat.fr/senateur-3eme-republique/codet_pierre1787r3.html", "codet_pierre1787r3")</f>
        <v>0</v>
      </c>
      <c r="H1121">
        <f>HYPERLINK("https://www.wikidata.org/wiki/Q3384476", "Q3384476")</f>
        <v>0</v>
      </c>
    </row>
    <row r="1122" spans="1:8">
      <c r="A1122" t="s">
        <v>1128</v>
      </c>
      <c r="B1122" t="s">
        <v>5975</v>
      </c>
      <c r="C1122" t="s">
        <v>10025</v>
      </c>
      <c r="D1122" t="s">
        <v>12455</v>
      </c>
      <c r="E1122" s="2">
        <v>5475</v>
      </c>
      <c r="F1122">
        <f>HYPERLINK("https://www2.assemblee-nationale.fr/sycomore/fiche/(num_dept)/1879", "1879.0")</f>
        <v>0</v>
      </c>
      <c r="H1122">
        <f>HYPERLINK("https://www.wikidata.org/wiki/Q3261552", "Q3261552")</f>
        <v>0</v>
      </c>
    </row>
    <row r="1123" spans="1:8">
      <c r="A1123" t="s">
        <v>1129</v>
      </c>
      <c r="B1123" t="s">
        <v>5977</v>
      </c>
      <c r="C1123" t="s">
        <v>9312</v>
      </c>
      <c r="D1123" t="s">
        <v>12456</v>
      </c>
      <c r="E1123" s="2">
        <v>4979</v>
      </c>
      <c r="F1123">
        <f>HYPERLINK("https://www2.assemblee-nationale.fr/sycomore/fiche/(num_dept)/1883", "1883.0")</f>
        <v>0</v>
      </c>
      <c r="H1123">
        <f>HYPERLINK("https://www.wikidata.org/wiki/Q16025467", "Q16025467")</f>
        <v>0</v>
      </c>
    </row>
    <row r="1124" spans="1:8">
      <c r="A1124" t="s">
        <v>1130</v>
      </c>
      <c r="B1124" t="s">
        <v>5978</v>
      </c>
      <c r="C1124" t="s">
        <v>7342</v>
      </c>
      <c r="D1124" t="s">
        <v>12457</v>
      </c>
      <c r="E1124" s="2">
        <v>17277</v>
      </c>
      <c r="G1124">
        <f>HYPERLINK("https://www.senat.fr/senateur-3eme-republique/coignet_jean1150r3.html", "coignet_jean1150r3")</f>
        <v>0</v>
      </c>
      <c r="H1124">
        <f>HYPERLINK("https://www.wikidata.org/wiki/Q3171366", "Q3171366")</f>
        <v>0</v>
      </c>
    </row>
    <row r="1125" spans="1:8">
      <c r="A1125" t="s">
        <v>1131</v>
      </c>
      <c r="B1125" t="s">
        <v>5979</v>
      </c>
      <c r="C1125" t="s">
        <v>10026</v>
      </c>
      <c r="D1125" t="s">
        <v>12458</v>
      </c>
      <c r="E1125" s="2">
        <v>7604</v>
      </c>
      <c r="G1125">
        <f>HYPERLINK("https://www.senat.fr/senateur-3eme-republique/coillot_achille1182r3.html", "coillot_achille1182r3")</f>
        <v>0</v>
      </c>
      <c r="H1125">
        <f>HYPERLINK("https://www.wikidata.org/wiki/Q2823048", "Q2823048")</f>
        <v>0</v>
      </c>
    </row>
    <row r="1126" spans="1:8">
      <c r="A1126" t="s">
        <v>1132</v>
      </c>
      <c r="B1126" t="s">
        <v>5980</v>
      </c>
      <c r="C1126" t="s">
        <v>10027</v>
      </c>
      <c r="D1126" t="s">
        <v>12459</v>
      </c>
      <c r="E1126" s="2">
        <v>23102</v>
      </c>
      <c r="F1126">
        <f>HYPERLINK("https://www2.assemblee-nationale.fr/sycomore/fiche/(num_dept)/1888", "1888.0")</f>
        <v>0</v>
      </c>
      <c r="H1126">
        <f>HYPERLINK("https://www.wikidata.org/wiki/Q2847539", "Q2847539")</f>
        <v>0</v>
      </c>
    </row>
    <row r="1127" spans="1:8">
      <c r="A1127" t="s">
        <v>1133</v>
      </c>
      <c r="B1127" t="s">
        <v>5981</v>
      </c>
      <c r="C1127" t="s">
        <v>10028</v>
      </c>
      <c r="D1127" t="s">
        <v>12460</v>
      </c>
      <c r="E1127" s="2">
        <v>15164</v>
      </c>
      <c r="F1127">
        <f>HYPERLINK("https://www2.assemblee-nationale.fr/sycomore/fiche/(num_dept)/3526", "3526.0")</f>
        <v>0</v>
      </c>
      <c r="H1127">
        <f>HYPERLINK("https://www.wikidata.org/wiki/Q3185031", "Q3185031")</f>
        <v>0</v>
      </c>
    </row>
    <row r="1128" spans="1:8">
      <c r="A1128" t="s">
        <v>1134</v>
      </c>
      <c r="B1128" t="s">
        <v>5982</v>
      </c>
      <c r="C1128" t="s">
        <v>10029</v>
      </c>
      <c r="D1128" t="s">
        <v>12461</v>
      </c>
      <c r="E1128" s="2">
        <v>6492</v>
      </c>
      <c r="F1128">
        <f>HYPERLINK("https://www2.assemblee-nationale.fr/sycomore/fiche/(num_dept)/1890", "1890.0")</f>
        <v>0</v>
      </c>
      <c r="H1128">
        <f>HYPERLINK("https://www.wikidata.org/wiki/Q3383298", "Q3383298")</f>
        <v>0</v>
      </c>
    </row>
    <row r="1129" spans="1:8">
      <c r="A1129" t="s">
        <v>1135</v>
      </c>
      <c r="B1129" t="s">
        <v>5983</v>
      </c>
      <c r="C1129" t="s">
        <v>10030</v>
      </c>
      <c r="D1129" t="s">
        <v>12462</v>
      </c>
      <c r="E1129" t="s">
        <v>15954</v>
      </c>
      <c r="F1129">
        <f>HYPERLINK("https://www2.assemblee-nationale.fr/sycomore/fiche/(num_dept)/7925", "7925.0")</f>
        <v>0</v>
      </c>
      <c r="H1129">
        <f>HYPERLINK("https://www.wikidata.org/wiki/Q8312753", "Q8312753")</f>
        <v>0</v>
      </c>
    </row>
    <row r="1130" spans="1:8">
      <c r="A1130" t="s">
        <v>1136</v>
      </c>
      <c r="B1130" t="s">
        <v>5984</v>
      </c>
      <c r="C1130" t="s">
        <v>7942</v>
      </c>
      <c r="D1130" t="s">
        <v>12463</v>
      </c>
      <c r="E1130" s="2">
        <v>7558</v>
      </c>
      <c r="G1130">
        <f>HYPERLINK("https://www.senat.fr/senateur-3eme-republique/colin_maurice0839r3.html", "colin_maurice0839r3")</f>
        <v>0</v>
      </c>
      <c r="H1130">
        <f>HYPERLINK("https://www.wikidata.org/wiki/Q16938256", "Q16938256")</f>
        <v>0</v>
      </c>
    </row>
    <row r="1131" spans="1:8">
      <c r="A1131" t="s">
        <v>1137</v>
      </c>
      <c r="B1131" t="s">
        <v>5985</v>
      </c>
      <c r="C1131" t="s">
        <v>10031</v>
      </c>
      <c r="D1131" t="s">
        <v>12464</v>
      </c>
      <c r="E1131" s="2">
        <v>7558</v>
      </c>
      <c r="F1131">
        <f>HYPERLINK("https://www2.assemblee-nationale.fr/sycomore/fiche/(num_dept)/1897", "1897.0")</f>
        <v>0</v>
      </c>
      <c r="H1131">
        <f>HYPERLINK("https://www.wikidata.org/wiki/Q16938256", "Q16938256")</f>
        <v>0</v>
      </c>
    </row>
    <row r="1132" spans="1:8">
      <c r="A1132" t="s">
        <v>1138</v>
      </c>
      <c r="B1132" t="s">
        <v>5985</v>
      </c>
      <c r="C1132" t="s">
        <v>10032</v>
      </c>
      <c r="D1132" t="s">
        <v>12465</v>
      </c>
      <c r="E1132" s="2">
        <v>11701</v>
      </c>
      <c r="F1132">
        <f>HYPERLINK("https://www2.assemblee-nationale.fr/sycomore/fiche/(num_dept)/1893", "1893.0")</f>
        <v>0</v>
      </c>
      <c r="H1132">
        <f>HYPERLINK("https://www.wikidata.org/wiki/Q16025468", "Q16025468")</f>
        <v>0</v>
      </c>
    </row>
    <row r="1133" spans="1:8">
      <c r="A1133" t="s">
        <v>1139</v>
      </c>
      <c r="B1133" t="s">
        <v>5986</v>
      </c>
      <c r="C1133" t="s">
        <v>9324</v>
      </c>
      <c r="D1133" t="s">
        <v>12466</v>
      </c>
      <c r="E1133" s="2">
        <v>12344</v>
      </c>
      <c r="F1133">
        <f>HYPERLINK("https://www2.assemblee-nationale.fr/sycomore/fiche/(num_dept)/1901", "1901.0")</f>
        <v>0</v>
      </c>
      <c r="H1133">
        <f>HYPERLINK("https://www.wikidata.org/wiki/Q16025471", "Q16025471")</f>
        <v>0</v>
      </c>
    </row>
    <row r="1134" spans="1:8">
      <c r="A1134" t="s">
        <v>1140</v>
      </c>
      <c r="B1134" t="s">
        <v>5987</v>
      </c>
      <c r="C1134" t="s">
        <v>10033</v>
      </c>
      <c r="D1134" t="s">
        <v>12467</v>
      </c>
      <c r="E1134" s="2">
        <v>12000</v>
      </c>
      <c r="F1134">
        <f>HYPERLINK("https://www2.assemblee-nationale.fr/sycomore/fiche/(num_dept)/1903", "1903.0")</f>
        <v>0</v>
      </c>
      <c r="H1134">
        <f>HYPERLINK("https://www.wikidata.org/wiki/Q16025474", "Q16025474")</f>
        <v>0</v>
      </c>
    </row>
    <row r="1135" spans="1:8">
      <c r="A1135" t="s">
        <v>1141</v>
      </c>
      <c r="B1135" t="s">
        <v>5988</v>
      </c>
      <c r="C1135" t="s">
        <v>10034</v>
      </c>
      <c r="D1135" t="s">
        <v>12468</v>
      </c>
      <c r="E1135" s="2">
        <v>2831</v>
      </c>
      <c r="G1135">
        <f>HYPERLINK("https://www.senat.fr/senateur-3eme-republique/collet_arsene1645r3.html", "collet_arsene1645r3")</f>
        <v>0</v>
      </c>
      <c r="H1135">
        <f>HYPERLINK("https://www.wikidata.org/wiki/Q2864442", "Q2864442")</f>
        <v>0</v>
      </c>
    </row>
    <row r="1136" spans="1:8">
      <c r="A1136" t="s">
        <v>1142</v>
      </c>
      <c r="B1136" t="s">
        <v>5989</v>
      </c>
      <c r="C1136" t="s">
        <v>8384</v>
      </c>
      <c r="D1136" t="s">
        <v>12469</v>
      </c>
      <c r="E1136" s="2">
        <v>9271</v>
      </c>
      <c r="F1136">
        <f>HYPERLINK("https://www2.assemblee-nationale.fr/sycomore/fiche/(num_dept)/1906", "1906.0")</f>
        <v>0</v>
      </c>
      <c r="H1136">
        <f>HYPERLINK("https://www.wikidata.org/wiki/Q3384481", "Q3384481")</f>
        <v>0</v>
      </c>
    </row>
    <row r="1137" spans="1:8">
      <c r="A1137" t="s">
        <v>1143</v>
      </c>
      <c r="B1137" t="s">
        <v>5990</v>
      </c>
      <c r="C1137" t="s">
        <v>9324</v>
      </c>
      <c r="D1137" t="s">
        <v>12470</v>
      </c>
      <c r="E1137" s="2">
        <v>8005</v>
      </c>
      <c r="G1137">
        <f>HYPERLINK("https://www.senat.fr/senateur-3eme-republique/collin_henri0703r3.html", "collin_henri0703r3")</f>
        <v>0</v>
      </c>
      <c r="H1137">
        <f>HYPERLINK("https://www.wikidata.org/wiki/Q3130861", "Q3130861")</f>
        <v>0</v>
      </c>
    </row>
    <row r="1138" spans="1:8">
      <c r="A1138" t="s">
        <v>1144</v>
      </c>
      <c r="B1138" t="s">
        <v>5991</v>
      </c>
      <c r="C1138" t="s">
        <v>9397</v>
      </c>
      <c r="D1138" t="s">
        <v>12471</v>
      </c>
      <c r="E1138" s="2">
        <v>1913</v>
      </c>
      <c r="G1138">
        <f>HYPERLINK("https://www.senat.fr/senateur-3eme-republique/collinot_theophile1839r3.html", "collinot_theophile1839r3")</f>
        <v>0</v>
      </c>
      <c r="H1138">
        <f>HYPERLINK("https://www.wikidata.org/wiki/Q3526645", "Q3526645")</f>
        <v>0</v>
      </c>
    </row>
    <row r="1139" spans="1:8">
      <c r="A1139" t="s">
        <v>1145</v>
      </c>
      <c r="B1139" t="s">
        <v>5992</v>
      </c>
      <c r="C1139" t="s">
        <v>7342</v>
      </c>
      <c r="D1139" t="s">
        <v>12472</v>
      </c>
      <c r="E1139" s="2">
        <v>10777</v>
      </c>
      <c r="F1139">
        <f>HYPERLINK("https://www2.assemblee-nationale.fr/sycomore/fiche/(num_dept)/1911", "1911.0")</f>
        <v>0</v>
      </c>
      <c r="H1139">
        <f>HYPERLINK("https://www.wikidata.org/wiki/Q13080901", "Q13080901")</f>
        <v>0</v>
      </c>
    </row>
    <row r="1140" spans="1:8">
      <c r="A1140" t="s">
        <v>1146</v>
      </c>
      <c r="B1140" t="s">
        <v>5993</v>
      </c>
      <c r="C1140" t="s">
        <v>10035</v>
      </c>
      <c r="D1140" t="s">
        <v>12473</v>
      </c>
      <c r="E1140" s="2">
        <v>21378</v>
      </c>
      <c r="F1140">
        <f>HYPERLINK("https://www2.assemblee-nationale.fr/sycomore/fiche/(num_dept)/1912", "1912.0")</f>
        <v>0</v>
      </c>
      <c r="H1140">
        <f>HYPERLINK("https://www.wikidata.org/wiki/Q3384483", "Q3384483")</f>
        <v>0</v>
      </c>
    </row>
    <row r="1141" spans="1:8">
      <c r="A1141" t="s">
        <v>1147</v>
      </c>
      <c r="B1141" t="s">
        <v>5994</v>
      </c>
      <c r="C1141" t="s">
        <v>7942</v>
      </c>
      <c r="D1141" t="s">
        <v>12474</v>
      </c>
      <c r="E1141" s="2">
        <v>19788</v>
      </c>
      <c r="H1141">
        <f>HYPERLINK("https://www.wikidata.org/wiki/Q3300588", "Q3300588")</f>
        <v>0</v>
      </c>
    </row>
    <row r="1142" spans="1:8">
      <c r="A1142" t="s">
        <v>1148</v>
      </c>
      <c r="B1142" t="s">
        <v>5995</v>
      </c>
      <c r="C1142" t="s">
        <v>7754</v>
      </c>
      <c r="D1142" t="s">
        <v>12475</v>
      </c>
      <c r="E1142" s="2">
        <v>18694</v>
      </c>
      <c r="H1142">
        <f>HYPERLINK("https://www.wikidata.org/wiki/Q3261564", "Q3261564")</f>
        <v>0</v>
      </c>
    </row>
    <row r="1143" spans="1:8">
      <c r="A1143" t="s">
        <v>1149</v>
      </c>
      <c r="B1143" t="s">
        <v>5996</v>
      </c>
      <c r="C1143" t="s">
        <v>9868</v>
      </c>
      <c r="D1143" t="s">
        <v>12476</v>
      </c>
      <c r="E1143" s="2">
        <v>7816</v>
      </c>
      <c r="G1143">
        <f>HYPERLINK("https://www.senat.fr/senateur-3eme-republique/combes_emile0416r3.html", "combes_emile0416r3")</f>
        <v>0</v>
      </c>
      <c r="H1143">
        <f>HYPERLINK("https://www.wikidata.org/wiki/Q275020", "Q275020")</f>
        <v>0</v>
      </c>
    </row>
    <row r="1144" spans="1:8">
      <c r="A1144" t="s">
        <v>1150</v>
      </c>
      <c r="B1144" t="s">
        <v>5997</v>
      </c>
      <c r="C1144" t="s">
        <v>7342</v>
      </c>
      <c r="D1144" t="s">
        <v>12477</v>
      </c>
      <c r="E1144" s="2">
        <v>50</v>
      </c>
      <c r="G1144">
        <f>HYPERLINK("https://www.senat.fr/senateur-3eme-republique/combescure_jean0243r3.html", "combescure_jean0243r3")</f>
        <v>0</v>
      </c>
      <c r="H1144">
        <f>HYPERLINK("https://www.wikidata.org/wiki/Q3171398", "Q3171398")</f>
        <v>0</v>
      </c>
    </row>
    <row r="1145" spans="1:8">
      <c r="A1145" t="s">
        <v>1151</v>
      </c>
      <c r="B1145" t="s">
        <v>5998</v>
      </c>
      <c r="C1145" t="s">
        <v>10036</v>
      </c>
      <c r="D1145" t="s">
        <v>12478</v>
      </c>
      <c r="E1145" s="2">
        <v>17146</v>
      </c>
      <c r="F1145">
        <f>HYPERLINK("https://www2.assemblee-nationale.fr/sycomore/fiche/(num_dept)/1926", "1926.0")</f>
        <v>0</v>
      </c>
      <c r="H1145">
        <f>HYPERLINK("https://www.wikidata.org/wiki/Q16025476", "Q16025476")</f>
        <v>0</v>
      </c>
    </row>
    <row r="1146" spans="1:8">
      <c r="A1146" t="s">
        <v>1152</v>
      </c>
      <c r="B1146" t="s">
        <v>5999</v>
      </c>
      <c r="C1146" t="s">
        <v>6895</v>
      </c>
      <c r="D1146" t="s">
        <v>12479</v>
      </c>
      <c r="E1146" s="2">
        <v>4831</v>
      </c>
      <c r="F1146">
        <f>HYPERLINK("https://www2.assemblee-nationale.fr/sycomore/fiche/(num_dept)/7926", "7926.0")</f>
        <v>0</v>
      </c>
      <c r="H1146">
        <f>HYPERLINK("https://www.wikidata.org/wiki/Q671676", "Q671676")</f>
        <v>0</v>
      </c>
    </row>
    <row r="1147" spans="1:8">
      <c r="A1147" t="s">
        <v>1153</v>
      </c>
      <c r="B1147" t="s">
        <v>5999</v>
      </c>
      <c r="C1147" t="s">
        <v>9524</v>
      </c>
      <c r="D1147" t="s">
        <v>12480</v>
      </c>
      <c r="E1147" s="2">
        <v>8347</v>
      </c>
      <c r="F1147">
        <f>HYPERLINK("https://www2.assemblee-nationale.fr/sycomore/fiche/(num_dept)/1933", "1933.0")</f>
        <v>0</v>
      </c>
      <c r="H1147">
        <f>HYPERLINK("https://www.wikidata.org/wiki/Q16025477", "Q16025477")</f>
        <v>0</v>
      </c>
    </row>
    <row r="1148" spans="1:8">
      <c r="A1148" t="s">
        <v>1154</v>
      </c>
      <c r="B1148" t="s">
        <v>5999</v>
      </c>
      <c r="C1148" t="s">
        <v>10037</v>
      </c>
      <c r="D1148" t="s">
        <v>12481</v>
      </c>
      <c r="E1148" s="2">
        <v>18711</v>
      </c>
      <c r="F1148">
        <f>HYPERLINK("https://www2.assemblee-nationale.fr/sycomore/fiche/(num_dept)/1932", "1932.0")</f>
        <v>0</v>
      </c>
      <c r="H1148">
        <f>HYPERLINK("https://www.wikidata.org/wiki/Q2422952", "Q2422952")</f>
        <v>0</v>
      </c>
    </row>
    <row r="1149" spans="1:8">
      <c r="A1149" t="s">
        <v>1155</v>
      </c>
      <c r="B1149" t="s">
        <v>6000</v>
      </c>
      <c r="C1149" t="s">
        <v>10038</v>
      </c>
      <c r="D1149" t="s">
        <v>12482</v>
      </c>
      <c r="E1149" s="2">
        <v>15191</v>
      </c>
      <c r="F1149">
        <f>HYPERLINK("https://www2.assemblee-nationale.fr/sycomore/fiche/(num_dept)/1934", "1934.0")</f>
        <v>0</v>
      </c>
      <c r="H1149">
        <f>HYPERLINK("https://www.wikidata.org/wiki/Q2825487", "Q2825487")</f>
        <v>0</v>
      </c>
    </row>
    <row r="1150" spans="1:8">
      <c r="A1150" t="s">
        <v>1156</v>
      </c>
      <c r="B1150" t="s">
        <v>6001</v>
      </c>
      <c r="C1150" t="s">
        <v>9043</v>
      </c>
      <c r="D1150" t="s">
        <v>12483</v>
      </c>
      <c r="E1150" s="2">
        <v>12474</v>
      </c>
      <c r="G1150">
        <f>HYPERLINK("https://www.senat.fr/senateur-3eme-republique/comte_d_alsace_thierry1812r3.html", "comte_d_alsace_thierry1812r3")</f>
        <v>0</v>
      </c>
      <c r="H1150">
        <f>HYPERLINK("https://www.wikidata.org/wiki/Q3524185", "Q3524185")</f>
        <v>0</v>
      </c>
    </row>
    <row r="1151" spans="1:8">
      <c r="A1151" t="s">
        <v>1157</v>
      </c>
      <c r="B1151" t="s">
        <v>6002</v>
      </c>
      <c r="C1151" t="s">
        <v>9430</v>
      </c>
      <c r="D1151" t="s">
        <v>12484</v>
      </c>
      <c r="E1151" s="2">
        <v>13125</v>
      </c>
      <c r="F1151">
        <f>HYPERLINK("https://www2.assemblee-nationale.fr/sycomore/fiche/(num_dept)/1937", "1937.0")</f>
        <v>0</v>
      </c>
      <c r="H1151">
        <f>HYPERLINK("https://www.wikidata.org/wiki/Q16025478", "Q16025478")</f>
        <v>0</v>
      </c>
    </row>
    <row r="1152" spans="1:8">
      <c r="A1152" t="s">
        <v>1158</v>
      </c>
      <c r="B1152" t="s">
        <v>6003</v>
      </c>
      <c r="C1152" t="s">
        <v>10039</v>
      </c>
      <c r="D1152" t="s">
        <v>11629</v>
      </c>
      <c r="F1152">
        <f>HYPERLINK("https://www2.assemblee-nationale.fr/sycomore/fiche/(num_dept)/1938", "1938.0")</f>
        <v>0</v>
      </c>
      <c r="H1152">
        <f>HYPERLINK("https://www.wikidata.org/wiki/Q16025479", "Q16025479")</f>
        <v>0</v>
      </c>
    </row>
    <row r="1153" spans="1:8">
      <c r="A1153" t="s">
        <v>1159</v>
      </c>
      <c r="B1153" t="s">
        <v>6004</v>
      </c>
      <c r="C1153" t="s">
        <v>9324</v>
      </c>
      <c r="D1153" t="s">
        <v>12485</v>
      </c>
      <c r="E1153" s="2">
        <v>13991</v>
      </c>
      <c r="F1153">
        <f>HYPERLINK("https://www2.assemblee-nationale.fr/sycomore/fiche/(num_dept)/1939", "1939.0")</f>
        <v>0</v>
      </c>
      <c r="G1153">
        <f>HYPERLINK("https://www.senat.fr/senateur-3eme-republique/connevot_henri0649r3.html", "connevot_henri0649r3")</f>
        <v>0</v>
      </c>
      <c r="H1153">
        <f>HYPERLINK("https://www.wikidata.org/wiki/Q3130867", "Q3130867")</f>
        <v>0</v>
      </c>
    </row>
    <row r="1154" spans="1:8">
      <c r="A1154" t="s">
        <v>1160</v>
      </c>
      <c r="B1154" t="s">
        <v>6005</v>
      </c>
      <c r="C1154" t="s">
        <v>10040</v>
      </c>
      <c r="D1154" t="s">
        <v>12486</v>
      </c>
      <c r="E1154" s="2">
        <v>4846</v>
      </c>
      <c r="F1154">
        <f>HYPERLINK("https://www2.assemblee-nationale.fr/sycomore/fiche/(num_dept)/1942", "1942.0")</f>
        <v>0</v>
      </c>
      <c r="G1154">
        <f>HYPERLINK("https://www.senat.fr/senateur-3eme-republique/constans_ernest0107r3.html", "constans_ernest0107r3")</f>
        <v>0</v>
      </c>
      <c r="H1154">
        <f>HYPERLINK("https://www.wikidata.org/wiki/Q1934639", "Q1934639")</f>
        <v>0</v>
      </c>
    </row>
    <row r="1155" spans="1:8">
      <c r="A1155" t="s">
        <v>1161</v>
      </c>
      <c r="B1155" t="s">
        <v>6005</v>
      </c>
      <c r="C1155" t="s">
        <v>10041</v>
      </c>
      <c r="D1155" t="s">
        <v>12487</v>
      </c>
      <c r="E1155" s="2">
        <v>11661</v>
      </c>
      <c r="F1155">
        <f>HYPERLINK("https://www2.assemblee-nationale.fr/sycomore/fiche/(num_dept)/1944", "1944.0")</f>
        <v>0</v>
      </c>
      <c r="H1155">
        <f>HYPERLINK("https://www.wikidata.org/wiki/Q3370923", "Q3370923")</f>
        <v>0</v>
      </c>
    </row>
    <row r="1156" spans="1:8">
      <c r="A1156" t="s">
        <v>1162</v>
      </c>
      <c r="B1156" t="s">
        <v>6005</v>
      </c>
      <c r="C1156" t="s">
        <v>9362</v>
      </c>
      <c r="D1156" t="s">
        <v>12488</v>
      </c>
      <c r="E1156" s="2">
        <v>11730</v>
      </c>
      <c r="F1156">
        <f>HYPERLINK("https://www2.assemblee-nationale.fr/sycomore/fiche/(num_dept)/1941", "1941.0")</f>
        <v>0</v>
      </c>
      <c r="H1156">
        <f>HYPERLINK("https://www.wikidata.org/wiki/Q16025480", "Q16025480")</f>
        <v>0</v>
      </c>
    </row>
    <row r="1157" spans="1:8">
      <c r="A1157" t="s">
        <v>1163</v>
      </c>
      <c r="B1157" t="s">
        <v>6005</v>
      </c>
      <c r="C1157" t="s">
        <v>10042</v>
      </c>
      <c r="D1157" t="s">
        <v>11733</v>
      </c>
      <c r="E1157" s="2">
        <v>19801</v>
      </c>
      <c r="F1157">
        <f>HYPERLINK("https://www2.assemblee-nationale.fr/sycomore/fiche/(num_dept)/1945", "1945.0")</f>
        <v>0</v>
      </c>
      <c r="H1157">
        <f>HYPERLINK("https://www.wikidata.org/wiki/Q16025481", "Q16025481")</f>
        <v>0</v>
      </c>
    </row>
    <row r="1158" spans="1:8">
      <c r="A1158" t="s">
        <v>1164</v>
      </c>
      <c r="B1158" t="s">
        <v>6006</v>
      </c>
      <c r="C1158" t="s">
        <v>10043</v>
      </c>
      <c r="D1158" t="s">
        <v>12489</v>
      </c>
      <c r="E1158" s="2">
        <v>8902</v>
      </c>
      <c r="F1158">
        <f>HYPERLINK("https://www2.assemblee-nationale.fr/sycomore/fiche/(num_dept)/2856", "2856.0")</f>
        <v>0</v>
      </c>
      <c r="H1158">
        <f>HYPERLINK("https://www.wikidata.org/wiki/Q238731", "Q238731")</f>
        <v>0</v>
      </c>
    </row>
    <row r="1159" spans="1:8">
      <c r="A1159" t="s">
        <v>1165</v>
      </c>
      <c r="B1159" t="s">
        <v>6006</v>
      </c>
      <c r="C1159" t="s">
        <v>10044</v>
      </c>
      <c r="D1159" t="s">
        <v>12490</v>
      </c>
      <c r="E1159" s="2">
        <v>18601</v>
      </c>
      <c r="F1159">
        <f>HYPERLINK("https://www2.assemblee-nationale.fr/sycomore/fiche/(num_dept)/1947", "1947.0")</f>
        <v>0</v>
      </c>
      <c r="H1159">
        <f>HYPERLINK("https://www.wikidata.org/wiki/Q3588426", "Q3588426")</f>
        <v>0</v>
      </c>
    </row>
    <row r="1160" spans="1:8">
      <c r="A1160" t="s">
        <v>1166</v>
      </c>
      <c r="B1160" t="s">
        <v>6006</v>
      </c>
      <c r="C1160" t="s">
        <v>9438</v>
      </c>
      <c r="D1160" t="s">
        <v>12491</v>
      </c>
      <c r="E1160" s="2">
        <v>19597</v>
      </c>
      <c r="F1160">
        <f>HYPERLINK("https://www2.assemblee-nationale.fr/sycomore/fiche/(num_dept)/1948", "1948.0")</f>
        <v>0</v>
      </c>
      <c r="G1160">
        <f>HYPERLINK("https://www.senat.fr/senateur-3eme-republique/constant_victor1353r3.html", "constant_victor1353r3")</f>
        <v>0</v>
      </c>
      <c r="H1160">
        <f>HYPERLINK("https://www.wikidata.org/wiki/Q3557227", "Q3557227")</f>
        <v>0</v>
      </c>
    </row>
    <row r="1161" spans="1:8">
      <c r="A1161" t="s">
        <v>1167</v>
      </c>
      <c r="B1161" t="s">
        <v>6007</v>
      </c>
      <c r="C1161" t="s">
        <v>10045</v>
      </c>
      <c r="D1161" t="s">
        <v>12492</v>
      </c>
      <c r="E1161" s="2">
        <v>173</v>
      </c>
      <c r="G1161">
        <f>HYPERLINK("https://www.senat.fr/senateur-3eme-republique/contancin_celestin1770r3.html", "contancin_celestin1770r3")</f>
        <v>0</v>
      </c>
      <c r="H1161">
        <f>HYPERLINK("https://www.wikidata.org/wiki/Q3010063", "Q3010063")</f>
        <v>0</v>
      </c>
    </row>
    <row r="1162" spans="1:8">
      <c r="A1162" t="s">
        <v>1168</v>
      </c>
      <c r="B1162" t="s">
        <v>6008</v>
      </c>
      <c r="C1162" t="s">
        <v>9320</v>
      </c>
      <c r="D1162" t="s">
        <v>12493</v>
      </c>
      <c r="E1162" s="2">
        <v>19725</v>
      </c>
      <c r="G1162">
        <f>HYPERLINK("https://www.senat.fr/senateur-3eme-republique/converset_rene0226r3.html", "converset_rene0226r3")</f>
        <v>0</v>
      </c>
      <c r="H1162">
        <f>HYPERLINK("https://www.wikidata.org/wiki/Q3426028", "Q3426028")</f>
        <v>0</v>
      </c>
    </row>
    <row r="1163" spans="1:8">
      <c r="A1163" t="s">
        <v>1169</v>
      </c>
      <c r="B1163" t="s">
        <v>6009</v>
      </c>
      <c r="C1163" t="s">
        <v>10046</v>
      </c>
      <c r="D1163" t="s">
        <v>12494</v>
      </c>
      <c r="E1163" s="2">
        <v>24380</v>
      </c>
      <c r="F1163">
        <f>HYPERLINK("https://www2.assemblee-nationale.fr/sycomore/fiche/(num_dept)/1952", "1952.0")</f>
        <v>0</v>
      </c>
      <c r="H1163">
        <f>HYPERLINK("https://www.wikidata.org/wiki/Q61695362", "Q61695362")</f>
        <v>0</v>
      </c>
    </row>
    <row r="1164" spans="1:8">
      <c r="A1164" t="s">
        <v>1170</v>
      </c>
      <c r="B1164" t="s">
        <v>6010</v>
      </c>
      <c r="C1164" t="s">
        <v>10047</v>
      </c>
      <c r="D1164" t="s">
        <v>12316</v>
      </c>
      <c r="E1164" s="2">
        <v>11484</v>
      </c>
      <c r="F1164">
        <f>HYPERLINK("https://www2.assemblee-nationale.fr/sycomore/fiche/(num_dept)/1953", "1953.0")</f>
        <v>0</v>
      </c>
      <c r="H1164">
        <f>HYPERLINK("https://www.wikidata.org/wiki/Q16025482", "Q16025482")</f>
        <v>0</v>
      </c>
    </row>
    <row r="1165" spans="1:8">
      <c r="A1165" t="s">
        <v>1171</v>
      </c>
      <c r="B1165" t="s">
        <v>6011</v>
      </c>
      <c r="C1165" t="s">
        <v>6888</v>
      </c>
      <c r="D1165" t="s">
        <v>12495</v>
      </c>
      <c r="E1165" s="2">
        <v>10453</v>
      </c>
      <c r="F1165">
        <f>HYPERLINK("https://www2.assemblee-nationale.fr/sycomore/fiche/(num_dept)/1955", "1955.0")</f>
        <v>0</v>
      </c>
      <c r="H1165">
        <f>HYPERLINK("https://www.wikidata.org/wiki/Q3092409", "Q3092409")</f>
        <v>0</v>
      </c>
    </row>
    <row r="1166" spans="1:8">
      <c r="A1166" t="s">
        <v>1172</v>
      </c>
      <c r="B1166" t="s">
        <v>6012</v>
      </c>
      <c r="C1166" t="s">
        <v>10048</v>
      </c>
      <c r="D1166" s="2">
        <v>175</v>
      </c>
      <c r="E1166" s="2">
        <v>31957</v>
      </c>
      <c r="F1166">
        <f>HYPERLINK("https://www2.assemblee-nationale.fr/sycomore/fiche/(num_dept)/1957", "1957.0")</f>
        <v>0</v>
      </c>
      <c r="H1166">
        <f>HYPERLINK("https://www.wikidata.org/wiki/Q2898802", "Q2898802")</f>
        <v>0</v>
      </c>
    </row>
    <row r="1167" spans="1:8">
      <c r="A1167" t="s">
        <v>1173</v>
      </c>
      <c r="B1167" t="s">
        <v>6013</v>
      </c>
      <c r="C1167" t="s">
        <v>9346</v>
      </c>
      <c r="D1167" t="s">
        <v>12496</v>
      </c>
      <c r="E1167" s="2">
        <v>18553</v>
      </c>
      <c r="G1167">
        <f>HYPERLINK("https://www.senat.fr/senateur-3eme-republique/corbedaine_edouard0710r3.html", "corbedaine_edouard0710r3")</f>
        <v>0</v>
      </c>
      <c r="H1167">
        <f>HYPERLINK("https://www.wikidata.org/wiki/Q3579786", "Q3579786")</f>
        <v>0</v>
      </c>
    </row>
    <row r="1168" spans="1:8">
      <c r="A1168" t="s">
        <v>1174</v>
      </c>
      <c r="B1168" t="s">
        <v>6014</v>
      </c>
      <c r="C1168" t="s">
        <v>10049</v>
      </c>
      <c r="D1168" t="s">
        <v>12497</v>
      </c>
      <c r="E1168" s="2">
        <v>13219</v>
      </c>
      <c r="F1168">
        <f>HYPERLINK("https://www2.assemblee-nationale.fr/sycomore/fiche/(num_dept)/7559", "7559.0")</f>
        <v>0</v>
      </c>
      <c r="H1168">
        <f>HYPERLINK("https://www.wikidata.org/wiki/Q13080919", "Q13080919")</f>
        <v>0</v>
      </c>
    </row>
    <row r="1169" spans="1:8">
      <c r="A1169" t="s">
        <v>1175</v>
      </c>
      <c r="B1169" t="s">
        <v>6015</v>
      </c>
      <c r="C1169" t="s">
        <v>10050</v>
      </c>
      <c r="D1169" t="s">
        <v>12498</v>
      </c>
      <c r="E1169" t="s">
        <v>15955</v>
      </c>
      <c r="G1169">
        <f>HYPERLINK("https://www.senat.fr/senateur-3eme-republique/corbon_anthime1456r3.html", "corbon_anthime1456r3")</f>
        <v>0</v>
      </c>
      <c r="H1169">
        <f>HYPERLINK("https://www.wikidata.org/wiki/Q2976885", "Q2976885")</f>
        <v>0</v>
      </c>
    </row>
    <row r="1170" spans="1:8">
      <c r="A1170" t="s">
        <v>1176</v>
      </c>
      <c r="B1170" t="s">
        <v>6016</v>
      </c>
      <c r="C1170" t="s">
        <v>7754</v>
      </c>
      <c r="D1170" t="s">
        <v>12499</v>
      </c>
      <c r="E1170" s="2">
        <v>8638</v>
      </c>
      <c r="G1170">
        <f>HYPERLINK("https://www.senat.fr/senateur-3eme-republique/cordelet_louis1239r3.html", "cordelet_louis1239r3")</f>
        <v>0</v>
      </c>
      <c r="H1170">
        <f>HYPERLINK("https://www.wikidata.org/wiki/Q3261588", "Q3261588")</f>
        <v>0</v>
      </c>
    </row>
    <row r="1171" spans="1:8">
      <c r="A1171" t="s">
        <v>1177</v>
      </c>
      <c r="B1171" t="s">
        <v>6017</v>
      </c>
      <c r="C1171" t="s">
        <v>7342</v>
      </c>
      <c r="D1171" t="s">
        <v>12500</v>
      </c>
      <c r="E1171" s="2">
        <v>12875</v>
      </c>
      <c r="F1171">
        <f>HYPERLINK("https://www2.assemblee-nationale.fr/sycomore/fiche/(num_dept)/1958", "1958.0")</f>
        <v>0</v>
      </c>
      <c r="H1171">
        <f>HYPERLINK("https://www.wikidata.org/wiki/Q8307941", "Q8307941")</f>
        <v>0</v>
      </c>
    </row>
    <row r="1172" spans="1:8">
      <c r="A1172" t="s">
        <v>1178</v>
      </c>
      <c r="B1172" t="s">
        <v>6018</v>
      </c>
      <c r="C1172" t="s">
        <v>10051</v>
      </c>
      <c r="D1172" t="s">
        <v>12501</v>
      </c>
      <c r="E1172" s="2">
        <v>12402</v>
      </c>
      <c r="F1172">
        <f>HYPERLINK("https://www2.assemblee-nationale.fr/sycomore/fiche/(num_dept)/1959", "1959.0")</f>
        <v>0</v>
      </c>
      <c r="H1172">
        <f>HYPERLINK("https://www.wikidata.org/wiki/Q15741812", "Q15741812")</f>
        <v>0</v>
      </c>
    </row>
    <row r="1173" spans="1:8">
      <c r="A1173" t="s">
        <v>1179</v>
      </c>
      <c r="B1173" t="s">
        <v>6019</v>
      </c>
      <c r="C1173" t="s">
        <v>9457</v>
      </c>
      <c r="D1173" t="s">
        <v>12502</v>
      </c>
      <c r="E1173" t="s">
        <v>15956</v>
      </c>
      <c r="G1173">
        <f>HYPERLINK("https://www.senat.fr/senateur-3eme-republique/cordier_alphonse1457r3.html", "cordier_alphonse1457r3")</f>
        <v>0</v>
      </c>
      <c r="H1173">
        <f>HYPERLINK("https://www.wikidata.org/wiki/Q2839742", "Q2839742")</f>
        <v>0</v>
      </c>
    </row>
    <row r="1174" spans="1:8">
      <c r="A1174" t="s">
        <v>1180</v>
      </c>
      <c r="B1174" t="s">
        <v>6020</v>
      </c>
      <c r="C1174" t="s">
        <v>9471</v>
      </c>
      <c r="D1174" t="s">
        <v>12503</v>
      </c>
      <c r="E1174" s="2">
        <v>7299</v>
      </c>
      <c r="F1174">
        <f>HYPERLINK("https://www2.assemblee-nationale.fr/sycomore/fiche/(num_dept)/1960", "1960.0")</f>
        <v>0</v>
      </c>
      <c r="H1174">
        <f>HYPERLINK("https://www.wikidata.org/wiki/Q18400140", "Q18400140")</f>
        <v>0</v>
      </c>
    </row>
    <row r="1175" spans="1:8">
      <c r="A1175" t="s">
        <v>1181</v>
      </c>
      <c r="B1175" t="s">
        <v>6021</v>
      </c>
      <c r="C1175" t="s">
        <v>10052</v>
      </c>
      <c r="D1175" t="s">
        <v>12504</v>
      </c>
      <c r="E1175" s="2">
        <v>16777</v>
      </c>
      <c r="F1175">
        <f>HYPERLINK("https://www2.assemblee-nationale.fr/sycomore/fiche/(num_dept)/1963", "1963.0")</f>
        <v>0</v>
      </c>
      <c r="H1175">
        <f>HYPERLINK("https://www.wikidata.org/wiki/Q15642460", "Q15642460")</f>
        <v>0</v>
      </c>
    </row>
    <row r="1176" spans="1:8">
      <c r="A1176" t="s">
        <v>1182</v>
      </c>
      <c r="B1176" t="s">
        <v>6022</v>
      </c>
      <c r="C1176" t="s">
        <v>10053</v>
      </c>
      <c r="D1176" t="s">
        <v>12505</v>
      </c>
      <c r="E1176" s="2">
        <v>8275</v>
      </c>
      <c r="F1176">
        <f>HYPERLINK("https://www2.assemblee-nationale.fr/sycomore/fiche/(num_dept)/3706", "3706.0")</f>
        <v>0</v>
      </c>
      <c r="H1176">
        <f>HYPERLINK("https://www.wikidata.org/wiki/Q2997242", "Q2997242")</f>
        <v>0</v>
      </c>
    </row>
    <row r="1177" spans="1:8">
      <c r="A1177" t="s">
        <v>1183</v>
      </c>
      <c r="B1177" t="s">
        <v>6023</v>
      </c>
      <c r="C1177" t="s">
        <v>10054</v>
      </c>
      <c r="D1177" t="s">
        <v>12506</v>
      </c>
      <c r="E1177" s="2">
        <v>10742</v>
      </c>
      <c r="F1177">
        <f>HYPERLINK("https://www2.assemblee-nationale.fr/sycomore/fiche/(num_dept)/1966", "1966.0")</f>
        <v>0</v>
      </c>
      <c r="G1177">
        <f>HYPERLINK("https://www.senat.fr/senateur-3eme-republique/cornand_leon0086r3.html", "cornand_leon0086r3")</f>
        <v>0</v>
      </c>
      <c r="H1177">
        <f>HYPERLINK("https://www.wikidata.org/wiki/Q3270842", "Q3270842")</f>
        <v>0</v>
      </c>
    </row>
    <row r="1178" spans="1:8">
      <c r="A1178" t="s">
        <v>1184</v>
      </c>
      <c r="B1178" t="s">
        <v>6024</v>
      </c>
      <c r="C1178" t="s">
        <v>10055</v>
      </c>
      <c r="D1178" t="s">
        <v>12507</v>
      </c>
      <c r="E1178" s="2">
        <v>16628</v>
      </c>
      <c r="F1178">
        <f>HYPERLINK("https://www2.assemblee-nationale.fr/sycomore/fiche/(num_dept)/1967", "1967.0")</f>
        <v>0</v>
      </c>
      <c r="H1178">
        <f>HYPERLINK("https://www.wikidata.org/wiki/Q3098956", "Q3098956")</f>
        <v>0</v>
      </c>
    </row>
    <row r="1179" spans="1:8">
      <c r="A1179" t="s">
        <v>1185</v>
      </c>
      <c r="B1179" t="s">
        <v>6025</v>
      </c>
      <c r="C1179" t="s">
        <v>9860</v>
      </c>
      <c r="D1179" t="s">
        <v>12508</v>
      </c>
      <c r="E1179" t="s">
        <v>15957</v>
      </c>
      <c r="G1179">
        <f>HYPERLINK("https://www.senat.fr/senateur-3eme-republique/corne_hyacinthe1458r3.html", "corne_hyacinthe1458r3")</f>
        <v>0</v>
      </c>
      <c r="H1179">
        <f>HYPERLINK("https://www.wikidata.org/wiki/Q3143581", "Q3143581")</f>
        <v>0</v>
      </c>
    </row>
    <row r="1180" spans="1:8">
      <c r="A1180" t="s">
        <v>1186</v>
      </c>
      <c r="B1180" t="s">
        <v>6026</v>
      </c>
      <c r="C1180" t="s">
        <v>9489</v>
      </c>
      <c r="D1180" t="s">
        <v>12509</v>
      </c>
      <c r="E1180" s="2">
        <v>2233</v>
      </c>
      <c r="F1180">
        <f>HYPERLINK("https://www2.assemblee-nationale.fr/sycomore/fiche/(num_dept)/1968", "1968.0")</f>
        <v>0</v>
      </c>
      <c r="H1180">
        <f>HYPERLINK("https://www.wikidata.org/wiki/Q15971897", "Q15971897")</f>
        <v>0</v>
      </c>
    </row>
    <row r="1181" spans="1:8">
      <c r="A1181" t="s">
        <v>1187</v>
      </c>
      <c r="B1181" t="s">
        <v>6027</v>
      </c>
      <c r="C1181" t="s">
        <v>9377</v>
      </c>
      <c r="D1181" t="s">
        <v>12510</v>
      </c>
      <c r="E1181" s="2">
        <v>8213</v>
      </c>
      <c r="F1181">
        <f>HYPERLINK("https://www2.assemblee-nationale.fr/sycomore/fiche/(num_dept)/1969", "1969.0")</f>
        <v>0</v>
      </c>
      <c r="G1181">
        <f>HYPERLINK("https://www.senat.fr/senateur-3eme-republique/cornet_lucien1850r3.html", "cornet_lucien1850r3")</f>
        <v>0</v>
      </c>
      <c r="H1181">
        <f>HYPERLINK("https://www.wikidata.org/wiki/Q3265439", "Q3265439")</f>
        <v>0</v>
      </c>
    </row>
    <row r="1182" spans="1:8">
      <c r="A1182" t="s">
        <v>1188</v>
      </c>
      <c r="B1182" t="s">
        <v>6028</v>
      </c>
      <c r="C1182" t="s">
        <v>10056</v>
      </c>
      <c r="D1182" t="s">
        <v>12511</v>
      </c>
      <c r="E1182" s="2">
        <v>3027</v>
      </c>
      <c r="F1182">
        <f>HYPERLINK("https://www2.assemblee-nationale.fr/sycomore/fiche/(num_dept)/1974", "1974.0")</f>
        <v>0</v>
      </c>
      <c r="G1182">
        <f>HYPERLINK("https://www.senat.fr/senateur-3eme-republique/cornil_andre0053r3.html", "cornil_andre0053r3")</f>
        <v>0</v>
      </c>
      <c r="H1182">
        <f>HYPERLINK("https://www.wikidata.org/wiki/Q1388300", "Q1388300")</f>
        <v>0</v>
      </c>
    </row>
    <row r="1183" spans="1:8">
      <c r="A1183" t="s">
        <v>1189</v>
      </c>
      <c r="B1183" t="s">
        <v>6029</v>
      </c>
      <c r="C1183" t="s">
        <v>5096</v>
      </c>
      <c r="D1183" t="s">
        <v>12512</v>
      </c>
      <c r="E1183" s="2">
        <v>29256</v>
      </c>
      <c r="F1183">
        <f>HYPERLINK("https://www2.assemblee-nationale.fr/sycomore/fiche/(num_dept)/1976", "1976.0")</f>
        <v>0</v>
      </c>
      <c r="H1183">
        <f>HYPERLINK("https://www.wikidata.org/wiki/Q2847553", "Q2847553")</f>
        <v>0</v>
      </c>
    </row>
    <row r="1184" spans="1:8">
      <c r="A1184" t="s">
        <v>1190</v>
      </c>
      <c r="B1184" t="s">
        <v>6030</v>
      </c>
      <c r="C1184" t="s">
        <v>10057</v>
      </c>
      <c r="D1184" t="s">
        <v>12513</v>
      </c>
      <c r="G1184">
        <f>HYPERLINK("https://www.senat.fr/senateur-3eme-republique/cornudet_des_chaumettes_honore1635r3.html", "cornudet_des_chaumettes_honore1635r3")</f>
        <v>0</v>
      </c>
      <c r="H1184">
        <f>HYPERLINK("https://www.wikidata.org/wiki/Q3140215", "Q3140215")</f>
        <v>0</v>
      </c>
    </row>
    <row r="1185" spans="1:8">
      <c r="A1185" t="s">
        <v>1191</v>
      </c>
      <c r="B1185" t="s">
        <v>6031</v>
      </c>
      <c r="C1185" t="s">
        <v>9525</v>
      </c>
      <c r="D1185" t="s">
        <v>12514</v>
      </c>
      <c r="E1185" t="s">
        <v>15958</v>
      </c>
      <c r="F1185">
        <f>HYPERLINK("https://www2.assemblee-nationale.fr/sycomore/fiche/(num_dept)/1980", "1980.0")</f>
        <v>0</v>
      </c>
      <c r="H1185">
        <f>HYPERLINK("https://www.wikidata.org/wiki/Q3110589", "Q3110589")</f>
        <v>0</v>
      </c>
    </row>
    <row r="1186" spans="1:8">
      <c r="A1186" t="s">
        <v>1192</v>
      </c>
      <c r="B1186" t="s">
        <v>6032</v>
      </c>
      <c r="C1186" t="s">
        <v>10058</v>
      </c>
      <c r="D1186" t="s">
        <v>12515</v>
      </c>
      <c r="E1186" s="2">
        <v>19869</v>
      </c>
      <c r="F1186">
        <f>HYPERLINK("https://www2.assemblee-nationale.fr/sycomore/fiche/(num_dept)/1986", "1986.0")</f>
        <v>0</v>
      </c>
      <c r="H1186">
        <f>HYPERLINK("https://www.wikidata.org/wiki/Q16025486", "Q16025486")</f>
        <v>0</v>
      </c>
    </row>
    <row r="1187" spans="1:8">
      <c r="A1187" t="s">
        <v>1193</v>
      </c>
      <c r="B1187" t="s">
        <v>6033</v>
      </c>
      <c r="C1187" t="s">
        <v>10059</v>
      </c>
      <c r="D1187" t="s">
        <v>12516</v>
      </c>
      <c r="E1187" s="2">
        <v>3384</v>
      </c>
      <c r="F1187">
        <f>HYPERLINK("https://www2.assemblee-nationale.fr/sycomore/fiche/(num_dept)/1987", "1987.0")</f>
        <v>0</v>
      </c>
      <c r="H1187">
        <f>HYPERLINK("https://www.wikidata.org/wiki/Q3510668", "Q3510668")</f>
        <v>0</v>
      </c>
    </row>
    <row r="1188" spans="1:8">
      <c r="A1188" t="s">
        <v>1194</v>
      </c>
      <c r="B1188" t="s">
        <v>6034</v>
      </c>
      <c r="C1188" t="s">
        <v>9471</v>
      </c>
      <c r="D1188" t="s">
        <v>12517</v>
      </c>
      <c r="E1188" s="2">
        <v>6986</v>
      </c>
      <c r="F1188">
        <f>HYPERLINK("https://www2.assemblee-nationale.fr/sycomore/fiche/(num_dept)/1988", "1988.0")</f>
        <v>0</v>
      </c>
      <c r="H1188">
        <f>HYPERLINK("https://www.wikidata.org/wiki/Q13080925", "Q13080925")</f>
        <v>0</v>
      </c>
    </row>
    <row r="1189" spans="1:8">
      <c r="A1189" t="s">
        <v>1195</v>
      </c>
      <c r="B1189" t="s">
        <v>6035</v>
      </c>
      <c r="C1189" t="s">
        <v>10060</v>
      </c>
      <c r="D1189" t="s">
        <v>12518</v>
      </c>
      <c r="E1189" s="2">
        <v>11955</v>
      </c>
      <c r="F1189">
        <f>HYPERLINK("https://www2.assemblee-nationale.fr/sycomore/fiche/(num_dept)/1989", "1989.0")</f>
        <v>0</v>
      </c>
      <c r="G1189">
        <f>HYPERLINK("https://www.senat.fr/senateur-3eme-republique/cosnier_henri0280r3.html", "cosnier_henri0280r3")</f>
        <v>0</v>
      </c>
      <c r="H1189">
        <f>HYPERLINK("https://www.wikidata.org/wiki/Q3130887", "Q3130887")</f>
        <v>0</v>
      </c>
    </row>
    <row r="1190" spans="1:8">
      <c r="A1190" t="s">
        <v>1196</v>
      </c>
      <c r="B1190" t="s">
        <v>6036</v>
      </c>
      <c r="C1190" t="s">
        <v>9503</v>
      </c>
      <c r="D1190" t="s">
        <v>12519</v>
      </c>
      <c r="G1190">
        <f>HYPERLINK("https://www.senat.fr/senateur-3eme-republique/coste_gustave1838r3.html", "coste_gustave1838r3")</f>
        <v>0</v>
      </c>
      <c r="H1190">
        <f>HYPERLINK("https://www.wikidata.org/wiki/Q3121144", "Q3121144")</f>
        <v>0</v>
      </c>
    </row>
    <row r="1191" spans="1:8">
      <c r="A1191" t="s">
        <v>1197</v>
      </c>
      <c r="B1191" t="s">
        <v>6037</v>
      </c>
      <c r="C1191" t="s">
        <v>10061</v>
      </c>
      <c r="D1191" t="s">
        <v>12520</v>
      </c>
      <c r="E1191" t="s">
        <v>15959</v>
      </c>
      <c r="F1191">
        <f>HYPERLINK("https://www2.assemblee-nationale.fr/sycomore/fiche/(num_dept)/8212", "8212.0")</f>
        <v>0</v>
      </c>
      <c r="H1191">
        <f>HYPERLINK("https://www.wikidata.org/wiki/Q10643738", "Q10643738")</f>
        <v>0</v>
      </c>
    </row>
    <row r="1192" spans="1:8">
      <c r="A1192" t="s">
        <v>1198</v>
      </c>
      <c r="B1192" t="s">
        <v>6038</v>
      </c>
      <c r="C1192" t="s">
        <v>7342</v>
      </c>
      <c r="D1192" t="s">
        <v>12521</v>
      </c>
      <c r="E1192" s="2">
        <v>4864</v>
      </c>
      <c r="G1192">
        <f>HYPERLINK("https://www.senat.fr/senateur-3eme-republique/costes_jean0612r3.html", "costes_jean0612r3")</f>
        <v>0</v>
      </c>
      <c r="H1192">
        <f>HYPERLINK("https://www.wikidata.org/wiki/Q3171435", "Q3171435")</f>
        <v>0</v>
      </c>
    </row>
    <row r="1193" spans="1:8">
      <c r="A1193" t="s">
        <v>1199</v>
      </c>
      <c r="B1193" t="s">
        <v>6039</v>
      </c>
      <c r="C1193" t="s">
        <v>7342</v>
      </c>
      <c r="D1193" t="s">
        <v>12522</v>
      </c>
      <c r="E1193" s="2">
        <v>2252</v>
      </c>
      <c r="F1193">
        <f>HYPERLINK("https://www2.assemblee-nationale.fr/sycomore/fiche/(num_dept)/1995", "1995.0")</f>
        <v>0</v>
      </c>
      <c r="H1193">
        <f>HYPERLINK("https://www.wikidata.org/wiki/Q16025488", "Q16025488")</f>
        <v>0</v>
      </c>
    </row>
    <row r="1194" spans="1:8">
      <c r="A1194" t="s">
        <v>1200</v>
      </c>
      <c r="B1194" t="s">
        <v>6039</v>
      </c>
      <c r="C1194" t="s">
        <v>10062</v>
      </c>
      <c r="D1194" t="s">
        <v>12523</v>
      </c>
      <c r="E1194" s="2">
        <v>28358</v>
      </c>
      <c r="F1194">
        <f>HYPERLINK("https://www2.assemblee-nationale.fr/sycomore/fiche/(num_dept)/1997", "1997.0")</f>
        <v>0</v>
      </c>
      <c r="H1194">
        <f>HYPERLINK("https://www.wikidata.org/wiki/Q2274693", "Q2274693")</f>
        <v>0</v>
      </c>
    </row>
    <row r="1195" spans="1:8">
      <c r="A1195" t="s">
        <v>1201</v>
      </c>
      <c r="B1195" t="s">
        <v>6040</v>
      </c>
      <c r="C1195" t="s">
        <v>10063</v>
      </c>
      <c r="D1195" t="s">
        <v>12524</v>
      </c>
      <c r="E1195" s="2">
        <v>15796</v>
      </c>
      <c r="F1195">
        <f>HYPERLINK("https://www2.assemblee-nationale.fr/sycomore/fiche/(num_dept)/1998", "1998.0")</f>
        <v>0</v>
      </c>
      <c r="H1195">
        <f>HYPERLINK("https://www.wikidata.org/wiki/Q16025489", "Q16025489")</f>
        <v>0</v>
      </c>
    </row>
    <row r="1196" spans="1:8">
      <c r="A1196" t="s">
        <v>1202</v>
      </c>
      <c r="B1196" t="s">
        <v>6041</v>
      </c>
      <c r="C1196" t="s">
        <v>6864</v>
      </c>
      <c r="D1196" t="s">
        <v>12525</v>
      </c>
      <c r="E1196" s="2">
        <v>12625</v>
      </c>
      <c r="G1196">
        <f>HYPERLINK("https://www.senat.fr/senateur-3eme-republique/coty_francois0493r3.html", "coty_francois0493r3")</f>
        <v>0</v>
      </c>
      <c r="H1196">
        <f>HYPERLINK("https://www.wikidata.org/wiki/Q1332383", "Q1332383")</f>
        <v>0</v>
      </c>
    </row>
    <row r="1197" spans="1:8">
      <c r="A1197" t="s">
        <v>1203</v>
      </c>
      <c r="B1197" t="s">
        <v>6042</v>
      </c>
      <c r="C1197" t="s">
        <v>9320</v>
      </c>
      <c r="D1197" t="s">
        <v>12526</v>
      </c>
      <c r="E1197" s="2">
        <v>22977</v>
      </c>
      <c r="F1197">
        <f>HYPERLINK("https://www2.assemblee-nationale.fr/sycomore/fiche/(num_dept)/2000", "2000.0")</f>
        <v>0</v>
      </c>
      <c r="G1197">
        <f>HYPERLINK("https://www.senat.fr/senateur-3eme-republique/coty_rene0134r4.html", "coty_rene0134r4")</f>
        <v>0</v>
      </c>
      <c r="H1197">
        <f>HYPERLINK("https://www.wikidata.org/wiki/Q158768", "Q158768")</f>
        <v>0</v>
      </c>
    </row>
    <row r="1198" spans="1:8">
      <c r="A1198" t="s">
        <v>1204</v>
      </c>
      <c r="B1198" t="s">
        <v>6043</v>
      </c>
      <c r="C1198" t="s">
        <v>7342</v>
      </c>
      <c r="D1198" t="s">
        <v>12527</v>
      </c>
      <c r="E1198" s="2">
        <v>4115</v>
      </c>
      <c r="F1198">
        <f>HYPERLINK("https://www2.assemblee-nationale.fr/sycomore/fiche/(num_dept)/2002", "2002.0")</f>
        <v>0</v>
      </c>
      <c r="H1198">
        <f>HYPERLINK("https://www.wikidata.org/wiki/Q3188499", "Q3188499")</f>
        <v>0</v>
      </c>
    </row>
    <row r="1199" spans="1:8">
      <c r="A1199" t="s">
        <v>1205</v>
      </c>
      <c r="B1199" t="s">
        <v>6044</v>
      </c>
      <c r="C1199" t="s">
        <v>9373</v>
      </c>
      <c r="D1199" t="s">
        <v>12528</v>
      </c>
      <c r="E1199" s="2">
        <v>23633</v>
      </c>
      <c r="F1199">
        <f>HYPERLINK("https://www2.assemblee-nationale.fr/sycomore/fiche/(num_dept)/2003", "2003.0")</f>
        <v>0</v>
      </c>
      <c r="G1199">
        <f>HYPERLINK("https://www.senat.fr/senateur-3eme-republique/coucoureux_joseph0296r3.html", "coucoureux_joseph0296r3")</f>
        <v>0</v>
      </c>
      <c r="H1199">
        <f>HYPERLINK("https://www.wikidata.org/wiki/Q3184791", "Q3184791")</f>
        <v>0</v>
      </c>
    </row>
    <row r="1200" spans="1:8">
      <c r="A1200" t="s">
        <v>1206</v>
      </c>
      <c r="B1200" t="s">
        <v>6045</v>
      </c>
      <c r="C1200" t="s">
        <v>9373</v>
      </c>
      <c r="D1200" t="s">
        <v>12529</v>
      </c>
      <c r="E1200" s="2">
        <v>6457</v>
      </c>
      <c r="F1200">
        <f>HYPERLINK("https://www2.assemblee-nationale.fr/sycomore/fiche/(num_dept)/2006", "2006.0")</f>
        <v>0</v>
      </c>
      <c r="H1200">
        <f>HYPERLINK("https://www.wikidata.org/wiki/Q3184792", "Q3184792")</f>
        <v>0</v>
      </c>
    </row>
    <row r="1201" spans="1:8">
      <c r="A1201" t="s">
        <v>1207</v>
      </c>
      <c r="B1201" t="s">
        <v>6046</v>
      </c>
      <c r="C1201" t="s">
        <v>9377</v>
      </c>
      <c r="D1201" t="s">
        <v>12530</v>
      </c>
      <c r="E1201" s="2">
        <v>30153</v>
      </c>
      <c r="F1201">
        <f>HYPERLINK("https://www2.assemblee-nationale.fr/sycomore/fiche/(num_dept)/2009", "2009.0")</f>
        <v>0</v>
      </c>
      <c r="H1201">
        <f>HYPERLINK("https://www.wikidata.org/wiki/Q16025491", "Q16025491")</f>
        <v>0</v>
      </c>
    </row>
    <row r="1202" spans="1:8">
      <c r="A1202" t="s">
        <v>1208</v>
      </c>
      <c r="B1202" t="s">
        <v>6047</v>
      </c>
      <c r="C1202" t="s">
        <v>9453</v>
      </c>
      <c r="D1202" t="s">
        <v>12531</v>
      </c>
      <c r="E1202" t="s">
        <v>15960</v>
      </c>
      <c r="F1202">
        <f>HYPERLINK("https://www2.assemblee-nationale.fr/sycomore/fiche/(num_dept)/2011", "2011.0")</f>
        <v>0</v>
      </c>
      <c r="H1202">
        <f>HYPERLINK("https://www.wikidata.org/wiki/Q16025492", "Q16025492")</f>
        <v>0</v>
      </c>
    </row>
    <row r="1203" spans="1:8">
      <c r="A1203" t="s">
        <v>1209</v>
      </c>
      <c r="B1203" t="s">
        <v>6048</v>
      </c>
      <c r="C1203" t="s">
        <v>10064</v>
      </c>
      <c r="D1203" t="s">
        <v>12532</v>
      </c>
      <c r="E1203" s="2">
        <v>11595</v>
      </c>
      <c r="F1203">
        <f>HYPERLINK("https://www2.assemblee-nationale.fr/sycomore/fiche/(num_dept)/2013", "2013.0")</f>
        <v>0</v>
      </c>
      <c r="H1203">
        <f>HYPERLINK("https://www.wikidata.org/wiki/Q8332247", "Q8332247")</f>
        <v>0</v>
      </c>
    </row>
    <row r="1204" spans="1:8">
      <c r="A1204" t="s">
        <v>1210</v>
      </c>
      <c r="B1204" t="s">
        <v>6049</v>
      </c>
      <c r="C1204" t="s">
        <v>10065</v>
      </c>
      <c r="D1204" t="s">
        <v>12533</v>
      </c>
      <c r="E1204" s="2">
        <v>29101</v>
      </c>
      <c r="F1204">
        <f>HYPERLINK("https://www2.assemblee-nationale.fr/sycomore/fiche/(num_dept)/2014", "2014.0")</f>
        <v>0</v>
      </c>
      <c r="H1204">
        <f>HYPERLINK("https://www.wikidata.org/wiki/Q16025493", "Q16025493")</f>
        <v>0</v>
      </c>
    </row>
    <row r="1205" spans="1:8">
      <c r="A1205" t="s">
        <v>1211</v>
      </c>
      <c r="B1205" t="s">
        <v>6050</v>
      </c>
      <c r="C1205" t="s">
        <v>9548</v>
      </c>
      <c r="D1205" t="s">
        <v>12534</v>
      </c>
      <c r="E1205" s="2">
        <v>17676</v>
      </c>
      <c r="F1205">
        <f>HYPERLINK("https://www2.assemblee-nationale.fr/sycomore/fiche/(num_dept)/2015", "2015.0")</f>
        <v>0</v>
      </c>
      <c r="H1205">
        <f>HYPERLINK("https://www.wikidata.org/wiki/Q16025494", "Q16025494")</f>
        <v>0</v>
      </c>
    </row>
    <row r="1206" spans="1:8">
      <c r="A1206" t="s">
        <v>1212</v>
      </c>
      <c r="B1206" t="s">
        <v>6051</v>
      </c>
      <c r="C1206" t="s">
        <v>9512</v>
      </c>
      <c r="D1206" t="s">
        <v>12535</v>
      </c>
      <c r="E1206" s="2">
        <v>8382</v>
      </c>
      <c r="F1206">
        <f>HYPERLINK("https://www2.assemblee-nationale.fr/sycomore/fiche/(num_dept)/2023", "2023.0")</f>
        <v>0</v>
      </c>
      <c r="H1206">
        <f>HYPERLINK("https://www.wikidata.org/wiki/Q3098959", "Q3098959")</f>
        <v>0</v>
      </c>
    </row>
    <row r="1207" spans="1:8">
      <c r="A1207" t="s">
        <v>1213</v>
      </c>
      <c r="B1207" t="s">
        <v>6052</v>
      </c>
      <c r="C1207" t="s">
        <v>10066</v>
      </c>
      <c r="D1207" t="s">
        <v>12536</v>
      </c>
      <c r="E1207" s="2">
        <v>1983</v>
      </c>
      <c r="F1207">
        <f>HYPERLINK("https://www2.assemblee-nationale.fr/sycomore/fiche/(num_dept)/7561", "7561.0")</f>
        <v>0</v>
      </c>
      <c r="H1207">
        <f>HYPERLINK("https://www.wikidata.org/wiki/Q3059970", "Q3059970")</f>
        <v>0</v>
      </c>
    </row>
    <row r="1208" spans="1:8">
      <c r="A1208" t="s">
        <v>1214</v>
      </c>
      <c r="B1208" t="s">
        <v>6053</v>
      </c>
      <c r="C1208" t="s">
        <v>8384</v>
      </c>
      <c r="D1208" t="s">
        <v>12537</v>
      </c>
      <c r="E1208" s="2">
        <v>16069</v>
      </c>
      <c r="H1208">
        <f>HYPERLINK("https://www.wikidata.org/wiki/Q3384551", "Q3384551")</f>
        <v>0</v>
      </c>
    </row>
    <row r="1209" spans="1:8">
      <c r="A1209" t="s">
        <v>1215</v>
      </c>
      <c r="B1209" t="s">
        <v>6054</v>
      </c>
      <c r="C1209" t="s">
        <v>10067</v>
      </c>
      <c r="D1209" t="s">
        <v>12538</v>
      </c>
      <c r="E1209" s="2">
        <v>7108</v>
      </c>
      <c r="G1209">
        <f>HYPERLINK("https://www.senat.fr/senateur-3eme-republique/courcel_alphonse_chodron_de1653r3.html", "courcel_alphonse_chodron_de1653r3")</f>
        <v>0</v>
      </c>
      <c r="H1209">
        <f>HYPERLINK("https://www.wikidata.org/wiki/Q2839741", "Q2839741")</f>
        <v>0</v>
      </c>
    </row>
    <row r="1210" spans="1:8">
      <c r="A1210" t="s">
        <v>1216</v>
      </c>
      <c r="B1210" t="s">
        <v>6055</v>
      </c>
      <c r="C1210" t="s">
        <v>9548</v>
      </c>
      <c r="D1210" t="s">
        <v>12539</v>
      </c>
      <c r="E1210" s="2">
        <v>9586</v>
      </c>
      <c r="F1210">
        <f>HYPERLINK("https://www2.assemblee-nationale.fr/sycomore/fiche/(num_dept)/2027", "2027.0")</f>
        <v>0</v>
      </c>
      <c r="H1210">
        <f>HYPERLINK("https://www.wikidata.org/wiki/Q8307948", "Q8307948")</f>
        <v>0</v>
      </c>
    </row>
    <row r="1211" spans="1:8">
      <c r="A1211" t="s">
        <v>1217</v>
      </c>
      <c r="B1211" t="s">
        <v>6056</v>
      </c>
      <c r="C1211" t="s">
        <v>10068</v>
      </c>
      <c r="D1211" t="s">
        <v>12540</v>
      </c>
      <c r="E1211" s="2">
        <v>1057</v>
      </c>
      <c r="F1211">
        <f>HYPERLINK("https://www2.assemblee-nationale.fr/sycomore/fiche/(num_dept)/8176", "8176.0")</f>
        <v>0</v>
      </c>
      <c r="H1211">
        <f>HYPERLINK("https://www.wikidata.org/wiki/Q3059789", "Q3059789")</f>
        <v>0</v>
      </c>
    </row>
    <row r="1212" spans="1:8">
      <c r="A1212" t="s">
        <v>1218</v>
      </c>
      <c r="B1212" t="s">
        <v>6057</v>
      </c>
      <c r="C1212" t="s">
        <v>10069</v>
      </c>
      <c r="D1212" t="s">
        <v>12541</v>
      </c>
      <c r="E1212" s="2">
        <v>23049</v>
      </c>
      <c r="G1212">
        <f>HYPERLINK("https://www.senat.fr/senateur-3eme-republique/cournault_charles_henri0934r3.html", "cournault_charles_henri0934r3")</f>
        <v>0</v>
      </c>
      <c r="H1212">
        <f>HYPERLINK("https://www.wikidata.org/wiki/Q2958112", "Q2958112")</f>
        <v>0</v>
      </c>
    </row>
    <row r="1213" spans="1:8">
      <c r="A1213" t="s">
        <v>1219</v>
      </c>
      <c r="B1213" t="s">
        <v>6058</v>
      </c>
      <c r="C1213" t="s">
        <v>7754</v>
      </c>
      <c r="D1213" t="s">
        <v>12542</v>
      </c>
      <c r="E1213" s="2">
        <v>21320</v>
      </c>
      <c r="G1213">
        <f>HYPERLINK("https://www.senat.fr/senateur-3eme-republique/courot_louis1015r3.html", "courot_louis1015r3")</f>
        <v>0</v>
      </c>
      <c r="H1213">
        <f>HYPERLINK("https://www.wikidata.org/wiki/Q3261613", "Q3261613")</f>
        <v>0</v>
      </c>
    </row>
    <row r="1214" spans="1:8">
      <c r="A1214" t="s">
        <v>1220</v>
      </c>
      <c r="B1214" t="s">
        <v>6059</v>
      </c>
      <c r="C1214" t="s">
        <v>10070</v>
      </c>
      <c r="D1214" t="s">
        <v>12543</v>
      </c>
      <c r="E1214" s="2">
        <v>9393</v>
      </c>
      <c r="G1214">
        <f>HYPERLINK("https://www.senat.fr/senateur-3eme-republique/courregelongue_marcel0213r3.html", "courregelongue_marcel0213r3")</f>
        <v>0</v>
      </c>
      <c r="H1214">
        <f>HYPERLINK("https://www.wikidata.org/wiki/Q3288830", "Q3288830")</f>
        <v>0</v>
      </c>
    </row>
    <row r="1215" spans="1:8">
      <c r="A1215" t="s">
        <v>1221</v>
      </c>
      <c r="B1215" t="s">
        <v>6060</v>
      </c>
      <c r="C1215" t="s">
        <v>10071</v>
      </c>
      <c r="D1215" t="s">
        <v>12544</v>
      </c>
      <c r="E1215" s="2">
        <v>24459</v>
      </c>
      <c r="F1215">
        <f>HYPERLINK("https://www2.assemblee-nationale.fr/sycomore/fiche/(num_dept)/2028", "2028.0")</f>
        <v>0</v>
      </c>
      <c r="H1215">
        <f>HYPERLINK("https://www.wikidata.org/wiki/Q3370944", "Q3370944")</f>
        <v>0</v>
      </c>
    </row>
    <row r="1216" spans="1:8">
      <c r="A1216" t="s">
        <v>1222</v>
      </c>
      <c r="B1216" t="s">
        <v>6061</v>
      </c>
      <c r="C1216" t="s">
        <v>7782</v>
      </c>
      <c r="D1216" t="s">
        <v>12545</v>
      </c>
      <c r="E1216" s="2">
        <v>18399</v>
      </c>
      <c r="F1216">
        <f>HYPERLINK("https://www2.assemblee-nationale.fr/sycomore/fiche/(num_dept)/2030", "2030.0")</f>
        <v>0</v>
      </c>
      <c r="H1216">
        <f>HYPERLINK("https://www.wikidata.org/wiki/Q3270844", "Q3270844")</f>
        <v>0</v>
      </c>
    </row>
    <row r="1217" spans="1:8">
      <c r="A1217" t="s">
        <v>1223</v>
      </c>
      <c r="B1217" t="s">
        <v>6062</v>
      </c>
      <c r="C1217" t="s">
        <v>10072</v>
      </c>
      <c r="D1217" t="s">
        <v>12546</v>
      </c>
      <c r="E1217" s="2">
        <v>20975</v>
      </c>
      <c r="F1217">
        <f>HYPERLINK("https://www2.assemblee-nationale.fr/sycomore/fiche/(num_dept)/2033", "2033.0")</f>
        <v>0</v>
      </c>
      <c r="H1217">
        <f>HYPERLINK("https://www.wikidata.org/wiki/Q3188501", "Q3188501")</f>
        <v>0</v>
      </c>
    </row>
    <row r="1218" spans="1:8">
      <c r="A1218" t="s">
        <v>1224</v>
      </c>
      <c r="B1218" t="s">
        <v>6063</v>
      </c>
      <c r="C1218" t="s">
        <v>7001</v>
      </c>
      <c r="D1218" t="s">
        <v>12547</v>
      </c>
      <c r="E1218" s="2">
        <v>11873</v>
      </c>
      <c r="F1218">
        <f>HYPERLINK("https://www2.assemblee-nationale.fr/sycomore/fiche/(num_dept)/2034", "2034.0")</f>
        <v>0</v>
      </c>
      <c r="H1218">
        <f>HYPERLINK("https://www.wikidata.org/wiki/Q10643961", "Q10643961")</f>
        <v>0</v>
      </c>
    </row>
    <row r="1219" spans="1:8">
      <c r="A1219" t="s">
        <v>1225</v>
      </c>
      <c r="B1219" t="s">
        <v>6064</v>
      </c>
      <c r="C1219" t="s">
        <v>10073</v>
      </c>
      <c r="D1219" t="s">
        <v>12548</v>
      </c>
      <c r="E1219" s="2">
        <v>14643</v>
      </c>
      <c r="F1219">
        <f>HYPERLINK("https://www2.assemblee-nationale.fr/sycomore/fiche/(num_dept)/2035", "2035.0")</f>
        <v>0</v>
      </c>
      <c r="G1219">
        <f>HYPERLINK("https://www.senat.fr/senateur-3eme-republique/courtier_joseph0875r3.html", "courtier_joseph0875r3")</f>
        <v>0</v>
      </c>
      <c r="H1219">
        <f>HYPERLINK("https://www.wikidata.org/wiki/Q3184795", "Q3184795")</f>
        <v>0</v>
      </c>
    </row>
    <row r="1220" spans="1:8">
      <c r="A1220" t="s">
        <v>1226</v>
      </c>
      <c r="B1220" t="s">
        <v>6065</v>
      </c>
      <c r="C1220" t="s">
        <v>9320</v>
      </c>
      <c r="D1220" t="s">
        <v>12549</v>
      </c>
      <c r="E1220" s="2">
        <v>17943</v>
      </c>
      <c r="G1220">
        <f>HYPERLINK("https://www.senat.fr/senateur-3eme-republique/courtier_rene1593r3.html", "courtier_rene1593r3")</f>
        <v>0</v>
      </c>
      <c r="H1220">
        <f>HYPERLINK("https://www.wikidata.org/wiki/Q3426044", "Q3426044")</f>
        <v>0</v>
      </c>
    </row>
    <row r="1221" spans="1:8">
      <c r="A1221" t="s">
        <v>1227</v>
      </c>
      <c r="B1221" t="s">
        <v>6066</v>
      </c>
      <c r="C1221" t="s">
        <v>10074</v>
      </c>
      <c r="D1221" t="s">
        <v>12550</v>
      </c>
      <c r="E1221" s="2">
        <v>12759</v>
      </c>
      <c r="F1221">
        <f>HYPERLINK("https://www2.assemblee-nationale.fr/sycomore/fiche/(num_dept)/2039", "2039.0")</f>
        <v>0</v>
      </c>
      <c r="H1221">
        <f>HYPERLINK("https://www.wikidata.org/wiki/Q16025495", "Q16025495")</f>
        <v>0</v>
      </c>
    </row>
    <row r="1222" spans="1:8">
      <c r="A1222" t="s">
        <v>1228</v>
      </c>
      <c r="B1222" t="s">
        <v>6066</v>
      </c>
      <c r="C1222" t="s">
        <v>10075</v>
      </c>
      <c r="D1222" t="s">
        <v>12551</v>
      </c>
      <c r="E1222" s="2">
        <v>15379</v>
      </c>
      <c r="F1222">
        <f>HYPERLINK("https://www2.assemblee-nationale.fr/sycomore/fiche/(num_dept)/2040", "2040.0")</f>
        <v>0</v>
      </c>
      <c r="H1222">
        <f>HYPERLINK("https://www.wikidata.org/wiki/Q3102523", "Q3102523")</f>
        <v>0</v>
      </c>
    </row>
    <row r="1223" spans="1:8">
      <c r="A1223" t="s">
        <v>1229</v>
      </c>
      <c r="B1223" t="s">
        <v>6067</v>
      </c>
      <c r="C1223" t="s">
        <v>10076</v>
      </c>
      <c r="D1223" t="s">
        <v>12552</v>
      </c>
      <c r="E1223" t="s">
        <v>15961</v>
      </c>
      <c r="F1223">
        <f>HYPERLINK("https://www2.assemblee-nationale.fr/sycomore/fiche/(num_dept)/1838", "1838.0")</f>
        <v>0</v>
      </c>
      <c r="H1223">
        <f>HYPERLINK("https://www.wikidata.org/wiki/Q16025458", "Q16025458")</f>
        <v>0</v>
      </c>
    </row>
    <row r="1224" spans="1:8">
      <c r="A1224" t="s">
        <v>1230</v>
      </c>
      <c r="B1224" t="s">
        <v>6068</v>
      </c>
      <c r="C1224" t="s">
        <v>9352</v>
      </c>
      <c r="D1224" t="s">
        <v>12553</v>
      </c>
      <c r="E1224" t="s">
        <v>15962</v>
      </c>
      <c r="F1224">
        <f>HYPERLINK("https://www2.assemblee-nationale.fr/sycomore/fiche/(num_dept)/2042", "2042.0")</f>
        <v>0</v>
      </c>
      <c r="H1224">
        <f>HYPERLINK("https://www.wikidata.org/wiki/Q16025496", "Q16025496")</f>
        <v>0</v>
      </c>
    </row>
    <row r="1225" spans="1:8">
      <c r="A1225" t="s">
        <v>1231</v>
      </c>
      <c r="B1225" t="s">
        <v>6069</v>
      </c>
      <c r="C1225" t="s">
        <v>10077</v>
      </c>
      <c r="D1225" t="s">
        <v>12554</v>
      </c>
      <c r="E1225" s="2">
        <v>4991</v>
      </c>
      <c r="F1225">
        <f>HYPERLINK("https://www2.assemblee-nationale.fr/sycomore/fiche/(num_dept)/2048", "2048.0")</f>
        <v>0</v>
      </c>
      <c r="H1225">
        <f>HYPERLINK("https://www.wikidata.org/wiki/Q16025498", "Q16025498")</f>
        <v>0</v>
      </c>
    </row>
    <row r="1226" spans="1:8">
      <c r="A1226" t="s">
        <v>1232</v>
      </c>
      <c r="B1226" t="s">
        <v>6070</v>
      </c>
      <c r="C1226" t="s">
        <v>9430</v>
      </c>
      <c r="D1226" t="s">
        <v>12555</v>
      </c>
      <c r="E1226" s="2">
        <v>7681</v>
      </c>
      <c r="F1226">
        <f>HYPERLINK("https://www2.assemblee-nationale.fr/sycomore/fiche/(num_dept)/2046", "2046.0")</f>
        <v>0</v>
      </c>
      <c r="H1226">
        <f>HYPERLINK("https://www.wikidata.org/wiki/Q16025499", "Q16025499")</f>
        <v>0</v>
      </c>
    </row>
    <row r="1227" spans="1:8">
      <c r="A1227" t="s">
        <v>1233</v>
      </c>
      <c r="B1227" t="s">
        <v>6070</v>
      </c>
      <c r="C1227" t="s">
        <v>9456</v>
      </c>
      <c r="D1227" t="s">
        <v>12556</v>
      </c>
      <c r="E1227" s="2">
        <v>26200</v>
      </c>
      <c r="F1227">
        <f>HYPERLINK("https://www2.assemblee-nationale.fr/sycomore/fiche/(num_dept)/2045", "2045.0")</f>
        <v>0</v>
      </c>
      <c r="H1227">
        <f>HYPERLINK("https://www.wikidata.org/wiki/Q16025497", "Q16025497")</f>
        <v>0</v>
      </c>
    </row>
    <row r="1228" spans="1:8">
      <c r="A1228" t="s">
        <v>1234</v>
      </c>
      <c r="B1228" t="s">
        <v>6071</v>
      </c>
      <c r="C1228" t="s">
        <v>9746</v>
      </c>
      <c r="D1228" t="s">
        <v>12557</v>
      </c>
      <c r="E1228" s="2">
        <v>2370</v>
      </c>
      <c r="G1228">
        <f>HYPERLINK("https://www.senat.fr/senateur-3eme-republique/couteaux_aristide1764r3.html", "couteaux_aristide1764r3")</f>
        <v>0</v>
      </c>
      <c r="H1228">
        <f>HYPERLINK("https://www.wikidata.org/wiki/Q2861354", "Q2861354")</f>
        <v>0</v>
      </c>
    </row>
    <row r="1229" spans="1:8">
      <c r="A1229" t="s">
        <v>1235</v>
      </c>
      <c r="B1229" t="s">
        <v>6072</v>
      </c>
      <c r="C1229" t="s">
        <v>10078</v>
      </c>
      <c r="D1229" t="s">
        <v>12558</v>
      </c>
      <c r="E1229" s="2">
        <v>17500</v>
      </c>
      <c r="F1229">
        <f>HYPERLINK("https://www2.assemblee-nationale.fr/sycomore/fiche/(num_dept)/2049", "2049.0")</f>
        <v>0</v>
      </c>
      <c r="H1229">
        <f>HYPERLINK("https://www.wikidata.org/wiki/Q3056904", "Q3056904")</f>
        <v>0</v>
      </c>
    </row>
    <row r="1230" spans="1:8">
      <c r="A1230" t="s">
        <v>1236</v>
      </c>
      <c r="B1230" t="s">
        <v>6073</v>
      </c>
      <c r="C1230" t="s">
        <v>10079</v>
      </c>
      <c r="D1230" t="s">
        <v>12559</v>
      </c>
      <c r="E1230" s="2">
        <v>17756</v>
      </c>
      <c r="F1230">
        <f>HYPERLINK("https://www2.assemblee-nationale.fr/sycomore/fiche/(num_dept)/2050", "2050.0")</f>
        <v>0</v>
      </c>
      <c r="H1230">
        <f>HYPERLINK("https://www.wikidata.org/wiki/Q16011109", "Q16011109")</f>
        <v>0</v>
      </c>
    </row>
    <row r="1231" spans="1:8">
      <c r="A1231" t="s">
        <v>1237</v>
      </c>
      <c r="B1231" t="s">
        <v>6074</v>
      </c>
      <c r="C1231" t="s">
        <v>9524</v>
      </c>
      <c r="D1231" t="s">
        <v>12560</v>
      </c>
      <c r="E1231" s="2">
        <v>8</v>
      </c>
      <c r="F1231">
        <f>HYPERLINK("https://www2.assemblee-nationale.fr/sycomore/fiche/(num_dept)/2051", "2051.0")</f>
        <v>0</v>
      </c>
      <c r="H1231">
        <f>HYPERLINK("https://www.wikidata.org/wiki/Q16025500", "Q16025500")</f>
        <v>0</v>
      </c>
    </row>
    <row r="1232" spans="1:8">
      <c r="A1232" t="s">
        <v>1238</v>
      </c>
      <c r="B1232" t="s">
        <v>6075</v>
      </c>
      <c r="C1232" t="s">
        <v>7342</v>
      </c>
      <c r="D1232" t="s">
        <v>12561</v>
      </c>
      <c r="E1232" t="s">
        <v>15963</v>
      </c>
      <c r="G1232">
        <f>HYPERLINK("https://www.senat.fr/senateur-3eme-republique/couturier_jean1185r3.html", "couturier_jean1185r3")</f>
        <v>0</v>
      </c>
      <c r="H1232">
        <f>HYPERLINK("https://www.wikidata.org/wiki/Q3171477", "Q3171477")</f>
        <v>0</v>
      </c>
    </row>
    <row r="1233" spans="1:8">
      <c r="A1233" t="s">
        <v>1239</v>
      </c>
      <c r="B1233" t="s">
        <v>6076</v>
      </c>
      <c r="C1233" t="s">
        <v>10080</v>
      </c>
      <c r="D1233" t="s">
        <v>12562</v>
      </c>
      <c r="E1233" t="s">
        <v>15963</v>
      </c>
      <c r="F1233">
        <f>HYPERLINK("https://www2.assemblee-nationale.fr/sycomore/fiche/(num_dept)/8150", "8150.0")</f>
        <v>0</v>
      </c>
      <c r="H1233">
        <f>HYPERLINK("https://www.wikidata.org/wiki/Q3171477", "Q3171477")</f>
        <v>0</v>
      </c>
    </row>
    <row r="1234" spans="1:8">
      <c r="A1234" t="s">
        <v>1240</v>
      </c>
      <c r="B1234" t="s">
        <v>6076</v>
      </c>
      <c r="C1234" t="s">
        <v>9159</v>
      </c>
      <c r="D1234" t="s">
        <v>12563</v>
      </c>
      <c r="E1234" s="2">
        <v>780</v>
      </c>
      <c r="F1234">
        <f>HYPERLINK("https://www2.assemblee-nationale.fr/sycomore/fiche/(num_dept)/2053", "2053.0")</f>
        <v>0</v>
      </c>
      <c r="H1234">
        <f>HYPERLINK("https://www.wikidata.org/wiki/Q16025501", "Q16025501")</f>
        <v>0</v>
      </c>
    </row>
    <row r="1235" spans="1:8">
      <c r="A1235" t="s">
        <v>1241</v>
      </c>
      <c r="B1235" t="s">
        <v>6077</v>
      </c>
      <c r="C1235" t="s">
        <v>10081</v>
      </c>
      <c r="D1235" t="s">
        <v>12564</v>
      </c>
      <c r="E1235" s="2">
        <v>11645</v>
      </c>
      <c r="F1235">
        <f>HYPERLINK("https://www2.assemblee-nationale.fr/sycomore/fiche/(num_dept)/2057", "2057.0")</f>
        <v>0</v>
      </c>
      <c r="G1235">
        <f>HYPERLINK("https://www.senat.fr/senateur-3eme-republique/couyba_charles1178r3.html", "couyba_charles1178r3")</f>
        <v>0</v>
      </c>
      <c r="H1235">
        <f>HYPERLINK("https://www.wikidata.org/wiki/Q1750410", "Q1750410")</f>
        <v>0</v>
      </c>
    </row>
    <row r="1236" spans="1:8">
      <c r="A1236" t="s">
        <v>1242</v>
      </c>
      <c r="B1236" t="s">
        <v>6078</v>
      </c>
      <c r="C1236" t="s">
        <v>7342</v>
      </c>
      <c r="D1236" t="s">
        <v>12565</v>
      </c>
      <c r="E1236" s="2">
        <v>13880</v>
      </c>
      <c r="F1236">
        <f>HYPERLINK("https://www2.assemblee-nationale.fr/sycomore/fiche/(num_dept)/2060", "2060.0")</f>
        <v>0</v>
      </c>
      <c r="G1236">
        <f>HYPERLINK("https://www.senat.fr/senateur-3eme-republique/coyrard_jean0408r3.html", "coyrard_jean0408r3")</f>
        <v>0</v>
      </c>
      <c r="H1236">
        <f>HYPERLINK("https://www.wikidata.org/wiki/Q3171480", "Q3171480")</f>
        <v>0</v>
      </c>
    </row>
    <row r="1237" spans="1:8">
      <c r="A1237" t="s">
        <v>1243</v>
      </c>
      <c r="B1237" t="s">
        <v>6079</v>
      </c>
      <c r="C1237" t="s">
        <v>10082</v>
      </c>
      <c r="D1237" t="s">
        <v>12566</v>
      </c>
      <c r="E1237" s="2">
        <v>35165</v>
      </c>
      <c r="F1237">
        <f>HYPERLINK("https://www2.assemblee-nationale.fr/sycomore/fiche/(num_dept)/7565", "7565.0")</f>
        <v>0</v>
      </c>
      <c r="H1237">
        <f>HYPERLINK("https://www.wikidata.org/wiki/Q3573767", "Q3573767")</f>
        <v>0</v>
      </c>
    </row>
    <row r="1238" spans="1:8">
      <c r="A1238" t="s">
        <v>1244</v>
      </c>
      <c r="B1238" t="s">
        <v>6080</v>
      </c>
      <c r="C1238" t="s">
        <v>10083</v>
      </c>
      <c r="D1238" t="s">
        <v>12567</v>
      </c>
      <c r="E1238" s="2">
        <v>19304</v>
      </c>
      <c r="F1238">
        <f>HYPERLINK("https://www2.assemblee-nationale.fr/sycomore/fiche/(num_dept)/2062", "2062.0")</f>
        <v>0</v>
      </c>
      <c r="H1238">
        <f>HYPERLINK("https://www.wikidata.org/wiki/Q16025502", "Q16025502")</f>
        <v>0</v>
      </c>
    </row>
    <row r="1239" spans="1:8">
      <c r="A1239" t="s">
        <v>1245</v>
      </c>
      <c r="B1239" t="s">
        <v>6081</v>
      </c>
      <c r="C1239" t="s">
        <v>9918</v>
      </c>
      <c r="D1239" t="s">
        <v>12568</v>
      </c>
      <c r="E1239" s="2">
        <v>10558</v>
      </c>
      <c r="G1239">
        <f>HYPERLINK("https://www.senat.fr/senateur-3eme-republique/cremieux_fernand0821r3.html", "cremieux_fernand0821r3")</f>
        <v>0</v>
      </c>
      <c r="H1239">
        <f>HYPERLINK("https://www.wikidata.org/wiki/Q1406493", "Q1406493")</f>
        <v>0</v>
      </c>
    </row>
    <row r="1240" spans="1:8">
      <c r="A1240" t="s">
        <v>1246</v>
      </c>
      <c r="B1240" t="s">
        <v>6082</v>
      </c>
      <c r="C1240" t="s">
        <v>6888</v>
      </c>
      <c r="D1240" t="s">
        <v>12569</v>
      </c>
      <c r="E1240" s="2">
        <v>6768</v>
      </c>
      <c r="G1240">
        <f>HYPERLINK("https://www.senat.fr/senateur-3eme-republique/crepin_felix0850r3.html", "crepin_felix0850r3")</f>
        <v>0</v>
      </c>
      <c r="H1240">
        <f>HYPERLINK("https://www.wikidata.org/wiki/Q3092414", "Q3092414")</f>
        <v>0</v>
      </c>
    </row>
    <row r="1241" spans="1:8">
      <c r="A1241" t="s">
        <v>1247</v>
      </c>
      <c r="B1241" t="s">
        <v>6083</v>
      </c>
      <c r="C1241" t="s">
        <v>10084</v>
      </c>
      <c r="D1241" t="s">
        <v>12570</v>
      </c>
      <c r="E1241" s="2">
        <v>20101</v>
      </c>
      <c r="F1241">
        <f>HYPERLINK("https://www2.assemblee-nationale.fr/sycomore/fiche/(num_dept)/2068", "2068.0")</f>
        <v>0</v>
      </c>
      <c r="H1241">
        <f>HYPERLINK("https://www.wikidata.org/wiki/Q16025504", "Q16025504")</f>
        <v>0</v>
      </c>
    </row>
    <row r="1242" spans="1:8">
      <c r="A1242" t="s">
        <v>1248</v>
      </c>
      <c r="B1242" t="s">
        <v>6084</v>
      </c>
      <c r="C1242" t="s">
        <v>10085</v>
      </c>
      <c r="D1242" t="s">
        <v>12571</v>
      </c>
      <c r="E1242" s="2">
        <v>7273</v>
      </c>
      <c r="F1242">
        <f>HYPERLINK("https://www2.assemblee-nationale.fr/sycomore/fiche/(num_dept)/7927", "7927.0")</f>
        <v>0</v>
      </c>
      <c r="H1242">
        <f>HYPERLINK("https://www.wikidata.org/wiki/Q2825146", "Q2825146")</f>
        <v>0</v>
      </c>
    </row>
    <row r="1243" spans="1:8">
      <c r="A1243" t="s">
        <v>1249</v>
      </c>
      <c r="B1243" t="s">
        <v>6085</v>
      </c>
      <c r="C1243" t="s">
        <v>9430</v>
      </c>
      <c r="D1243" t="s">
        <v>12572</v>
      </c>
      <c r="E1243" s="2">
        <v>27439</v>
      </c>
      <c r="F1243">
        <f>HYPERLINK("https://www2.assemblee-nationale.fr/sycomore/fiche/(num_dept)/2072", "2072.0")</f>
        <v>0</v>
      </c>
      <c r="H1243">
        <f>HYPERLINK("https://www.wikidata.org/wiki/Q3370955", "Q3370955")</f>
        <v>0</v>
      </c>
    </row>
    <row r="1244" spans="1:8">
      <c r="A1244" t="s">
        <v>1250</v>
      </c>
      <c r="B1244" t="s">
        <v>6086</v>
      </c>
      <c r="C1244" t="s">
        <v>10086</v>
      </c>
      <c r="D1244" s="2">
        <v>449</v>
      </c>
      <c r="E1244" s="2">
        <v>21145</v>
      </c>
      <c r="F1244">
        <f>HYPERLINK("https://www2.assemblee-nationale.fr/sycomore/fiche/(num_dept)/2073", "2073.0")</f>
        <v>0</v>
      </c>
      <c r="H1244">
        <f>HYPERLINK("https://www.wikidata.org/wiki/Q543620", "Q543620")</f>
        <v>0</v>
      </c>
    </row>
    <row r="1245" spans="1:8">
      <c r="A1245" t="s">
        <v>1251</v>
      </c>
      <c r="B1245" t="s">
        <v>6087</v>
      </c>
      <c r="C1245" t="s">
        <v>5058</v>
      </c>
      <c r="D1245" t="s">
        <v>12573</v>
      </c>
      <c r="E1245" s="2">
        <v>13120</v>
      </c>
      <c r="F1245">
        <f>HYPERLINK("https://www2.assemblee-nationale.fr/sycomore/fiche/(num_dept)/2075", "2075.0")</f>
        <v>0</v>
      </c>
      <c r="H1245">
        <f>HYPERLINK("https://www.wikidata.org/wiki/Q2831067", "Q2831067")</f>
        <v>0</v>
      </c>
    </row>
    <row r="1246" spans="1:8">
      <c r="A1246" t="s">
        <v>1252</v>
      </c>
      <c r="B1246" t="s">
        <v>6088</v>
      </c>
      <c r="C1246" t="s">
        <v>7754</v>
      </c>
      <c r="D1246" t="s">
        <v>12574</v>
      </c>
      <c r="F1246">
        <f>HYPERLINK("https://www2.assemblee-nationale.fr/sycomore/fiche/(num_dept)/2076", "2076.0")</f>
        <v>0</v>
      </c>
      <c r="H1246">
        <f>HYPERLINK("https://www.wikidata.org/wiki/Q16025506", "Q16025506")</f>
        <v>0</v>
      </c>
    </row>
    <row r="1247" spans="1:8">
      <c r="A1247" t="s">
        <v>1253</v>
      </c>
      <c r="B1247" t="s">
        <v>6089</v>
      </c>
      <c r="C1247" t="s">
        <v>9524</v>
      </c>
      <c r="D1247" t="s">
        <v>12575</v>
      </c>
      <c r="E1247" s="2">
        <v>3338</v>
      </c>
      <c r="F1247">
        <f>HYPERLINK("https://www2.assemblee-nationale.fr/sycomore/fiche/(num_dept)/7928", "7928.0")</f>
        <v>0</v>
      </c>
      <c r="G1247">
        <f>HYPERLINK("https://www.senat.fr/senateur-3eme-republique/crozet_fourneyron_emile1348r3.html", "crozet_fourneyron_emile1348r3")</f>
        <v>0</v>
      </c>
      <c r="H1247">
        <f>HYPERLINK("https://www.wikidata.org/wiki/Q3588440", "Q3588440")</f>
        <v>0</v>
      </c>
    </row>
    <row r="1248" spans="1:8">
      <c r="A1248" t="s">
        <v>1254</v>
      </c>
      <c r="B1248" t="s">
        <v>6090</v>
      </c>
      <c r="C1248" t="s">
        <v>7342</v>
      </c>
      <c r="D1248" t="s">
        <v>12576</v>
      </c>
      <c r="E1248" s="2">
        <v>12343</v>
      </c>
      <c r="F1248">
        <f>HYPERLINK("https://www2.assemblee-nationale.fr/sycomore/fiche/(num_dept)/2080", "2080.0")</f>
        <v>0</v>
      </c>
      <c r="G1248">
        <f>HYPERLINK("https://www.senat.fr/senateur-3eme-republique/cruppi_jean0109r3.html", "cruppi_jean0109r3")</f>
        <v>0</v>
      </c>
      <c r="H1248">
        <f>HYPERLINK("https://www.wikidata.org/wiki/Q730383", "Q730383")</f>
        <v>0</v>
      </c>
    </row>
    <row r="1249" spans="1:8">
      <c r="A1249" t="s">
        <v>1255</v>
      </c>
      <c r="B1249" t="s">
        <v>6091</v>
      </c>
      <c r="C1249" t="s">
        <v>10087</v>
      </c>
      <c r="D1249" t="s">
        <v>12577</v>
      </c>
      <c r="E1249" s="2">
        <v>22368</v>
      </c>
      <c r="F1249">
        <f>HYPERLINK("https://www2.assemblee-nationale.fr/sycomore/fiche/(num_dept)/2081", "2081.0")</f>
        <v>0</v>
      </c>
      <c r="H1249">
        <f>HYPERLINK("https://www.wikidata.org/wiki/Q3348821", "Q3348821")</f>
        <v>0</v>
      </c>
    </row>
    <row r="1250" spans="1:8">
      <c r="A1250" t="s">
        <v>1256</v>
      </c>
      <c r="B1250" t="s">
        <v>6092</v>
      </c>
      <c r="C1250" t="s">
        <v>10088</v>
      </c>
      <c r="D1250" t="s">
        <v>12568</v>
      </c>
      <c r="E1250" s="2">
        <v>10558</v>
      </c>
      <c r="F1250">
        <f>HYPERLINK("https://www2.assemblee-nationale.fr/sycomore/fiche/(num_dept)/2063", "2063.0")</f>
        <v>0</v>
      </c>
      <c r="H1250">
        <f>HYPERLINK("https://www.wikidata.org/wiki/Q1406493", "Q1406493")</f>
        <v>0</v>
      </c>
    </row>
    <row r="1251" spans="1:8">
      <c r="A1251" t="s">
        <v>1257</v>
      </c>
      <c r="B1251" t="s">
        <v>6093</v>
      </c>
      <c r="C1251" t="s">
        <v>9332</v>
      </c>
      <c r="D1251" t="s">
        <v>12578</v>
      </c>
      <c r="E1251" s="2">
        <v>12400</v>
      </c>
      <c r="F1251">
        <f>HYPERLINK("https://www2.assemblee-nationale.fr/sycomore/fiche/(num_dept)/2066", "2066.0")</f>
        <v>0</v>
      </c>
      <c r="H1251">
        <f>HYPERLINK("https://www.wikidata.org/wiki/Q16025503", "Q16025503")</f>
        <v>0</v>
      </c>
    </row>
    <row r="1252" spans="1:8">
      <c r="A1252" t="s">
        <v>1258</v>
      </c>
      <c r="B1252" t="s">
        <v>6094</v>
      </c>
      <c r="C1252" t="s">
        <v>10089</v>
      </c>
      <c r="D1252" t="s">
        <v>12579</v>
      </c>
      <c r="E1252" t="s">
        <v>15964</v>
      </c>
      <c r="F1252">
        <f>HYPERLINK("https://www2.assemblee-nationale.fr/sycomore/fiche/(num_dept)/2085", "2085.0")</f>
        <v>0</v>
      </c>
      <c r="H1252">
        <f>HYPERLINK("https://www.wikidata.org/wiki/Q16025507", "Q16025507")</f>
        <v>0</v>
      </c>
    </row>
    <row r="1253" spans="1:8">
      <c r="A1253" t="s">
        <v>1259</v>
      </c>
      <c r="B1253" t="s">
        <v>6095</v>
      </c>
      <c r="C1253" t="s">
        <v>9857</v>
      </c>
      <c r="D1253" t="s">
        <v>12580</v>
      </c>
      <c r="E1253" s="2">
        <v>14138</v>
      </c>
      <c r="G1253">
        <f>HYPERLINK("https://www.senat.fr/senateur-3eme-republique/cuminal_isidore0140r3.html", "cuminal_isidore0140r3")</f>
        <v>0</v>
      </c>
      <c r="H1253">
        <f>HYPERLINK("https://www.wikidata.org/wiki/Q3155304", "Q3155304")</f>
        <v>0</v>
      </c>
    </row>
    <row r="1254" spans="1:8">
      <c r="A1254" t="s">
        <v>1260</v>
      </c>
      <c r="B1254" t="s">
        <v>6096</v>
      </c>
      <c r="C1254" t="s">
        <v>9430</v>
      </c>
      <c r="D1254" t="s">
        <v>12581</v>
      </c>
      <c r="E1254" s="2">
        <v>9286</v>
      </c>
      <c r="F1254">
        <f>HYPERLINK("https://www2.assemblee-nationale.fr/sycomore/fiche/(num_dept)/2086", "2086.0")</f>
        <v>0</v>
      </c>
      <c r="H1254">
        <f>HYPERLINK("https://www.wikidata.org/wiki/Q3370963", "Q3370963")</f>
        <v>0</v>
      </c>
    </row>
    <row r="1255" spans="1:8">
      <c r="A1255" t="s">
        <v>1261</v>
      </c>
      <c r="B1255" t="s">
        <v>6097</v>
      </c>
      <c r="C1255" t="s">
        <v>9851</v>
      </c>
      <c r="D1255" t="s">
        <v>12582</v>
      </c>
      <c r="E1255" s="2">
        <v>18907</v>
      </c>
      <c r="G1255">
        <f>HYPERLINK("https://www.senat.fr/senateur-3eme-republique/curral_hippolyte1322r3.html", "curral_hippolyte1322r3")</f>
        <v>0</v>
      </c>
      <c r="H1255">
        <f>HYPERLINK("https://www.wikidata.org/wiki/Q3136044", "Q3136044")</f>
        <v>0</v>
      </c>
    </row>
    <row r="1256" spans="1:8">
      <c r="A1256" t="s">
        <v>1262</v>
      </c>
      <c r="B1256" t="s">
        <v>6098</v>
      </c>
      <c r="C1256" t="s">
        <v>10090</v>
      </c>
      <c r="D1256" t="s">
        <v>12583</v>
      </c>
      <c r="E1256" s="2">
        <v>18015</v>
      </c>
      <c r="F1256">
        <f>HYPERLINK("https://www2.assemblee-nationale.fr/sycomore/fiche/(num_dept)/2091", "2091.0")</f>
        <v>0</v>
      </c>
      <c r="H1256">
        <f>HYPERLINK("https://www.wikidata.org/wiki/Q3370965", "Q3370965")</f>
        <v>0</v>
      </c>
    </row>
    <row r="1257" spans="1:8">
      <c r="A1257" t="s">
        <v>1263</v>
      </c>
      <c r="B1257" t="s">
        <v>6099</v>
      </c>
      <c r="C1257" t="s">
        <v>9430</v>
      </c>
      <c r="D1257" t="s">
        <v>12584</v>
      </c>
      <c r="E1257" s="2">
        <v>18015</v>
      </c>
      <c r="G1257">
        <f>HYPERLINK("https://www.senat.fr/senateur-3eme-republique/cuttoli_paul0695r3.html", "cuttoli_paul0695r3")</f>
        <v>0</v>
      </c>
      <c r="H1257">
        <f>HYPERLINK("https://www.wikidata.org/wiki/Q3370965", "Q3370965")</f>
        <v>0</v>
      </c>
    </row>
    <row r="1258" spans="1:8">
      <c r="A1258" t="s">
        <v>1264</v>
      </c>
      <c r="B1258" t="s">
        <v>6098</v>
      </c>
      <c r="C1258" t="s">
        <v>10091</v>
      </c>
      <c r="D1258" t="s">
        <v>12585</v>
      </c>
      <c r="E1258" s="2">
        <v>15613</v>
      </c>
      <c r="F1258">
        <f>HYPERLINK("https://www2.assemblee-nationale.fr/sycomore/fiche/(num_dept)/2090", "2090.0")</f>
        <v>0</v>
      </c>
      <c r="H1258">
        <f>HYPERLINK("https://www.wikidata.org/wiki/Q3188508", "Q3188508")</f>
        <v>0</v>
      </c>
    </row>
    <row r="1259" spans="1:8">
      <c r="A1259" t="s">
        <v>1265</v>
      </c>
      <c r="B1259" t="s">
        <v>6100</v>
      </c>
      <c r="C1259" t="s">
        <v>9368</v>
      </c>
      <c r="D1259" t="s">
        <v>12586</v>
      </c>
      <c r="E1259" s="2">
        <v>8286</v>
      </c>
      <c r="F1259">
        <f>HYPERLINK("https://www2.assemblee-nationale.fr/sycomore/fiche/(num_dept)/2092", "2092.0")</f>
        <v>0</v>
      </c>
      <c r="H1259">
        <f>HYPERLINK("https://www.wikidata.org/wiki/Q3059795", "Q3059795")</f>
        <v>0</v>
      </c>
    </row>
    <row r="1260" spans="1:8">
      <c r="A1260" t="s">
        <v>1266</v>
      </c>
      <c r="B1260" t="s">
        <v>6101</v>
      </c>
      <c r="C1260" t="s">
        <v>9430</v>
      </c>
      <c r="D1260" t="s">
        <v>12587</v>
      </c>
      <c r="E1260" s="2">
        <v>7537</v>
      </c>
      <c r="G1260">
        <f>HYPERLINK("https://www.senat.fr/senateur-3eme-republique/cuvinot_paul0878r3.html", "cuvinot_paul0878r3")</f>
        <v>0</v>
      </c>
      <c r="H1260">
        <f>HYPERLINK("https://www.wikidata.org/wiki/Q2415176", "Q2415176")</f>
        <v>0</v>
      </c>
    </row>
    <row r="1261" spans="1:8">
      <c r="A1261" t="s">
        <v>1267</v>
      </c>
      <c r="B1261" t="s">
        <v>6102</v>
      </c>
      <c r="C1261" t="s">
        <v>10092</v>
      </c>
      <c r="D1261" t="s">
        <v>12588</v>
      </c>
      <c r="E1261" s="2">
        <v>11995</v>
      </c>
      <c r="F1261">
        <f>HYPERLINK("https://www2.assemblee-nationale.fr/sycomore/fiche/(num_dept)/1574", "1574.0")</f>
        <v>0</v>
      </c>
      <c r="H1261">
        <f>HYPERLINK("https://www.wikidata.org/wiki/Q3588439", "Q3588439")</f>
        <v>0</v>
      </c>
    </row>
    <row r="1262" spans="1:8">
      <c r="A1262" t="s">
        <v>1268</v>
      </c>
      <c r="B1262" t="s">
        <v>6103</v>
      </c>
      <c r="C1262" t="s">
        <v>10093</v>
      </c>
      <c r="D1262" t="s">
        <v>12589</v>
      </c>
      <c r="E1262" s="2">
        <v>1122</v>
      </c>
      <c r="F1262">
        <f>HYPERLINK("https://www2.assemblee-nationale.fr/sycomore/fiche/(num_dept)/4064", "4064.0")</f>
        <v>0</v>
      </c>
      <c r="H1262">
        <f>HYPERLINK("https://www.wikidata.org/wiki/Q8308543", "Q8308543")</f>
        <v>0</v>
      </c>
    </row>
    <row r="1263" spans="1:8">
      <c r="A1263" t="s">
        <v>1269</v>
      </c>
      <c r="B1263" t="s">
        <v>6104</v>
      </c>
      <c r="C1263" t="s">
        <v>10094</v>
      </c>
      <c r="D1263" t="s">
        <v>12590</v>
      </c>
      <c r="E1263" s="2">
        <v>20704</v>
      </c>
      <c r="F1263">
        <f>HYPERLINK("https://www2.assemblee-nationale.fr/sycomore/fiche/(num_dept)/4879", "4879.0")</f>
        <v>0</v>
      </c>
      <c r="H1263">
        <f>HYPERLINK("https://www.wikidata.org/wiki/Q3570825", "Q3570825")</f>
        <v>0</v>
      </c>
    </row>
    <row r="1264" spans="1:8">
      <c r="A1264" t="s">
        <v>1270</v>
      </c>
      <c r="B1264" t="s">
        <v>6105</v>
      </c>
      <c r="C1264" t="s">
        <v>10095</v>
      </c>
      <c r="D1264" t="s">
        <v>12591</v>
      </c>
      <c r="E1264" s="2">
        <v>5716</v>
      </c>
      <c r="F1264">
        <f>HYPERLINK("https://www2.assemblee-nationale.fr/sycomore/fiche/(num_dept)/44", "44.0")</f>
        <v>0</v>
      </c>
      <c r="H1264">
        <f>HYPERLINK("https://www.wikidata.org/wiki/Q3129288", "Q3129288")</f>
        <v>0</v>
      </c>
    </row>
    <row r="1265" spans="1:8">
      <c r="A1265" t="s">
        <v>1271</v>
      </c>
      <c r="B1265" t="s">
        <v>6106</v>
      </c>
      <c r="C1265" t="s">
        <v>6864</v>
      </c>
      <c r="D1265" t="s">
        <v>12592</v>
      </c>
      <c r="E1265" s="2">
        <v>2297</v>
      </c>
      <c r="F1265">
        <f>HYPERLINK("https://www2.assemblee-nationale.fr/sycomore/fiche/(num_dept)/52", "52.0")</f>
        <v>0</v>
      </c>
      <c r="H1265">
        <f>HYPERLINK("https://www.wikidata.org/wiki/Q11984924", "Q11984924")</f>
        <v>0</v>
      </c>
    </row>
    <row r="1266" spans="1:8">
      <c r="A1266" t="s">
        <v>1272</v>
      </c>
      <c r="B1266" t="s">
        <v>6106</v>
      </c>
      <c r="C1266" t="s">
        <v>10096</v>
      </c>
      <c r="D1266" t="s">
        <v>12593</v>
      </c>
      <c r="E1266" t="s">
        <v>15965</v>
      </c>
      <c r="F1266">
        <f>HYPERLINK("https://www2.assemblee-nationale.fr/sycomore/fiche/(num_dept)/50", "50.0")</f>
        <v>0</v>
      </c>
      <c r="H1266">
        <f>HYPERLINK("https://www.wikidata.org/wiki/Q2871509", "Q2871509")</f>
        <v>0</v>
      </c>
    </row>
    <row r="1267" spans="1:8">
      <c r="A1267" t="s">
        <v>1273</v>
      </c>
      <c r="B1267" t="s">
        <v>6106</v>
      </c>
      <c r="C1267" t="s">
        <v>10097</v>
      </c>
      <c r="D1267" t="s">
        <v>12594</v>
      </c>
      <c r="E1267" s="2">
        <v>21016</v>
      </c>
      <c r="F1267">
        <f>HYPERLINK("https://www2.assemblee-nationale.fr/sycomore/fiche/(num_dept)/51", "51.0")</f>
        <v>0</v>
      </c>
      <c r="H1267">
        <f>HYPERLINK("https://www.wikidata.org/wiki/Q2898764", "Q2898764")</f>
        <v>0</v>
      </c>
    </row>
    <row r="1268" spans="1:8">
      <c r="A1268" t="s">
        <v>1274</v>
      </c>
      <c r="B1268" t="s">
        <v>6107</v>
      </c>
      <c r="C1268" t="s">
        <v>9634</v>
      </c>
      <c r="D1268" t="s">
        <v>12595</v>
      </c>
      <c r="E1268" t="s">
        <v>15966</v>
      </c>
      <c r="G1268">
        <f>HYPERLINK("https://www.senat.fr/senateur-3eme-republique/d_alexandry_frederic1270r3.html", "d_alexandry_frederic1270r3")</f>
        <v>0</v>
      </c>
      <c r="H1268">
        <f>HYPERLINK("https://www.wikidata.org/wiki/Q3090293", "Q3090293")</f>
        <v>0</v>
      </c>
    </row>
    <row r="1269" spans="1:8">
      <c r="A1269" t="s">
        <v>1275</v>
      </c>
      <c r="B1269" t="s">
        <v>6108</v>
      </c>
      <c r="C1269" t="s">
        <v>9324</v>
      </c>
      <c r="D1269" t="s">
        <v>12596</v>
      </c>
      <c r="E1269" t="s">
        <v>15967</v>
      </c>
      <c r="G1269">
        <f>HYPERLINK("https://www.senat.fr/senateur-3eme-republique/d_andigne_henri1058r3.html", "d_andigne_henri1058r3")</f>
        <v>0</v>
      </c>
      <c r="H1269">
        <f>HYPERLINK("https://www.wikidata.org/wiki/Q3132200", "Q3132200")</f>
        <v>0</v>
      </c>
    </row>
    <row r="1270" spans="1:8">
      <c r="A1270" t="s">
        <v>1276</v>
      </c>
      <c r="B1270" t="s">
        <v>6109</v>
      </c>
      <c r="C1270" t="s">
        <v>10098</v>
      </c>
      <c r="D1270" t="s">
        <v>12597</v>
      </c>
      <c r="E1270" s="2">
        <v>11758</v>
      </c>
      <c r="F1270">
        <f>HYPERLINK("https://www2.assemblee-nationale.fr/sycomore/fiche/(num_dept)/126", "126.0")</f>
        <v>0</v>
      </c>
      <c r="H1270">
        <f>HYPERLINK("https://www.wikidata.org/wiki/Q3101158", "Q3101158")</f>
        <v>0</v>
      </c>
    </row>
    <row r="1271" spans="1:8">
      <c r="A1271" t="s">
        <v>1277</v>
      </c>
      <c r="B1271" t="s">
        <v>6109</v>
      </c>
      <c r="C1271" t="s">
        <v>10099</v>
      </c>
      <c r="D1271" t="s">
        <v>12598</v>
      </c>
      <c r="E1271" s="2">
        <v>13024</v>
      </c>
      <c r="F1271">
        <f>HYPERLINK("https://www2.assemblee-nationale.fr/sycomore/fiche/(num_dept)/125", "125.0")</f>
        <v>0</v>
      </c>
      <c r="H1271">
        <f>HYPERLINK("https://www.wikidata.org/wiki/Q3078594", "Q3078594")</f>
        <v>0</v>
      </c>
    </row>
    <row r="1272" spans="1:8">
      <c r="A1272" t="s">
        <v>1278</v>
      </c>
      <c r="B1272" t="s">
        <v>6110</v>
      </c>
      <c r="C1272" t="s">
        <v>7262</v>
      </c>
      <c r="D1272" t="s">
        <v>12599</v>
      </c>
      <c r="E1272" s="2">
        <v>21857</v>
      </c>
      <c r="G1272">
        <f>HYPERLINK("https://www.senat.fr/senateur-3eme-republique/d_andlau_de_hombourg_hubert1107r3.html", "d_andlau_de_hombourg_hubert1107r3")</f>
        <v>0</v>
      </c>
      <c r="H1272">
        <f>HYPERLINK("https://www.wikidata.org/wiki/Q1299805", "Q1299805")</f>
        <v>0</v>
      </c>
    </row>
    <row r="1273" spans="1:8">
      <c r="A1273" t="s">
        <v>1279</v>
      </c>
      <c r="B1273" t="s">
        <v>6111</v>
      </c>
      <c r="C1273" t="s">
        <v>9373</v>
      </c>
      <c r="D1273" t="s">
        <v>12600</v>
      </c>
      <c r="G1273">
        <f>HYPERLINK("https://www.senat.fr/senateur-3eme-republique/d_andlau_joseph0888r3.html", "d_andlau_joseph0888r3")</f>
        <v>0</v>
      </c>
      <c r="H1273">
        <f>HYPERLINK("https://www.wikidata.org/wiki/Q1495572", "Q1495572")</f>
        <v>0</v>
      </c>
    </row>
    <row r="1274" spans="1:8">
      <c r="A1274" t="s">
        <v>1280</v>
      </c>
      <c r="B1274" t="s">
        <v>6112</v>
      </c>
      <c r="C1274" t="s">
        <v>10100</v>
      </c>
      <c r="D1274" t="s">
        <v>11864</v>
      </c>
      <c r="E1274" s="2">
        <v>7692</v>
      </c>
      <c r="F1274">
        <f>HYPERLINK("https://www2.assemblee-nationale.fr/sycomore/fiche/(num_dept)/915", "915.0")</f>
        <v>0</v>
      </c>
      <c r="H1274">
        <f>HYPERLINK("https://www.wikidata.org/wiki/Q3084012", "Q3084012")</f>
        <v>0</v>
      </c>
    </row>
    <row r="1275" spans="1:8">
      <c r="A1275" t="s">
        <v>1281</v>
      </c>
      <c r="B1275" t="s">
        <v>6113</v>
      </c>
      <c r="C1275" t="s">
        <v>10101</v>
      </c>
      <c r="D1275" t="s">
        <v>12601</v>
      </c>
      <c r="E1275" s="2">
        <v>18197</v>
      </c>
      <c r="F1275">
        <f>HYPERLINK("https://www2.assemblee-nationale.fr/sycomore/fiche/(num_dept)/172", "172.0")</f>
        <v>0</v>
      </c>
      <c r="H1275">
        <f>HYPERLINK("https://www.wikidata.org/wiki/Q2899755", "Q2899755")</f>
        <v>0</v>
      </c>
    </row>
    <row r="1276" spans="1:8">
      <c r="A1276" t="s">
        <v>1282</v>
      </c>
      <c r="B1276" t="s">
        <v>6114</v>
      </c>
      <c r="C1276" t="s">
        <v>10102</v>
      </c>
      <c r="D1276" t="s">
        <v>12602</v>
      </c>
      <c r="E1276" s="2">
        <v>8790</v>
      </c>
      <c r="F1276">
        <f>HYPERLINK("https://www2.assemblee-nationale.fr/sycomore/fiche/(num_dept)/187", "187.0")</f>
        <v>0</v>
      </c>
      <c r="H1276">
        <f>HYPERLINK("https://www.wikidata.org/wiki/Q2871297", "Q2871297")</f>
        <v>0</v>
      </c>
    </row>
    <row r="1277" spans="1:8">
      <c r="A1277" t="s">
        <v>1283</v>
      </c>
      <c r="B1277" t="s">
        <v>6115</v>
      </c>
      <c r="C1277" t="s">
        <v>10103</v>
      </c>
      <c r="D1277" t="s">
        <v>12603</v>
      </c>
      <c r="E1277" s="2">
        <v>5599</v>
      </c>
      <c r="F1277">
        <f>HYPERLINK("https://www2.assemblee-nationale.fr/sycomore/fiche/(num_dept)/192", "192.0")</f>
        <v>0</v>
      </c>
      <c r="H1277">
        <f>HYPERLINK("https://www.wikidata.org/wiki/Q3387420", "Q3387420")</f>
        <v>0</v>
      </c>
    </row>
    <row r="1278" spans="1:8">
      <c r="A1278" t="s">
        <v>1284</v>
      </c>
      <c r="B1278" t="s">
        <v>6116</v>
      </c>
      <c r="C1278" t="s">
        <v>10104</v>
      </c>
      <c r="D1278" t="s">
        <v>12604</v>
      </c>
      <c r="E1278" s="2">
        <v>8937</v>
      </c>
      <c r="F1278">
        <f>HYPERLINK("https://www2.assemblee-nationale.fr/sycomore/fiche/(num_dept)/7893", "7893.0")</f>
        <v>0</v>
      </c>
      <c r="H1278">
        <f>HYPERLINK("https://www.wikidata.org/wiki/Q15969763", "Q15969763")</f>
        <v>0</v>
      </c>
    </row>
    <row r="1279" spans="1:8">
      <c r="A1279" t="s">
        <v>1285</v>
      </c>
      <c r="B1279" t="s">
        <v>6117</v>
      </c>
      <c r="C1279" t="s">
        <v>10105</v>
      </c>
      <c r="D1279" t="s">
        <v>12605</v>
      </c>
      <c r="E1279" s="2">
        <v>5611</v>
      </c>
      <c r="F1279">
        <f>HYPERLINK("https://www2.assemblee-nationale.fr/sycomore/fiche/(num_dept)/501", "501.0")</f>
        <v>0</v>
      </c>
      <c r="H1279">
        <f>HYPERLINK("https://www.wikidata.org/wiki/Q2861911", "Q2861911")</f>
        <v>0</v>
      </c>
    </row>
    <row r="1280" spans="1:8">
      <c r="A1280" t="s">
        <v>1286</v>
      </c>
      <c r="B1280" t="s">
        <v>6117</v>
      </c>
      <c r="C1280" t="s">
        <v>10106</v>
      </c>
      <c r="D1280" t="s">
        <v>12606</v>
      </c>
      <c r="E1280" s="2">
        <v>16550</v>
      </c>
      <c r="F1280">
        <f>HYPERLINK("https://www2.assemblee-nationale.fr/sycomore/fiche/(num_dept)/500", "500.0")</f>
        <v>0</v>
      </c>
      <c r="H1280">
        <f>HYPERLINK("https://www.wikidata.org/wiki/Q2861799", "Q2861799")</f>
        <v>0</v>
      </c>
    </row>
    <row r="1281" spans="1:8">
      <c r="A1281" t="s">
        <v>1287</v>
      </c>
      <c r="B1281" t="s">
        <v>6118</v>
      </c>
      <c r="C1281" t="s">
        <v>10107</v>
      </c>
      <c r="D1281" t="s">
        <v>11413</v>
      </c>
      <c r="E1281" s="2">
        <v>16772</v>
      </c>
      <c r="F1281">
        <f>HYPERLINK("https://www2.assemblee-nationale.fr/sycomore/fiche/(num_dept)/236", "236.0")</f>
        <v>0</v>
      </c>
      <c r="H1281">
        <f>HYPERLINK("https://www.wikidata.org/wiki/Q7125983", "Q7125983")</f>
        <v>0</v>
      </c>
    </row>
    <row r="1282" spans="1:8">
      <c r="A1282" t="s">
        <v>1288</v>
      </c>
      <c r="B1282" t="s">
        <v>6119</v>
      </c>
      <c r="C1282" t="s">
        <v>10108</v>
      </c>
      <c r="D1282" t="s">
        <v>12607</v>
      </c>
      <c r="E1282" s="2">
        <v>1982</v>
      </c>
      <c r="G1282">
        <f>HYPERLINK("https://www.senat.fr/senateur-3eme-republique/d_audiffret_pasquier_edme1427r3.html", "d_audiffret_pasquier_edme1427r3")</f>
        <v>0</v>
      </c>
      <c r="H1282">
        <f>HYPERLINK("https://www.wikidata.org/wiki/Q2600693", "Q2600693")</f>
        <v>0</v>
      </c>
    </row>
    <row r="1283" spans="1:8">
      <c r="A1283" t="s">
        <v>1289</v>
      </c>
      <c r="B1283" t="s">
        <v>6120</v>
      </c>
      <c r="C1283" t="s">
        <v>10109</v>
      </c>
      <c r="D1283" t="s">
        <v>12608</v>
      </c>
      <c r="E1283" s="2">
        <v>20922</v>
      </c>
      <c r="F1283">
        <f>HYPERLINK("https://www2.assemblee-nationale.fr/sycomore/fiche/(num_dept)/253", "253.0")</f>
        <v>0</v>
      </c>
      <c r="H1283">
        <f>HYPERLINK("https://www.wikidata.org/wiki/Q3592397", "Q3592397")</f>
        <v>0</v>
      </c>
    </row>
    <row r="1284" spans="1:8">
      <c r="A1284" t="s">
        <v>1290</v>
      </c>
      <c r="B1284" t="s">
        <v>6121</v>
      </c>
      <c r="C1284" t="s">
        <v>10110</v>
      </c>
      <c r="D1284" t="s">
        <v>12609</v>
      </c>
      <c r="E1284" s="2">
        <v>3691</v>
      </c>
      <c r="F1284">
        <f>HYPERLINK("https://www2.assemblee-nationale.fr/sycomore/fiche/(num_dept)/272", "272.0")</f>
        <v>0</v>
      </c>
      <c r="H1284">
        <f>HYPERLINK("https://www.wikidata.org/wiki/Q3084831", "Q3084831")</f>
        <v>0</v>
      </c>
    </row>
    <row r="1285" spans="1:8">
      <c r="A1285" t="s">
        <v>1291</v>
      </c>
      <c r="B1285" t="s">
        <v>6122</v>
      </c>
      <c r="C1285" t="s">
        <v>10111</v>
      </c>
      <c r="D1285" t="s">
        <v>12610</v>
      </c>
      <c r="E1285" s="2">
        <v>13862</v>
      </c>
      <c r="F1285">
        <f>HYPERLINK("https://www2.assemblee-nationale.fr/sycomore/fiche/(num_dept)/836", "836.0")</f>
        <v>0</v>
      </c>
      <c r="H1285">
        <f>HYPERLINK("https://www.wikidata.org/wiki/Q8322001", "Q8322001")</f>
        <v>0</v>
      </c>
    </row>
    <row r="1286" spans="1:8">
      <c r="A1286" t="s">
        <v>1292</v>
      </c>
      <c r="B1286" t="s">
        <v>6123</v>
      </c>
      <c r="C1286" t="s">
        <v>9355</v>
      </c>
      <c r="D1286" t="s">
        <v>12611</v>
      </c>
      <c r="E1286" s="2">
        <v>6857</v>
      </c>
      <c r="G1286">
        <f>HYPERLINK("https://www.senat.fr/senateur-3eme-republique/d_aunay_charles1263r3.html", "d_aunay_charles1263r3")</f>
        <v>0</v>
      </c>
      <c r="H1286">
        <f>HYPERLINK("https://www.wikidata.org/wiki/Q2959607", "Q2959607")</f>
        <v>0</v>
      </c>
    </row>
    <row r="1287" spans="1:8">
      <c r="A1287" t="s">
        <v>1293</v>
      </c>
      <c r="B1287" t="s">
        <v>6124</v>
      </c>
      <c r="C1287" t="s">
        <v>10112</v>
      </c>
      <c r="D1287" t="s">
        <v>12612</v>
      </c>
      <c r="E1287" s="2">
        <v>308</v>
      </c>
      <c r="F1287">
        <f>HYPERLINK("https://www2.assemblee-nationale.fr/sycomore/fiche/(num_dept)/8004", "8004.0")</f>
        <v>0</v>
      </c>
      <c r="H1287">
        <f>HYPERLINK("https://www.wikidata.org/wiki/Q3185327", "Q3185327")</f>
        <v>0</v>
      </c>
    </row>
    <row r="1288" spans="1:8">
      <c r="A1288" t="s">
        <v>1294</v>
      </c>
      <c r="B1288" t="s">
        <v>6125</v>
      </c>
      <c r="C1288" t="s">
        <v>10113</v>
      </c>
      <c r="D1288" t="s">
        <v>12613</v>
      </c>
      <c r="E1288" s="2">
        <v>10318</v>
      </c>
      <c r="F1288">
        <f>HYPERLINK("https://www2.assemblee-nationale.fr/sycomore/fiche/(num_dept)/678", "678.0")</f>
        <v>0</v>
      </c>
      <c r="H1288">
        <f>HYPERLINK("https://www.wikidata.org/wiki/Q15973666", "Q15973666")</f>
        <v>0</v>
      </c>
    </row>
    <row r="1289" spans="1:8">
      <c r="A1289" t="s">
        <v>1295</v>
      </c>
      <c r="B1289" t="s">
        <v>6126</v>
      </c>
      <c r="C1289" t="s">
        <v>10114</v>
      </c>
      <c r="D1289" t="s">
        <v>11561</v>
      </c>
      <c r="E1289" s="2">
        <v>9196</v>
      </c>
      <c r="F1289">
        <f>HYPERLINK("https://www2.assemblee-nationale.fr/sycomore/fiche/(num_dept)/2823", "2823.0")</f>
        <v>0</v>
      </c>
      <c r="H1289">
        <f>HYPERLINK("https://www.wikidata.org/wiki/Q2965715", "Q2965715")</f>
        <v>0</v>
      </c>
    </row>
    <row r="1290" spans="1:8">
      <c r="A1290" t="s">
        <v>1296</v>
      </c>
      <c r="B1290" t="s">
        <v>6127</v>
      </c>
      <c r="C1290" t="s">
        <v>10115</v>
      </c>
      <c r="D1290" t="s">
        <v>12614</v>
      </c>
      <c r="E1290" s="2">
        <v>11650</v>
      </c>
      <c r="F1290">
        <f>HYPERLINK("https://www2.assemblee-nationale.fr/sycomore/fiche/(num_dept)/2849", "2849.0")</f>
        <v>0</v>
      </c>
      <c r="H1290">
        <f>HYPERLINK("https://www.wikidata.org/wiki/Q8324733", "Q8324733")</f>
        <v>0</v>
      </c>
    </row>
    <row r="1291" spans="1:8">
      <c r="A1291" t="s">
        <v>1297</v>
      </c>
      <c r="B1291" t="s">
        <v>6128</v>
      </c>
      <c r="C1291" t="s">
        <v>10116</v>
      </c>
      <c r="D1291" t="s">
        <v>12615</v>
      </c>
      <c r="E1291" s="2">
        <v>876</v>
      </c>
      <c r="F1291">
        <f>HYPERLINK("https://www2.assemblee-nationale.fr/sycomore/fiche/(num_dept)/2855", "2855.0")</f>
        <v>0</v>
      </c>
      <c r="H1291">
        <f>HYPERLINK("https://www.wikidata.org/wiki/Q15969530", "Q15969530")</f>
        <v>0</v>
      </c>
    </row>
    <row r="1292" spans="1:8">
      <c r="A1292" t="s">
        <v>1298</v>
      </c>
      <c r="B1292" t="s">
        <v>6129</v>
      </c>
      <c r="C1292" t="s">
        <v>9430</v>
      </c>
      <c r="D1292" t="s">
        <v>12616</v>
      </c>
      <c r="E1292" s="2">
        <v>8902</v>
      </c>
      <c r="G1292">
        <f>HYPERLINK("https://www.senat.fr/senateur-3eme-republique/d_estournelles_de_constant_paul1252r3.html", "d_estournelles_de_constant_paul1252r3")</f>
        <v>0</v>
      </c>
      <c r="H1292">
        <f>HYPERLINK("https://www.wikidata.org/wiki/Q238731", "Q238731")</f>
        <v>0</v>
      </c>
    </row>
    <row r="1293" spans="1:8">
      <c r="A1293" t="s">
        <v>1299</v>
      </c>
      <c r="B1293" t="s">
        <v>6130</v>
      </c>
      <c r="C1293" t="s">
        <v>10117</v>
      </c>
      <c r="D1293" t="s">
        <v>12617</v>
      </c>
      <c r="E1293" s="2">
        <v>16514</v>
      </c>
      <c r="F1293">
        <f>HYPERLINK("https://www2.assemblee-nationale.fr/sycomore/fiche/(num_dept)/3936", "3936.0")</f>
        <v>0</v>
      </c>
      <c r="H1293">
        <f>HYPERLINK("https://www.wikidata.org/wiki/Q3263360", "Q3263360")</f>
        <v>0</v>
      </c>
    </row>
    <row r="1294" spans="1:8">
      <c r="A1294" t="s">
        <v>1300</v>
      </c>
      <c r="B1294" t="s">
        <v>6131</v>
      </c>
      <c r="C1294" t="s">
        <v>10118</v>
      </c>
      <c r="D1294" t="s">
        <v>12618</v>
      </c>
      <c r="E1294" s="2">
        <v>20660</v>
      </c>
      <c r="F1294">
        <f>HYPERLINK("https://www2.assemblee-nationale.fr/sycomore/fiche/(num_dept)/3748", "3748.0")</f>
        <v>0</v>
      </c>
      <c r="G1294">
        <f>HYPERLINK("https://www.senat.fr/senateur-3eme-republique/d_harcourt_charles0350r3.html", "d_harcourt_charles0350r3")</f>
        <v>0</v>
      </c>
      <c r="H1294">
        <f>HYPERLINK("https://www.wikidata.org/wiki/Q2960506", "Q2960506")</f>
        <v>0</v>
      </c>
    </row>
    <row r="1295" spans="1:8">
      <c r="A1295" t="s">
        <v>1301</v>
      </c>
      <c r="B1295" t="s">
        <v>6131</v>
      </c>
      <c r="C1295" t="s">
        <v>6864</v>
      </c>
      <c r="D1295" s="2">
        <v>924</v>
      </c>
      <c r="E1295" s="2">
        <v>35717</v>
      </c>
      <c r="F1295">
        <f>HYPERLINK("https://www2.assemblee-nationale.fr/sycomore/fiche/(num_dept)/3751", "3751.0")</f>
        <v>0</v>
      </c>
      <c r="H1295">
        <f>HYPERLINK("https://www.wikidata.org/wiki/Q3083328", "Q3083328")</f>
        <v>0</v>
      </c>
    </row>
    <row r="1296" spans="1:8">
      <c r="A1296" t="s">
        <v>1302</v>
      </c>
      <c r="B1296" t="s">
        <v>6132</v>
      </c>
      <c r="C1296" t="s">
        <v>10119</v>
      </c>
      <c r="D1296" t="s">
        <v>12619</v>
      </c>
      <c r="E1296" s="2">
        <v>446</v>
      </c>
      <c r="F1296">
        <f>HYPERLINK("https://www2.assemblee-nationale.fr/sycomore/fiche/(num_dept)/2545", "2545.0")</f>
        <v>0</v>
      </c>
      <c r="H1296">
        <f>HYPERLINK("https://www.wikidata.org/wiki/Q2960566", "Q2960566")</f>
        <v>0</v>
      </c>
    </row>
    <row r="1297" spans="1:8">
      <c r="A1297" t="s">
        <v>1303</v>
      </c>
      <c r="B1297" t="s">
        <v>6133</v>
      </c>
      <c r="C1297" t="s">
        <v>10120</v>
      </c>
      <c r="D1297" t="s">
        <v>12620</v>
      </c>
      <c r="F1297">
        <f>HYPERLINK("https://www2.assemblee-nationale.fr/sycomore/fiche/(num_dept)/3900", "3900.0")</f>
        <v>0</v>
      </c>
      <c r="H1297">
        <f>HYPERLINK("https://www.wikidata.org/wiki/Q8309777", "Q8309777")</f>
        <v>0</v>
      </c>
    </row>
    <row r="1298" spans="1:8">
      <c r="A1298" t="s">
        <v>1304</v>
      </c>
      <c r="B1298" t="s">
        <v>6134</v>
      </c>
      <c r="C1298" t="s">
        <v>10121</v>
      </c>
      <c r="D1298" t="s">
        <v>12621</v>
      </c>
      <c r="E1298" t="s">
        <v>15968</v>
      </c>
      <c r="F1298">
        <f>HYPERLINK("https://www2.assemblee-nationale.fr/sycomore/fiche/(num_dept)/3906", "3906.0")</f>
        <v>0</v>
      </c>
      <c r="H1298">
        <f>HYPERLINK("https://www.wikidata.org/wiki/Q3301022", "Q3301022")</f>
        <v>0</v>
      </c>
    </row>
    <row r="1299" spans="1:8">
      <c r="A1299" t="s">
        <v>1305</v>
      </c>
      <c r="B1299" t="s">
        <v>6135</v>
      </c>
      <c r="C1299" t="s">
        <v>10122</v>
      </c>
      <c r="D1299" t="s">
        <v>12483</v>
      </c>
      <c r="E1299" s="2">
        <v>12474</v>
      </c>
      <c r="F1299">
        <f>HYPERLINK("https://www2.assemblee-nationale.fr/sycomore/fiche/(num_dept)/103", "103.0")</f>
        <v>0</v>
      </c>
      <c r="H1299">
        <f>HYPERLINK("https://www.wikidata.org/wiki/Q3524185", "Q3524185")</f>
        <v>0</v>
      </c>
    </row>
    <row r="1300" spans="1:8">
      <c r="A1300" t="s">
        <v>1306</v>
      </c>
      <c r="B1300" t="s">
        <v>6136</v>
      </c>
      <c r="C1300" t="s">
        <v>10123</v>
      </c>
      <c r="D1300" t="s">
        <v>11878</v>
      </c>
      <c r="E1300" s="2">
        <v>16030</v>
      </c>
      <c r="F1300">
        <f>HYPERLINK("https://www2.assemblee-nationale.fr/sycomore/fiche/(num_dept)/7436", "7436.0")</f>
        <v>0</v>
      </c>
      <c r="H1300">
        <f>HYPERLINK("https://www.wikidata.org/wiki/Q12353689", "Q12353689")</f>
        <v>0</v>
      </c>
    </row>
    <row r="1301" spans="1:8">
      <c r="A1301" t="s">
        <v>1307</v>
      </c>
      <c r="B1301" t="s">
        <v>6137</v>
      </c>
      <c r="C1301" t="s">
        <v>10124</v>
      </c>
      <c r="D1301" t="s">
        <v>12622</v>
      </c>
      <c r="E1301" s="2">
        <v>7473</v>
      </c>
      <c r="F1301">
        <f>HYPERLINK("https://www2.assemblee-nationale.fr/sycomore/fiche/(num_dept)/3787", "3787.0")</f>
        <v>0</v>
      </c>
      <c r="H1301">
        <f>HYPERLINK("https://www.wikidata.org/wiki/Q3172591", "Q3172591")</f>
        <v>0</v>
      </c>
    </row>
    <row r="1302" spans="1:8">
      <c r="A1302" t="s">
        <v>1308</v>
      </c>
      <c r="B1302" t="s">
        <v>6138</v>
      </c>
      <c r="C1302" t="s">
        <v>10125</v>
      </c>
      <c r="D1302" t="s">
        <v>12623</v>
      </c>
      <c r="E1302" s="2">
        <v>2329</v>
      </c>
      <c r="F1302">
        <f>HYPERLINK("https://www2.assemblee-nationale.fr/sycomore/fiche/(num_dept)/5612", "5612.0")</f>
        <v>0</v>
      </c>
      <c r="H1302">
        <f>HYPERLINK("https://www.wikidata.org/wiki/Q16025508", "Q16025508")</f>
        <v>0</v>
      </c>
    </row>
    <row r="1303" spans="1:8">
      <c r="A1303" t="s">
        <v>1309</v>
      </c>
      <c r="B1303" t="s">
        <v>6139</v>
      </c>
      <c r="C1303" t="s">
        <v>10126</v>
      </c>
      <c r="D1303" t="s">
        <v>12624</v>
      </c>
      <c r="E1303" t="s">
        <v>15969</v>
      </c>
      <c r="F1303">
        <f>HYPERLINK("https://www2.assemblee-nationale.fr/sycomore/fiche/(num_dept)/8120", "8120.0")</f>
        <v>0</v>
      </c>
      <c r="G1303">
        <f>HYPERLINK("https://www.senat.fr/senateur-3eme-republique/d_osmoy_charles0755r3.html", "d_osmoy_charles0755r3")</f>
        <v>0</v>
      </c>
      <c r="H1303">
        <f>HYPERLINK("https://www.wikidata.org/wiki/Q2960511", "Q2960511")</f>
        <v>0</v>
      </c>
    </row>
    <row r="1304" spans="1:8">
      <c r="A1304" t="s">
        <v>1310</v>
      </c>
      <c r="B1304" t="s">
        <v>6139</v>
      </c>
      <c r="C1304" t="s">
        <v>10127</v>
      </c>
      <c r="D1304" t="s">
        <v>12625</v>
      </c>
      <c r="E1304" s="2">
        <v>8141</v>
      </c>
      <c r="F1304">
        <f>HYPERLINK("https://www2.assemblee-nationale.fr/sycomore/fiche/(num_dept)/5621", "5621.0")</f>
        <v>0</v>
      </c>
      <c r="H1304">
        <f>HYPERLINK("https://www.wikidata.org/wiki/Q3515229", "Q3515229")</f>
        <v>0</v>
      </c>
    </row>
    <row r="1305" spans="1:8">
      <c r="A1305" t="s">
        <v>1311</v>
      </c>
      <c r="B1305" t="s">
        <v>6140</v>
      </c>
      <c r="C1305" t="s">
        <v>10128</v>
      </c>
      <c r="D1305" t="s">
        <v>12626</v>
      </c>
      <c r="E1305" s="2">
        <v>2023</v>
      </c>
      <c r="F1305">
        <f>HYPERLINK("https://www2.assemblee-nationale.fr/sycomore/fiche/(num_dept)/8102", "8102.0")</f>
        <v>0</v>
      </c>
      <c r="H1305">
        <f>HYPERLINK("https://www.wikidata.org/wiki/Q3293116", "Q3293116")</f>
        <v>0</v>
      </c>
    </row>
    <row r="1306" spans="1:8">
      <c r="A1306" t="s">
        <v>1312</v>
      </c>
      <c r="B1306" t="s">
        <v>6141</v>
      </c>
      <c r="C1306" t="s">
        <v>7314</v>
      </c>
      <c r="D1306" t="s">
        <v>12627</v>
      </c>
      <c r="E1306" t="s">
        <v>14167</v>
      </c>
      <c r="G1306">
        <f>HYPERLINK("https://www.senat.fr/senateur-3eme-republique/daguenet_jacques1054r3.html", "daguenet_jacques1054r3")</f>
        <v>0</v>
      </c>
      <c r="H1306">
        <f>HYPERLINK("https://www.wikidata.org/wiki/Q2824802", "Q2824802")</f>
        <v>0</v>
      </c>
    </row>
    <row r="1307" spans="1:8">
      <c r="A1307" t="s">
        <v>1313</v>
      </c>
      <c r="B1307" t="s">
        <v>6142</v>
      </c>
      <c r="C1307" t="s">
        <v>9352</v>
      </c>
      <c r="D1307" t="s">
        <v>12628</v>
      </c>
      <c r="E1307" s="2">
        <v>23373</v>
      </c>
      <c r="F1307">
        <f>HYPERLINK("https://www2.assemblee-nationale.fr/sycomore/fiche/(num_dept)/2102", "2102.0")</f>
        <v>0</v>
      </c>
      <c r="H1307">
        <f>HYPERLINK("https://www.wikidata.org/wiki/Q2934903", "Q2934903")</f>
        <v>0</v>
      </c>
    </row>
    <row r="1308" spans="1:8">
      <c r="A1308" t="s">
        <v>1314</v>
      </c>
      <c r="B1308" t="s">
        <v>6143</v>
      </c>
      <c r="C1308" t="s">
        <v>5058</v>
      </c>
      <c r="D1308" t="s">
        <v>12629</v>
      </c>
      <c r="E1308" s="2">
        <v>15304</v>
      </c>
      <c r="F1308">
        <f>HYPERLINK("https://www2.assemblee-nationale.fr/sycomore/fiche/(num_dept)/2103", "2103.0")</f>
        <v>0</v>
      </c>
      <c r="H1308">
        <f>HYPERLINK("https://www.wikidata.org/wiki/Q2831072", "Q2831072")</f>
        <v>0</v>
      </c>
    </row>
    <row r="1309" spans="1:8">
      <c r="A1309" t="s">
        <v>1315</v>
      </c>
      <c r="B1309" t="s">
        <v>6144</v>
      </c>
      <c r="C1309" t="s">
        <v>9346</v>
      </c>
      <c r="D1309" t="s">
        <v>12630</v>
      </c>
      <c r="E1309" s="2">
        <v>25851</v>
      </c>
      <c r="F1309">
        <f>HYPERLINK("https://www2.assemblee-nationale.fr/sycomore/fiche/(num_dept)/2105", "2105.0")</f>
        <v>0</v>
      </c>
      <c r="H1309">
        <f>HYPERLINK("https://www.wikidata.org/wiki/Q213526", "Q213526")</f>
        <v>0</v>
      </c>
    </row>
    <row r="1310" spans="1:8">
      <c r="A1310" t="s">
        <v>1316</v>
      </c>
      <c r="B1310" t="s">
        <v>6145</v>
      </c>
      <c r="C1310" t="s">
        <v>9438</v>
      </c>
      <c r="D1310" t="s">
        <v>12631</v>
      </c>
      <c r="E1310" s="2">
        <v>19843</v>
      </c>
      <c r="F1310">
        <f>HYPERLINK("https://www2.assemblee-nationale.fr/sycomore/fiche/(num_dept)/2108", "2108.0")</f>
        <v>0</v>
      </c>
      <c r="G1310">
        <f>HYPERLINK("https://www.senat.fr/senateur-3eme-republique/dalbiez_victor1098r3.html", "dalbiez_victor1098r3")</f>
        <v>0</v>
      </c>
      <c r="H1310">
        <f>HYPERLINK("https://www.wikidata.org/wiki/Q3557251", "Q3557251")</f>
        <v>0</v>
      </c>
    </row>
    <row r="1311" spans="1:8">
      <c r="A1311" t="s">
        <v>1317</v>
      </c>
      <c r="B1311" t="s">
        <v>6146</v>
      </c>
      <c r="C1311" t="s">
        <v>10129</v>
      </c>
      <c r="D1311" t="s">
        <v>12632</v>
      </c>
      <c r="E1311" s="2">
        <v>13276</v>
      </c>
      <c r="F1311">
        <f>HYPERLINK("https://www2.assemblee-nationale.fr/sycomore/fiche/(num_dept)/2110", "2110.0")</f>
        <v>0</v>
      </c>
      <c r="H1311">
        <f>HYPERLINK("https://www.wikidata.org/wiki/Q2831073", "Q2831073")</f>
        <v>0</v>
      </c>
    </row>
    <row r="1312" spans="1:8">
      <c r="A1312" t="s">
        <v>1318</v>
      </c>
      <c r="B1312" t="s">
        <v>6147</v>
      </c>
      <c r="C1312" t="s">
        <v>7001</v>
      </c>
      <c r="D1312" t="s">
        <v>12633</v>
      </c>
      <c r="E1312" s="2">
        <v>17650</v>
      </c>
      <c r="F1312">
        <f>HYPERLINK("https://www2.assemblee-nationale.fr/sycomore/fiche/(num_dept)/2112", "2112.0")</f>
        <v>0</v>
      </c>
      <c r="H1312">
        <f>HYPERLINK("https://www.wikidata.org/wiki/Q16025511", "Q16025511")</f>
        <v>0</v>
      </c>
    </row>
    <row r="1313" spans="1:8">
      <c r="A1313" t="s">
        <v>1319</v>
      </c>
      <c r="B1313" t="s">
        <v>6148</v>
      </c>
      <c r="C1313" t="s">
        <v>9524</v>
      </c>
      <c r="D1313" t="s">
        <v>12634</v>
      </c>
      <c r="E1313" s="2">
        <v>14819</v>
      </c>
      <c r="G1313">
        <f>HYPERLINK("https://www.senat.fr/senateur-3eme-republique/damecour_emile1047r3.html", "damecour_emile1047r3")</f>
        <v>0</v>
      </c>
      <c r="H1313">
        <f>HYPERLINK("https://www.wikidata.org/wiki/Q3588443", "Q3588443")</f>
        <v>0</v>
      </c>
    </row>
    <row r="1314" spans="1:8">
      <c r="A1314" t="s">
        <v>1320</v>
      </c>
      <c r="B1314" t="s">
        <v>6149</v>
      </c>
      <c r="C1314" t="s">
        <v>10130</v>
      </c>
      <c r="D1314" t="s">
        <v>12635</v>
      </c>
      <c r="E1314" s="2">
        <v>19677</v>
      </c>
      <c r="F1314">
        <f>HYPERLINK("https://www2.assemblee-nationale.fr/sycomore/fiche/(num_dept)/2117", "2117.0")</f>
        <v>0</v>
      </c>
      <c r="H1314">
        <f>HYPERLINK("https://www.wikidata.org/wiki/Q16025512", "Q16025512")</f>
        <v>0</v>
      </c>
    </row>
    <row r="1315" spans="1:8">
      <c r="A1315" t="s">
        <v>1321</v>
      </c>
      <c r="B1315" t="s">
        <v>6150</v>
      </c>
      <c r="C1315" t="s">
        <v>10131</v>
      </c>
      <c r="D1315" t="s">
        <v>12636</v>
      </c>
      <c r="E1315" s="2">
        <v>5896</v>
      </c>
      <c r="F1315">
        <f>HYPERLINK("https://www2.assemblee-nationale.fr/sycomore/fiche/(num_dept)/2120", "2120.0")</f>
        <v>0</v>
      </c>
      <c r="G1315">
        <f>HYPERLINK("https://www.senat.fr/senateur-3eme-republique/danelle_bernardin_jean0870r3.html", "danelle_bernardin_jean0870r3")</f>
        <v>0</v>
      </c>
      <c r="H1315">
        <f>HYPERLINK("https://www.wikidata.org/wiki/Q3171537", "Q3171537")</f>
        <v>0</v>
      </c>
    </row>
    <row r="1316" spans="1:8">
      <c r="A1316" t="s">
        <v>1322</v>
      </c>
      <c r="B1316" t="s">
        <v>6151</v>
      </c>
      <c r="C1316" t="s">
        <v>10132</v>
      </c>
      <c r="D1316" t="s">
        <v>12637</v>
      </c>
      <c r="E1316" s="2">
        <v>2489</v>
      </c>
      <c r="F1316">
        <f>HYPERLINK("https://www2.assemblee-nationale.fr/sycomore/fiche/(num_dept)/7977", "7977.0")</f>
        <v>0</v>
      </c>
      <c r="H1316">
        <f>HYPERLINK("https://www.wikidata.org/wiki/Q16025514", "Q16025514")</f>
        <v>0</v>
      </c>
    </row>
    <row r="1317" spans="1:8">
      <c r="A1317" t="s">
        <v>1323</v>
      </c>
      <c r="B1317" t="s">
        <v>6152</v>
      </c>
      <c r="C1317" t="s">
        <v>10133</v>
      </c>
      <c r="D1317" t="s">
        <v>12638</v>
      </c>
      <c r="E1317" s="2">
        <v>16925</v>
      </c>
      <c r="F1317">
        <f>HYPERLINK("https://www2.assemblee-nationale.fr/sycomore/fiche/(num_dept)/7361", "7361.0")</f>
        <v>0</v>
      </c>
      <c r="G1317">
        <f>HYPERLINK("https://www.senat.fr/senateur-3eme-republique/daniel_vincent_charles1382r3.html", "daniel_vincent_charles1382r3")</f>
        <v>0</v>
      </c>
      <c r="H1317">
        <f>HYPERLINK("https://www.wikidata.org/wiki/Q3014792", "Q3014792")</f>
        <v>0</v>
      </c>
    </row>
    <row r="1318" spans="1:8">
      <c r="A1318" t="s">
        <v>1324</v>
      </c>
      <c r="B1318" t="s">
        <v>6153</v>
      </c>
      <c r="C1318" t="s">
        <v>9355</v>
      </c>
      <c r="D1318" t="s">
        <v>12639</v>
      </c>
      <c r="E1318" s="2">
        <v>6986</v>
      </c>
      <c r="G1318">
        <f>HYPERLINK("https://www.senat.fr/senateur-3eme-republique/daniel_charles0965r3.html", "daniel_charles0965r3")</f>
        <v>0</v>
      </c>
      <c r="H1318">
        <f>HYPERLINK("https://www.wikidata.org/wiki/Q2958838", "Q2958838")</f>
        <v>0</v>
      </c>
    </row>
    <row r="1319" spans="1:8">
      <c r="A1319" t="s">
        <v>1325</v>
      </c>
      <c r="B1319" t="s">
        <v>6154</v>
      </c>
      <c r="C1319" t="s">
        <v>10134</v>
      </c>
      <c r="D1319" t="s">
        <v>12640</v>
      </c>
      <c r="E1319" s="2">
        <v>19723</v>
      </c>
      <c r="F1319">
        <f>HYPERLINK("https://www2.assemblee-nationale.fr/sycomore/fiche/(num_dept)/2124", "2124.0")</f>
        <v>0</v>
      </c>
      <c r="H1319">
        <f>HYPERLINK("https://www.wikidata.org/wiki/Q2958846", "Q2958846")</f>
        <v>0</v>
      </c>
    </row>
    <row r="1320" spans="1:8">
      <c r="A1320" t="s">
        <v>1326</v>
      </c>
      <c r="B1320" t="s">
        <v>6155</v>
      </c>
      <c r="C1320" t="s">
        <v>10135</v>
      </c>
      <c r="D1320" t="s">
        <v>12641</v>
      </c>
      <c r="E1320" s="2">
        <v>6299</v>
      </c>
      <c r="F1320">
        <f>HYPERLINK("https://www2.assemblee-nationale.fr/sycomore/fiche/(num_dept)/2127", "2127.0")</f>
        <v>0</v>
      </c>
      <c r="H1320">
        <f>HYPERLINK("https://www.wikidata.org/wiki/Q16025516", "Q16025516")</f>
        <v>0</v>
      </c>
    </row>
    <row r="1321" spans="1:8">
      <c r="A1321" t="s">
        <v>1327</v>
      </c>
      <c r="B1321" t="s">
        <v>6156</v>
      </c>
      <c r="C1321" t="s">
        <v>9332</v>
      </c>
      <c r="D1321" t="s">
        <v>12642</v>
      </c>
      <c r="E1321" s="2">
        <v>14946</v>
      </c>
      <c r="G1321">
        <f>HYPERLINK("https://www.senat.fr/senateur-3eme-republique/daraignez_ernest0341r3.html", "daraignez_ernest0341r3")</f>
        <v>0</v>
      </c>
      <c r="H1321">
        <f>HYPERLINK("https://www.wikidata.org/wiki/Q3056913", "Q3056913")</f>
        <v>0</v>
      </c>
    </row>
    <row r="1322" spans="1:8">
      <c r="A1322" t="s">
        <v>1328</v>
      </c>
      <c r="B1322" t="s">
        <v>6157</v>
      </c>
      <c r="C1322" t="s">
        <v>10136</v>
      </c>
      <c r="D1322" t="s">
        <v>12643</v>
      </c>
      <c r="E1322" s="2">
        <v>9880</v>
      </c>
      <c r="F1322">
        <f>HYPERLINK("https://www2.assemblee-nationale.fr/sycomore/fiche/(num_dept)/2128", "2128.0")</f>
        <v>0</v>
      </c>
      <c r="H1322">
        <f>HYPERLINK("https://www.wikidata.org/wiki/Q3261648", "Q3261648")</f>
        <v>0</v>
      </c>
    </row>
    <row r="1323" spans="1:8">
      <c r="A1323" t="s">
        <v>1329</v>
      </c>
      <c r="B1323" t="s">
        <v>6158</v>
      </c>
      <c r="C1323" t="s">
        <v>7342</v>
      </c>
      <c r="D1323" t="s">
        <v>12644</v>
      </c>
      <c r="E1323" s="2">
        <v>7760</v>
      </c>
      <c r="G1323">
        <f>HYPERLINK("https://www.senat.fr/senateur-3eme-republique/darbot_jean0873r3.html", "darbot_jean0873r3")</f>
        <v>0</v>
      </c>
      <c r="H1323">
        <f>HYPERLINK("https://www.wikidata.org/wiki/Q3171549", "Q3171549")</f>
        <v>0</v>
      </c>
    </row>
    <row r="1324" spans="1:8">
      <c r="A1324" t="s">
        <v>1330</v>
      </c>
      <c r="B1324" t="s">
        <v>6159</v>
      </c>
      <c r="C1324" t="s">
        <v>10137</v>
      </c>
      <c r="D1324" t="s">
        <v>12645</v>
      </c>
      <c r="E1324" s="2">
        <v>3773</v>
      </c>
      <c r="F1324">
        <f>HYPERLINK("https://www2.assemblee-nationale.fr/sycomore/fiche/(num_dept)/2130", "2130.0")</f>
        <v>0</v>
      </c>
      <c r="H1324">
        <f>HYPERLINK("https://www.wikidata.org/wiki/Q16025517", "Q16025517")</f>
        <v>0</v>
      </c>
    </row>
    <row r="1325" spans="1:8">
      <c r="A1325" t="s">
        <v>1331</v>
      </c>
      <c r="B1325" t="s">
        <v>6160</v>
      </c>
      <c r="C1325" t="s">
        <v>10138</v>
      </c>
      <c r="D1325" t="s">
        <v>12646</v>
      </c>
      <c r="E1325" s="2">
        <v>18062</v>
      </c>
      <c r="F1325">
        <f>HYPERLINK("https://www2.assemblee-nationale.fr/sycomore/fiche/(num_dept)/2132", "2132.0")</f>
        <v>0</v>
      </c>
      <c r="H1325">
        <f>HYPERLINK("https://www.wikidata.org/wiki/Q2825149", "Q2825149")</f>
        <v>0</v>
      </c>
    </row>
    <row r="1326" spans="1:8">
      <c r="A1326" t="s">
        <v>1332</v>
      </c>
      <c r="B1326" t="s">
        <v>6161</v>
      </c>
      <c r="C1326" t="s">
        <v>9312</v>
      </c>
      <c r="D1326" t="s">
        <v>12647</v>
      </c>
      <c r="E1326" s="2">
        <v>4724</v>
      </c>
      <c r="F1326">
        <f>HYPERLINK("https://www2.assemblee-nationale.fr/sycomore/fiche/(num_dept)/2134", "2134.0")</f>
        <v>0</v>
      </c>
      <c r="H1326">
        <f>HYPERLINK("https://www.wikidata.org/wiki/Q3163997", "Q3163997")</f>
        <v>0</v>
      </c>
    </row>
    <row r="1327" spans="1:8">
      <c r="A1327" t="s">
        <v>1333</v>
      </c>
      <c r="B1327" t="s">
        <v>6161</v>
      </c>
      <c r="C1327" t="s">
        <v>6864</v>
      </c>
      <c r="D1327" t="s">
        <v>12648</v>
      </c>
      <c r="E1327" s="2">
        <v>15699</v>
      </c>
      <c r="H1327">
        <f>HYPERLINK("https://www.wikidata.org/wiki/Q156916", "Q156916")</f>
        <v>0</v>
      </c>
    </row>
    <row r="1328" spans="1:8">
      <c r="A1328" t="s">
        <v>1334</v>
      </c>
      <c r="B1328" t="s">
        <v>6162</v>
      </c>
      <c r="C1328" t="s">
        <v>9438</v>
      </c>
      <c r="D1328" t="s">
        <v>12649</v>
      </c>
      <c r="E1328" s="2">
        <v>15613</v>
      </c>
      <c r="F1328">
        <f>HYPERLINK("https://www2.assemblee-nationale.fr/sycomore/fiche/(num_dept)/2135", "2135.0")</f>
        <v>0</v>
      </c>
      <c r="H1328">
        <f>HYPERLINK("https://www.wikidata.org/wiki/Q16025518", "Q16025518")</f>
        <v>0</v>
      </c>
    </row>
    <row r="1329" spans="1:8">
      <c r="A1329" t="s">
        <v>1335</v>
      </c>
      <c r="B1329" t="s">
        <v>6163</v>
      </c>
      <c r="C1329" t="s">
        <v>10139</v>
      </c>
      <c r="D1329" t="s">
        <v>12650</v>
      </c>
      <c r="E1329" t="s">
        <v>15970</v>
      </c>
      <c r="F1329">
        <f>HYPERLINK("https://www2.assemblee-nationale.fr/sycomore/fiche/(num_dept)/8233", "8233.0")</f>
        <v>0</v>
      </c>
      <c r="H1329">
        <f>HYPERLINK("https://www.wikidata.org/wiki/Q8305659", "Q8305659")</f>
        <v>0</v>
      </c>
    </row>
    <row r="1330" spans="1:8">
      <c r="A1330" t="s">
        <v>1336</v>
      </c>
      <c r="B1330" t="s">
        <v>6164</v>
      </c>
      <c r="C1330" t="s">
        <v>10140</v>
      </c>
      <c r="D1330" t="s">
        <v>12651</v>
      </c>
      <c r="E1330" s="2">
        <v>19469</v>
      </c>
      <c r="F1330">
        <f>HYPERLINK("https://www2.assemblee-nationale.fr/sycomore/fiche/(num_dept)/2138", "2138.0")</f>
        <v>0</v>
      </c>
      <c r="H1330">
        <f>HYPERLINK("https://www.wikidata.org/wiki/Q2193149", "Q2193149")</f>
        <v>0</v>
      </c>
    </row>
    <row r="1331" spans="1:8">
      <c r="A1331" t="s">
        <v>1337</v>
      </c>
      <c r="B1331" t="s">
        <v>6165</v>
      </c>
      <c r="C1331" t="s">
        <v>7754</v>
      </c>
      <c r="D1331" t="s">
        <v>12652</v>
      </c>
      <c r="E1331" s="2">
        <v>11987</v>
      </c>
      <c r="G1331">
        <f>HYPERLINK("https://www.senat.fr/senateur-3eme-republique/darteyre_louis1000r3.html", "darteyre_louis1000r3")</f>
        <v>0</v>
      </c>
      <c r="H1331">
        <f>HYPERLINK("https://www.wikidata.org/wiki/Q3261653", "Q3261653")</f>
        <v>0</v>
      </c>
    </row>
    <row r="1332" spans="1:8">
      <c r="A1332" t="s">
        <v>1338</v>
      </c>
      <c r="B1332" t="s">
        <v>6166</v>
      </c>
      <c r="C1332" t="s">
        <v>10141</v>
      </c>
      <c r="D1332" t="s">
        <v>12653</v>
      </c>
      <c r="F1332">
        <f>HYPERLINK("https://www2.assemblee-nationale.fr/sycomore/fiche/(num_dept)/2145", "2145.0")</f>
        <v>0</v>
      </c>
      <c r="H1332">
        <f>HYPERLINK("https://www.wikidata.org/wiki/Q16025705", "Q16025705")</f>
        <v>0</v>
      </c>
    </row>
    <row r="1333" spans="1:8">
      <c r="A1333" t="s">
        <v>1339</v>
      </c>
      <c r="B1333" t="s">
        <v>6166</v>
      </c>
      <c r="C1333" t="s">
        <v>10142</v>
      </c>
      <c r="D1333" t="s">
        <v>12654</v>
      </c>
      <c r="E1333" s="2">
        <v>16894</v>
      </c>
      <c r="F1333">
        <f>HYPERLINK("https://www2.assemblee-nationale.fr/sycomore/fiche/(num_dept)/2144", "2144.0")</f>
        <v>0</v>
      </c>
      <c r="H1333">
        <f>HYPERLINK("https://www.wikidata.org/wiki/Q16025520", "Q16025520")</f>
        <v>0</v>
      </c>
    </row>
    <row r="1334" spans="1:8">
      <c r="A1334" t="s">
        <v>1340</v>
      </c>
      <c r="B1334" t="s">
        <v>6167</v>
      </c>
      <c r="C1334" t="s">
        <v>10143</v>
      </c>
      <c r="D1334" t="s">
        <v>12655</v>
      </c>
      <c r="E1334" t="s">
        <v>15947</v>
      </c>
      <c r="F1334">
        <f>HYPERLINK("https://www2.assemblee-nationale.fr/sycomore/fiche/(num_dept)/2153", "2153.0")</f>
        <v>0</v>
      </c>
      <c r="H1334">
        <f>HYPERLINK("https://www.wikidata.org/wiki/Q8319544", "Q8319544")</f>
        <v>0</v>
      </c>
    </row>
    <row r="1335" spans="1:8">
      <c r="A1335" t="s">
        <v>1341</v>
      </c>
      <c r="B1335" t="s">
        <v>6168</v>
      </c>
      <c r="C1335" t="s">
        <v>7782</v>
      </c>
      <c r="D1335" t="s">
        <v>12656</v>
      </c>
      <c r="E1335" s="2">
        <v>15524</v>
      </c>
      <c r="F1335">
        <f>HYPERLINK("https://www2.assemblee-nationale.fr/sycomore/fiche/(num_dept)/2156", "2156.0")</f>
        <v>0</v>
      </c>
      <c r="H1335">
        <f>HYPERLINK("https://www.wikidata.org/wiki/Q92562", "Q92562")</f>
        <v>0</v>
      </c>
    </row>
    <row r="1336" spans="1:8">
      <c r="A1336" t="s">
        <v>1342</v>
      </c>
      <c r="B1336" t="s">
        <v>6169</v>
      </c>
      <c r="C1336" t="s">
        <v>8288</v>
      </c>
      <c r="D1336" t="s">
        <v>12657</v>
      </c>
      <c r="E1336" s="2">
        <v>10395</v>
      </c>
      <c r="F1336">
        <f>HYPERLINK("https://www2.assemblee-nationale.fr/sycomore/fiche/(num_dept)/2155", "2155.0")</f>
        <v>0</v>
      </c>
      <c r="G1336">
        <f>HYPERLINK("https://www.senat.fr/senateur-3eme-republique/daude_gleize_paulin0860r3.html", "daude_gleize_paulin0860r3")</f>
        <v>0</v>
      </c>
      <c r="H1336">
        <f>HYPERLINK("https://www.wikidata.org/wiki/Q3372661", "Q3372661")</f>
        <v>0</v>
      </c>
    </row>
    <row r="1337" spans="1:8">
      <c r="A1337" t="s">
        <v>1343</v>
      </c>
      <c r="B1337" t="s">
        <v>6170</v>
      </c>
      <c r="C1337" t="s">
        <v>10144</v>
      </c>
      <c r="D1337" t="s">
        <v>12658</v>
      </c>
      <c r="E1337" t="s">
        <v>15971</v>
      </c>
      <c r="F1337">
        <f>HYPERLINK("https://www2.assemblee-nationale.fr/sycomore/fiche/(num_dept)/2160", "2160.0")</f>
        <v>0</v>
      </c>
      <c r="G1337">
        <f>HYPERLINK("https://www.senat.fr/senateur-3eme-republique/daumas_augustin1730r3.html", "daumas_augustin1730r3")</f>
        <v>0</v>
      </c>
      <c r="H1337">
        <f>HYPERLINK("https://www.wikidata.org/wiki/Q2871560", "Q2871560")</f>
        <v>0</v>
      </c>
    </row>
    <row r="1338" spans="1:8">
      <c r="A1338" t="s">
        <v>1344</v>
      </c>
      <c r="B1338" t="s">
        <v>6171</v>
      </c>
      <c r="C1338" t="s">
        <v>9355</v>
      </c>
      <c r="D1338" t="s">
        <v>12659</v>
      </c>
      <c r="E1338" s="2">
        <v>3840</v>
      </c>
      <c r="G1338">
        <f>HYPERLINK("https://www.senat.fr/senateur-3eme-republique/daumy_charles0436r3.html", "daumy_charles0436r3")</f>
        <v>0</v>
      </c>
      <c r="H1338">
        <f>HYPERLINK("https://www.wikidata.org/wiki/Q2958839", "Q2958839")</f>
        <v>0</v>
      </c>
    </row>
    <row r="1339" spans="1:8">
      <c r="A1339" t="s">
        <v>1345</v>
      </c>
      <c r="B1339" t="s">
        <v>6172</v>
      </c>
      <c r="C1339" t="s">
        <v>5058</v>
      </c>
      <c r="D1339" t="s">
        <v>12660</v>
      </c>
      <c r="E1339" t="s">
        <v>15972</v>
      </c>
      <c r="G1339">
        <f>HYPERLINK("https://www.senat.fr/senateur-3eme-republique/dauphin_albert1648r3.html", "dauphin_albert1648r3")</f>
        <v>0</v>
      </c>
      <c r="H1339">
        <f>HYPERLINK("https://www.wikidata.org/wiki/Q2831085", "Q2831085")</f>
        <v>0</v>
      </c>
    </row>
    <row r="1340" spans="1:8">
      <c r="A1340" t="s">
        <v>1346</v>
      </c>
      <c r="B1340" t="s">
        <v>6173</v>
      </c>
      <c r="C1340" t="s">
        <v>7342</v>
      </c>
      <c r="D1340" t="s">
        <v>12661</v>
      </c>
      <c r="E1340" t="s">
        <v>15973</v>
      </c>
      <c r="G1340">
        <f>HYPERLINK("https://www.senat.fr/senateur-3eme-republique/dauphinot_jean0637r3.html", "dauphinot_jean0637r3")</f>
        <v>0</v>
      </c>
      <c r="H1340">
        <f>HYPERLINK("https://www.wikidata.org/wiki/Q3484248", "Q3484248")</f>
        <v>0</v>
      </c>
    </row>
    <row r="1341" spans="1:8">
      <c r="A1341" t="s">
        <v>1347</v>
      </c>
      <c r="B1341" t="s">
        <v>6174</v>
      </c>
      <c r="C1341" t="s">
        <v>8370</v>
      </c>
      <c r="D1341" t="s">
        <v>12662</v>
      </c>
      <c r="G1341">
        <f>HYPERLINK("https://www.senat.fr/senateur-3eme-republique/daussel_philippe0658r3.html", "daussel_philippe0658r3")</f>
        <v>0</v>
      </c>
      <c r="H1341">
        <f>HYPERLINK("https://www.wikidata.org/wiki/Q3379682", "Q3379682")</f>
        <v>0</v>
      </c>
    </row>
    <row r="1342" spans="1:8">
      <c r="A1342" t="s">
        <v>1348</v>
      </c>
      <c r="B1342" t="s">
        <v>6175</v>
      </c>
      <c r="C1342" t="s">
        <v>7754</v>
      </c>
      <c r="D1342" t="s">
        <v>12663</v>
      </c>
      <c r="E1342" s="2">
        <v>14632</v>
      </c>
      <c r="G1342">
        <f>HYPERLINK("https://www.senat.fr/senateur-3eme-republique/dausset_louis1362r3.html", "dausset_louis1362r3")</f>
        <v>0</v>
      </c>
      <c r="H1342">
        <f>HYPERLINK("https://www.wikidata.org/wiki/Q3261658", "Q3261658")</f>
        <v>0</v>
      </c>
    </row>
    <row r="1343" spans="1:8">
      <c r="A1343" t="s">
        <v>1349</v>
      </c>
      <c r="B1343" t="s">
        <v>6176</v>
      </c>
      <c r="C1343" t="s">
        <v>9324</v>
      </c>
      <c r="D1343" t="s">
        <v>12664</v>
      </c>
      <c r="E1343" s="2">
        <v>14407</v>
      </c>
      <c r="F1343">
        <f>HYPERLINK("https://www2.assemblee-nationale.fr/sycomore/fiche/(num_dept)/2163", "2163.0")</f>
        <v>0</v>
      </c>
      <c r="G1343">
        <f>HYPERLINK("https://www.senat.fr/senateur-3eme-republique/dauthy_henry0275r3.html", "dauthy_henry0275r3")</f>
        <v>0</v>
      </c>
      <c r="H1343">
        <f>HYPERLINK("https://www.wikidata.org/wiki/Q3132716", "Q3132716")</f>
        <v>0</v>
      </c>
    </row>
    <row r="1344" spans="1:8">
      <c r="A1344" t="s">
        <v>1350</v>
      </c>
      <c r="B1344" t="s">
        <v>6176</v>
      </c>
      <c r="C1344" t="s">
        <v>10145</v>
      </c>
      <c r="D1344" t="s">
        <v>12665</v>
      </c>
      <c r="E1344" s="2">
        <v>17222</v>
      </c>
      <c r="F1344">
        <f>HYPERLINK("https://www2.assemblee-nationale.fr/sycomore/fiche/(num_dept)/2164", "2164.0")</f>
        <v>0</v>
      </c>
      <c r="H1344">
        <f>HYPERLINK("https://www.wikidata.org/wiki/Q3420785", "Q3420785")</f>
        <v>0</v>
      </c>
    </row>
    <row r="1345" spans="1:8">
      <c r="A1345" t="s">
        <v>1351</v>
      </c>
      <c r="B1345" t="s">
        <v>6177</v>
      </c>
      <c r="C1345" t="s">
        <v>10146</v>
      </c>
      <c r="D1345" t="s">
        <v>12666</v>
      </c>
      <c r="E1345" t="s">
        <v>15974</v>
      </c>
      <c r="F1345">
        <f>HYPERLINK("https://www2.assemblee-nationale.fr/sycomore/fiche/(num_dept)/2165", "2165.0")</f>
        <v>0</v>
      </c>
      <c r="H1345">
        <f>HYPERLINK("https://www.wikidata.org/wiki/Q3265453", "Q3265453")</f>
        <v>0</v>
      </c>
    </row>
    <row r="1346" spans="1:8">
      <c r="A1346" t="s">
        <v>1352</v>
      </c>
      <c r="B1346" t="s">
        <v>6178</v>
      </c>
      <c r="C1346" t="s">
        <v>9377</v>
      </c>
      <c r="D1346" t="s">
        <v>12667</v>
      </c>
      <c r="E1346" t="s">
        <v>15974</v>
      </c>
      <c r="G1346">
        <f>HYPERLINK("https://www.senat.fr/senateur-3eme-republique/dautresme_lucien1592r3.html", "dautresme_lucien1592r3")</f>
        <v>0</v>
      </c>
      <c r="H1346">
        <f>HYPERLINK("https://www.wikidata.org/wiki/Q3265453", "Q3265453")</f>
        <v>0</v>
      </c>
    </row>
    <row r="1347" spans="1:8">
      <c r="A1347" t="s">
        <v>1353</v>
      </c>
      <c r="B1347" t="s">
        <v>6179</v>
      </c>
      <c r="C1347" t="s">
        <v>9359</v>
      </c>
      <c r="D1347" t="s">
        <v>12668</v>
      </c>
      <c r="E1347" s="2">
        <v>18861</v>
      </c>
      <c r="H1347">
        <f>HYPERLINK("https://www.wikidata.org/wiki/Q1877439", "Q1877439")</f>
        <v>0</v>
      </c>
    </row>
    <row r="1348" spans="1:8">
      <c r="A1348" t="s">
        <v>1354</v>
      </c>
      <c r="B1348" t="s">
        <v>6180</v>
      </c>
      <c r="C1348" t="s">
        <v>7754</v>
      </c>
      <c r="D1348" t="s">
        <v>11801</v>
      </c>
      <c r="E1348" s="2">
        <v>16898</v>
      </c>
      <c r="G1348">
        <f>HYPERLINK("https://www.senat.fr/senateur-3eme-republique/dauzier_louis0363r3.html", "dauzier_louis0363r3")</f>
        <v>0</v>
      </c>
      <c r="H1348">
        <f>HYPERLINK("https://www.wikidata.org/wiki/Q3261660", "Q3261660")</f>
        <v>0</v>
      </c>
    </row>
    <row r="1349" spans="1:8">
      <c r="A1349" t="s">
        <v>1355</v>
      </c>
      <c r="B1349" t="s">
        <v>6181</v>
      </c>
      <c r="C1349" t="s">
        <v>10147</v>
      </c>
      <c r="D1349" t="s">
        <v>12669</v>
      </c>
      <c r="E1349" s="2">
        <v>6873</v>
      </c>
      <c r="F1349">
        <f>HYPERLINK("https://www2.assemblee-nationale.fr/sycomore/fiche/(num_dept)/2166", "2166.0")</f>
        <v>0</v>
      </c>
      <c r="H1349">
        <f>HYPERLINK("https://www.wikidata.org/wiki/Q3379684", "Q3379684")</f>
        <v>0</v>
      </c>
    </row>
    <row r="1350" spans="1:8">
      <c r="A1350" t="s">
        <v>1356</v>
      </c>
      <c r="B1350" t="s">
        <v>6182</v>
      </c>
      <c r="C1350" t="s">
        <v>9524</v>
      </c>
      <c r="D1350" t="s">
        <v>12670</v>
      </c>
      <c r="E1350" s="2">
        <v>13615</v>
      </c>
      <c r="F1350">
        <f>HYPERLINK("https://www2.assemblee-nationale.fr/sycomore/fiche/(num_dept)/2167", "2167.0")</f>
        <v>0</v>
      </c>
      <c r="H1350">
        <f>HYPERLINK("https://www.wikidata.org/wiki/Q3588444", "Q3588444")</f>
        <v>0</v>
      </c>
    </row>
    <row r="1351" spans="1:8">
      <c r="A1351" t="s">
        <v>1357</v>
      </c>
      <c r="B1351" t="s">
        <v>6183</v>
      </c>
      <c r="C1351" t="s">
        <v>9524</v>
      </c>
      <c r="D1351" t="s">
        <v>12671</v>
      </c>
      <c r="E1351" s="2">
        <v>13615</v>
      </c>
      <c r="G1351">
        <f>HYPERLINK("https://www.senat.fr/senateur-3eme-republique/davaine_emile1423r3.html", "davaine_emile1423r3")</f>
        <v>0</v>
      </c>
      <c r="H1351">
        <f>HYPERLINK("https://www.wikidata.org/wiki/Q3588444", "Q3588444")</f>
        <v>0</v>
      </c>
    </row>
    <row r="1352" spans="1:8">
      <c r="A1352" t="s">
        <v>1358</v>
      </c>
      <c r="B1352" t="s">
        <v>6184</v>
      </c>
      <c r="C1352" t="s">
        <v>10148</v>
      </c>
      <c r="D1352" t="s">
        <v>12672</v>
      </c>
      <c r="E1352" t="s">
        <v>15975</v>
      </c>
      <c r="F1352">
        <f>HYPERLINK("https://www2.assemblee-nationale.fr/sycomore/fiche/(num_dept)/8146", "8146.0")</f>
        <v>0</v>
      </c>
      <c r="H1352">
        <f>HYPERLINK("https://www.wikidata.org/wiki/Q16025523", "Q16025523")</f>
        <v>0</v>
      </c>
    </row>
    <row r="1353" spans="1:8">
      <c r="A1353" t="s">
        <v>1359</v>
      </c>
      <c r="B1353" t="s">
        <v>6184</v>
      </c>
      <c r="C1353" t="s">
        <v>10149</v>
      </c>
      <c r="D1353" t="s">
        <v>12673</v>
      </c>
      <c r="E1353" t="s">
        <v>15976</v>
      </c>
      <c r="F1353">
        <f>HYPERLINK("https://www2.assemblee-nationale.fr/sycomore/fiche/(num_dept)/8136", "8136.0")</f>
        <v>0</v>
      </c>
      <c r="H1353">
        <f>HYPERLINK("https://www.wikidata.org/wiki/Q3171584", "Q3171584")</f>
        <v>0</v>
      </c>
    </row>
    <row r="1354" spans="1:8">
      <c r="A1354" t="s">
        <v>1360</v>
      </c>
      <c r="B1354" t="s">
        <v>6184</v>
      </c>
      <c r="C1354" t="s">
        <v>10150</v>
      </c>
      <c r="D1354" t="s">
        <v>12674</v>
      </c>
      <c r="E1354" s="2">
        <v>2040</v>
      </c>
      <c r="F1354">
        <f>HYPERLINK("https://www2.assemblee-nationale.fr/sycomore/fiche/(num_dept)/2169", "2169.0")</f>
        <v>0</v>
      </c>
      <c r="H1354">
        <f>HYPERLINK("https://www.wikidata.org/wiki/Q16025522", "Q16025522")</f>
        <v>0</v>
      </c>
    </row>
    <row r="1355" spans="1:8">
      <c r="A1355" t="s">
        <v>1361</v>
      </c>
      <c r="B1355" t="s">
        <v>6184</v>
      </c>
      <c r="C1355" t="s">
        <v>10151</v>
      </c>
      <c r="D1355" t="s">
        <v>12675</v>
      </c>
      <c r="E1355" t="s">
        <v>15977</v>
      </c>
      <c r="F1355">
        <f>HYPERLINK("https://www2.assemblee-nationale.fr/sycomore/fiche/(num_dept)/2177", "2177.0")</f>
        <v>0</v>
      </c>
      <c r="H1355">
        <f>HYPERLINK("https://www.wikidata.org/wiki/Q3526647", "Q3526647")</f>
        <v>0</v>
      </c>
    </row>
    <row r="1356" spans="1:8">
      <c r="A1356" t="s">
        <v>1362</v>
      </c>
      <c r="B1356" t="s">
        <v>6185</v>
      </c>
      <c r="C1356" t="s">
        <v>7754</v>
      </c>
      <c r="D1356" t="s">
        <v>12676</v>
      </c>
      <c r="E1356" s="2">
        <v>11333</v>
      </c>
      <c r="G1356">
        <f>HYPERLINK("https://www.senat.fr/senateur-3eme-republique/david_louis0208r3.html", "david_louis0208r3")</f>
        <v>0</v>
      </c>
      <c r="H1356">
        <f>HYPERLINK("https://www.wikidata.org/wiki/Q3261663", "Q3261663")</f>
        <v>0</v>
      </c>
    </row>
    <row r="1357" spans="1:8">
      <c r="A1357" t="s">
        <v>1363</v>
      </c>
      <c r="B1357" t="s">
        <v>6184</v>
      </c>
      <c r="C1357" t="s">
        <v>9324</v>
      </c>
      <c r="D1357" t="s">
        <v>12677</v>
      </c>
      <c r="E1357" s="2">
        <v>5333</v>
      </c>
      <c r="F1357">
        <f>HYPERLINK("https://www2.assemblee-nationale.fr/sycomore/fiche/(num_dept)/2172", "2172.0")</f>
        <v>0</v>
      </c>
      <c r="G1357">
        <f>HYPERLINK("https://www.senat.fr/senateur-3eme-republique/david_henri0377r3.html", "david_henri0377r3")</f>
        <v>0</v>
      </c>
      <c r="H1357">
        <f>HYPERLINK("https://www.wikidata.org/wiki/Q3130917", "Q3130917")</f>
        <v>0</v>
      </c>
    </row>
    <row r="1358" spans="1:8">
      <c r="A1358" t="s">
        <v>1364</v>
      </c>
      <c r="B1358" t="s">
        <v>6184</v>
      </c>
      <c r="C1358" t="s">
        <v>9918</v>
      </c>
      <c r="D1358" t="s">
        <v>12678</v>
      </c>
      <c r="E1358" s="2">
        <v>12801</v>
      </c>
      <c r="F1358">
        <f>HYPERLINK("https://www2.assemblee-nationale.fr/sycomore/fiche/(num_dept)/2171", "2171.0")</f>
        <v>0</v>
      </c>
      <c r="G1358">
        <f>HYPERLINK("https://www.senat.fr/senateur-3eme-republique/david_fernand1309r3.html", "david_fernand1309r3")</f>
        <v>0</v>
      </c>
      <c r="H1358">
        <f>HYPERLINK("https://www.wikidata.org/wiki/Q3069115", "Q3069115")</f>
        <v>0</v>
      </c>
    </row>
    <row r="1359" spans="1:8">
      <c r="A1359" t="s">
        <v>1365</v>
      </c>
      <c r="B1359" t="s">
        <v>6184</v>
      </c>
      <c r="C1359" t="s">
        <v>10152</v>
      </c>
      <c r="D1359" t="s">
        <v>12679</v>
      </c>
      <c r="E1359" s="2">
        <v>21301</v>
      </c>
      <c r="F1359">
        <f>HYPERLINK("https://www2.assemblee-nationale.fr/sycomore/fiche/(num_dept)/2176", "2176.0")</f>
        <v>0</v>
      </c>
      <c r="H1359">
        <f>HYPERLINK("https://www.wikidata.org/wiki/Q2311094", "Q2311094")</f>
        <v>0</v>
      </c>
    </row>
    <row r="1360" spans="1:8">
      <c r="A1360" t="s">
        <v>1366</v>
      </c>
      <c r="B1360" t="s">
        <v>6186</v>
      </c>
      <c r="C1360" t="s">
        <v>9414</v>
      </c>
      <c r="D1360" t="s">
        <v>12680</v>
      </c>
      <c r="E1360" s="2">
        <v>6642</v>
      </c>
      <c r="F1360">
        <f>HYPERLINK("https://www2.assemblee-nationale.fr/sycomore/fiche/(num_dept)/2182", "2182.0")</f>
        <v>0</v>
      </c>
      <c r="H1360">
        <f>HYPERLINK("https://www.wikidata.org/wiki/Q16025524", "Q16025524")</f>
        <v>0</v>
      </c>
    </row>
    <row r="1361" spans="1:8">
      <c r="A1361" t="s">
        <v>1367</v>
      </c>
      <c r="B1361" t="s">
        <v>6187</v>
      </c>
      <c r="C1361" t="s">
        <v>9356</v>
      </c>
      <c r="D1361" t="s">
        <v>12681</v>
      </c>
      <c r="E1361" t="s">
        <v>15978</v>
      </c>
      <c r="G1361">
        <f>HYPERLINK("https://www.senat.fr/senateur-3eme-republique/de_barante_prosper0983r3.html", "de_barante_prosper0983r3")</f>
        <v>0</v>
      </c>
      <c r="H1361">
        <f>HYPERLINK("https://www.wikidata.org/wiki/Q3407743", "Q3407743")</f>
        <v>0</v>
      </c>
    </row>
    <row r="1362" spans="1:8">
      <c r="A1362" t="s">
        <v>1368</v>
      </c>
      <c r="B1362" t="s">
        <v>6188</v>
      </c>
      <c r="C1362" t="s">
        <v>5117</v>
      </c>
      <c r="D1362" t="s">
        <v>12606</v>
      </c>
      <c r="E1362" s="2">
        <v>16550</v>
      </c>
      <c r="G1362">
        <f>HYPERLINK("https://www.senat.fr/senateur-3eme-republique/de_baudry_d_asson_armand1755r3.html", "de_baudry_d_asson_armand1755r3")</f>
        <v>0</v>
      </c>
      <c r="H1362">
        <f>HYPERLINK("https://www.wikidata.org/wiki/Q2861799", "Q2861799")</f>
        <v>0</v>
      </c>
    </row>
    <row r="1363" spans="1:8">
      <c r="A1363" t="s">
        <v>1369</v>
      </c>
      <c r="B1363" t="s">
        <v>6189</v>
      </c>
      <c r="C1363" t="s">
        <v>7754</v>
      </c>
      <c r="D1363" t="s">
        <v>12682</v>
      </c>
      <c r="E1363" t="s">
        <v>15979</v>
      </c>
      <c r="G1363">
        <f>HYPERLINK("https://www.senat.fr/senateur-3eme-republique/de_beauchamp_louis1768r3.html", "de_beauchamp_louis1768r3")</f>
        <v>0</v>
      </c>
      <c r="H1363">
        <f>HYPERLINK("https://www.wikidata.org/wiki/Q2409514", "Q2409514")</f>
        <v>0</v>
      </c>
    </row>
    <row r="1364" spans="1:8">
      <c r="A1364" t="s">
        <v>1370</v>
      </c>
      <c r="B1364" t="s">
        <v>6190</v>
      </c>
      <c r="C1364" t="s">
        <v>10064</v>
      </c>
      <c r="D1364" t="s">
        <v>12683</v>
      </c>
      <c r="G1364">
        <f>HYPERLINK("https://www.senat.fr/senateur-3eme-republique/de_bejarry_amedee1748r3.html", "de_bejarry_amedee1748r3")</f>
        <v>0</v>
      </c>
      <c r="H1364">
        <f>HYPERLINK("https://www.wikidata.org/wiki/Q2844725", "Q2844725")</f>
        <v>0</v>
      </c>
    </row>
    <row r="1365" spans="1:8">
      <c r="A1365" t="s">
        <v>1371</v>
      </c>
      <c r="B1365" t="s">
        <v>6191</v>
      </c>
      <c r="C1365" t="s">
        <v>7189</v>
      </c>
      <c r="D1365" t="s">
        <v>12684</v>
      </c>
      <c r="E1365" s="2">
        <v>21175</v>
      </c>
      <c r="G1365">
        <f>HYPERLINK("https://www.senat.fr/senateur-3eme-republique/de_berny_gerard1699r3.html", "de_berny_gerard1699r3")</f>
        <v>0</v>
      </c>
      <c r="H1365">
        <f>HYPERLINK("https://www.wikidata.org/wiki/Q3124395", "Q3124395")</f>
        <v>0</v>
      </c>
    </row>
    <row r="1366" spans="1:8">
      <c r="A1366" t="s">
        <v>1372</v>
      </c>
      <c r="B1366" t="s">
        <v>6192</v>
      </c>
      <c r="C1366" t="s">
        <v>9511</v>
      </c>
      <c r="D1366" t="s">
        <v>12685</v>
      </c>
      <c r="E1366" s="2">
        <v>9766</v>
      </c>
      <c r="G1366">
        <f>HYPERLINK("https://www.senat.fr/senateur-3eme-republique/de_bertier_de_sauvigny_jean_marie0704r3.html", "de_bertier_de_sauvigny_jean_marie0704r3")</f>
        <v>0</v>
      </c>
      <c r="H1366">
        <f>HYPERLINK("https://www.wikidata.org/wiki/Q3175273", "Q3175273")</f>
        <v>0</v>
      </c>
    </row>
    <row r="1367" spans="1:8">
      <c r="A1367" t="s">
        <v>1373</v>
      </c>
      <c r="B1367" t="s">
        <v>6193</v>
      </c>
      <c r="C1367" t="s">
        <v>7001</v>
      </c>
      <c r="D1367" t="s">
        <v>12686</v>
      </c>
      <c r="G1367">
        <f>HYPERLINK("https://www.senat.fr/senateur-3eme-republique/de_blois_georges1060r3.html", "de_blois_georges1060r3")</f>
        <v>0</v>
      </c>
      <c r="H1367">
        <f>HYPERLINK("https://www.wikidata.org/wiki/Q3103672", "Q3103672")</f>
        <v>0</v>
      </c>
    </row>
    <row r="1368" spans="1:8">
      <c r="A1368" t="s">
        <v>1374</v>
      </c>
      <c r="B1368" t="s">
        <v>6193</v>
      </c>
      <c r="C1368" t="s">
        <v>7754</v>
      </c>
      <c r="D1368" t="s">
        <v>12687</v>
      </c>
      <c r="E1368" s="2">
        <v>16798</v>
      </c>
      <c r="G1368">
        <f>HYPERLINK("https://www.senat.fr/senateur-3eme-republique/de_blois_louis1075r3.html", "de_blois_louis1075r3")</f>
        <v>0</v>
      </c>
      <c r="H1368">
        <f>HYPERLINK("https://www.wikidata.org/wiki/Q3263379", "Q3263379")</f>
        <v>0</v>
      </c>
    </row>
    <row r="1369" spans="1:8">
      <c r="A1369" t="s">
        <v>1375</v>
      </c>
      <c r="B1369" t="s">
        <v>6194</v>
      </c>
      <c r="C1369" t="s">
        <v>6864</v>
      </c>
      <c r="D1369" t="s">
        <v>12688</v>
      </c>
      <c r="E1369" t="s">
        <v>15980</v>
      </c>
      <c r="G1369">
        <f>HYPERLINK("https://www.senat.fr/senateur-3eme-republique/de_bondy_francois0261r3.html", "de_bondy_francois0261r3")</f>
        <v>0</v>
      </c>
      <c r="H1369">
        <f>HYPERLINK("https://www.wikidata.org/wiki/Q3083560", "Q3083560")</f>
        <v>0</v>
      </c>
    </row>
    <row r="1370" spans="1:8">
      <c r="A1370" t="s">
        <v>1376</v>
      </c>
      <c r="B1370" t="s">
        <v>6195</v>
      </c>
      <c r="C1370" t="s">
        <v>9312</v>
      </c>
      <c r="D1370" t="s">
        <v>12689</v>
      </c>
      <c r="E1370" s="2">
        <v>1169</v>
      </c>
      <c r="G1370">
        <f>HYPERLINK("https://www.senat.fr/senateur-3eme-republique/de_bosredon_jean_baptiste0666r3.html", "de_bosredon_jean_baptiste0666r3")</f>
        <v>0</v>
      </c>
      <c r="H1370">
        <f>HYPERLINK("https://www.wikidata.org/wiki/Q2834163", "Q2834163")</f>
        <v>0</v>
      </c>
    </row>
    <row r="1371" spans="1:8">
      <c r="A1371" t="s">
        <v>1377</v>
      </c>
      <c r="B1371" t="s">
        <v>6196</v>
      </c>
      <c r="C1371" t="s">
        <v>9918</v>
      </c>
      <c r="D1371" t="s">
        <v>12690</v>
      </c>
      <c r="E1371" s="2">
        <v>6175</v>
      </c>
      <c r="G1371">
        <f>HYPERLINK("https://www.senat.fr/senateur-3eme-republique/de_breil_de_pontbriand_fernand1284r3.html", "de_breil_de_pontbriand_fernand1284r3")</f>
        <v>0</v>
      </c>
      <c r="H1371">
        <f>HYPERLINK("https://www.wikidata.org/wiki/Q3069390", "Q3069390")</f>
        <v>0</v>
      </c>
    </row>
    <row r="1372" spans="1:8">
      <c r="A1372" t="s">
        <v>1378</v>
      </c>
      <c r="B1372" t="s">
        <v>6197</v>
      </c>
      <c r="C1372" t="s">
        <v>9618</v>
      </c>
      <c r="D1372" t="s">
        <v>12691</v>
      </c>
      <c r="E1372" t="s">
        <v>15981</v>
      </c>
      <c r="G1372">
        <f>HYPERLINK("https://www.senat.fr/senateur-3eme-republique/de_bremond_d_ars_guillaume0388r3.html", "de_bremond_d_ars_guillaume0388r3")</f>
        <v>0</v>
      </c>
      <c r="H1372">
        <f>HYPERLINK("https://www.wikidata.org/wiki/Q3120288", "Q3120288")</f>
        <v>0</v>
      </c>
    </row>
    <row r="1373" spans="1:8">
      <c r="A1373" t="s">
        <v>1379</v>
      </c>
      <c r="B1373" t="s">
        <v>6198</v>
      </c>
      <c r="C1373" t="s">
        <v>7314</v>
      </c>
      <c r="D1373" t="s">
        <v>12692</v>
      </c>
      <c r="E1373" s="2">
        <v>385</v>
      </c>
      <c r="G1373">
        <f>HYPERLINK("https://www.senat.fr/senateur-3eme-republique/de_broglie_jacques0753r3.html", "de_broglie_jacques0753r3")</f>
        <v>0</v>
      </c>
      <c r="H1373">
        <f>HYPERLINK("https://www.wikidata.org/wiki/Q434932", "Q434932")</f>
        <v>0</v>
      </c>
    </row>
    <row r="1374" spans="1:8">
      <c r="A1374" t="s">
        <v>1380</v>
      </c>
      <c r="B1374" t="s">
        <v>6199</v>
      </c>
      <c r="C1374" t="s">
        <v>9457</v>
      </c>
      <c r="D1374" t="s">
        <v>12693</v>
      </c>
      <c r="E1374" t="s">
        <v>15982</v>
      </c>
      <c r="G1374">
        <f>HYPERLINK("https://www.senat.fr/senateur-3eme-republique/de_callac_alphonse0539r3.html", "de_callac_alphonse0539r3")</f>
        <v>0</v>
      </c>
      <c r="H1374">
        <f>HYPERLINK("https://www.wikidata.org/wiki/Q2840010", "Q2840010")</f>
        <v>0</v>
      </c>
    </row>
    <row r="1375" spans="1:8">
      <c r="A1375" t="s">
        <v>1381</v>
      </c>
      <c r="B1375" t="s">
        <v>6200</v>
      </c>
      <c r="C1375" t="s">
        <v>9373</v>
      </c>
      <c r="D1375" t="s">
        <v>12694</v>
      </c>
      <c r="G1375">
        <f>HYPERLINK("https://www.senat.fr/senateur-3eme-republique/de_carayon_latour_joseph1443r3.html", "de_carayon_latour_joseph1443r3")</f>
        <v>0</v>
      </c>
      <c r="H1375">
        <f>HYPERLINK("https://www.wikidata.org/wiki/Q3185829", "Q3185829")</f>
        <v>0</v>
      </c>
    </row>
    <row r="1376" spans="1:8">
      <c r="A1376" t="s">
        <v>1382</v>
      </c>
      <c r="B1376" t="s">
        <v>6201</v>
      </c>
      <c r="C1376" t="s">
        <v>10153</v>
      </c>
      <c r="D1376" t="s">
        <v>12695</v>
      </c>
      <c r="E1376" t="s">
        <v>15983</v>
      </c>
      <c r="G1376">
        <f>HYPERLINK("https://www.senat.fr/senateur-3eme-republique/de_cardevac_d_havrincourt_alfonse0924r3.html", "de_cardevac_d_havrincourt_alfonse0924r3")</f>
        <v>0</v>
      </c>
      <c r="H1376">
        <f>HYPERLINK("https://www.wikidata.org/wiki/Q2840011", "Q2840011")</f>
        <v>0</v>
      </c>
    </row>
    <row r="1377" spans="1:8">
      <c r="A1377" t="s">
        <v>1383</v>
      </c>
      <c r="B1377" t="s">
        <v>6202</v>
      </c>
      <c r="C1377" t="s">
        <v>9324</v>
      </c>
      <c r="D1377" t="s">
        <v>12499</v>
      </c>
      <c r="E1377" s="2">
        <v>4406</v>
      </c>
      <c r="G1377">
        <f>HYPERLINK("https://www.senat.fr/senateur-3eme-republique/de_carne_henri0565r3.html", "de_carne_henri0565r3")</f>
        <v>0</v>
      </c>
      <c r="H1377">
        <f>HYPERLINK("https://www.wikidata.org/wiki/Q3132234", "Q3132234")</f>
        <v>0</v>
      </c>
    </row>
    <row r="1378" spans="1:8">
      <c r="A1378" t="s">
        <v>1384</v>
      </c>
      <c r="B1378" t="s">
        <v>6203</v>
      </c>
      <c r="C1378" t="s">
        <v>10154</v>
      </c>
      <c r="D1378" t="s">
        <v>12230</v>
      </c>
      <c r="E1378" s="2">
        <v>21735</v>
      </c>
      <c r="G1378">
        <f>HYPERLINK("https://www.senat.fr/senateur-3eme-republique/de_castellane_stanislas0375r3.html", "de_castellane_stanislas0375r3")</f>
        <v>0</v>
      </c>
      <c r="H1378">
        <f>HYPERLINK("https://www.wikidata.org/wiki/Q3496715", "Q3496715")</f>
        <v>0</v>
      </c>
    </row>
    <row r="1379" spans="1:8">
      <c r="A1379" t="s">
        <v>1385</v>
      </c>
      <c r="B1379" t="s">
        <v>6204</v>
      </c>
      <c r="C1379" t="s">
        <v>6864</v>
      </c>
      <c r="D1379" t="s">
        <v>12696</v>
      </c>
      <c r="E1379" t="s">
        <v>15984</v>
      </c>
      <c r="G1379">
        <f>HYPERLINK("https://www.senat.fr/senateur-3eme-republique/de_chabaud_latour_francois1448r3.html", "de_chabaud_latour_francois1448r3")</f>
        <v>0</v>
      </c>
      <c r="H1379">
        <f>HYPERLINK("https://www.wikidata.org/wiki/Q44119", "Q44119")</f>
        <v>0</v>
      </c>
    </row>
    <row r="1380" spans="1:8">
      <c r="A1380" t="s">
        <v>1386</v>
      </c>
      <c r="B1380" t="s">
        <v>6205</v>
      </c>
      <c r="C1380" t="s">
        <v>5354</v>
      </c>
      <c r="D1380" t="s">
        <v>12697</v>
      </c>
      <c r="E1380" t="s">
        <v>15985</v>
      </c>
      <c r="G1380">
        <f>HYPERLINK("https://www.senat.fr/senateur-3eme-republique/de_chabron_bertrand1449r3.html", "de_chabron_bertrand1449r3")</f>
        <v>0</v>
      </c>
      <c r="H1380">
        <f>HYPERLINK("https://www.wikidata.org/wiki/Q2899716", "Q2899716")</f>
        <v>0</v>
      </c>
    </row>
    <row r="1381" spans="1:8">
      <c r="A1381" t="s">
        <v>1387</v>
      </c>
      <c r="B1381" t="s">
        <v>6206</v>
      </c>
      <c r="C1381" t="s">
        <v>9430</v>
      </c>
      <c r="D1381" t="s">
        <v>12698</v>
      </c>
      <c r="E1381" s="2">
        <v>202</v>
      </c>
      <c r="G1381">
        <f>HYPERLINK("https://www.senat.fr/senateur-3eme-republique/de_chadois_paul1450r3.html", "de_chadois_paul1450r3")</f>
        <v>0</v>
      </c>
      <c r="H1381">
        <f>HYPERLINK("https://www.wikidata.org/wiki/Q3372463", "Q3372463")</f>
        <v>0</v>
      </c>
    </row>
    <row r="1382" spans="1:8">
      <c r="A1382" t="s">
        <v>1388</v>
      </c>
      <c r="B1382" t="s">
        <v>6207</v>
      </c>
      <c r="C1382" t="s">
        <v>8384</v>
      </c>
      <c r="D1382" t="s">
        <v>12288</v>
      </c>
      <c r="E1382" s="2">
        <v>19960</v>
      </c>
      <c r="G1382">
        <f>HYPERLINK("https://www.senat.fr/senateur-3eme-republique/de_chambrun_pierre0856r3.html", "de_chambrun_pierre0856r3")</f>
        <v>0</v>
      </c>
      <c r="H1382">
        <f>HYPERLINK("https://www.wikidata.org/wiki/Q3042196", "Q3042196")</f>
        <v>0</v>
      </c>
    </row>
    <row r="1383" spans="1:8">
      <c r="A1383" t="s">
        <v>1389</v>
      </c>
      <c r="B1383" t="s">
        <v>6208</v>
      </c>
      <c r="C1383" t="s">
        <v>7314</v>
      </c>
      <c r="D1383" t="s">
        <v>12290</v>
      </c>
      <c r="E1383" s="2">
        <v>30675</v>
      </c>
      <c r="G1383">
        <f>HYPERLINK("https://www.senat.fr/senateur-3eme-republique/de_chammard_jacques0464r3.html", "de_chammard_jacques0464r3")</f>
        <v>0</v>
      </c>
      <c r="H1383">
        <f>HYPERLINK("https://www.wikidata.org/wiki/Q3160262", "Q3160262")</f>
        <v>0</v>
      </c>
    </row>
    <row r="1384" spans="1:8">
      <c r="A1384" t="s">
        <v>1390</v>
      </c>
      <c r="B1384" t="s">
        <v>6209</v>
      </c>
      <c r="C1384" t="s">
        <v>9324</v>
      </c>
      <c r="D1384" t="s">
        <v>12699</v>
      </c>
      <c r="G1384">
        <f>HYPERLINK("https://www.senat.fr/senateur-3eme-republique/de_champagny_henri0569r3.html", "de_champagny_henri0569r3")</f>
        <v>0</v>
      </c>
      <c r="H1384">
        <f>HYPERLINK("https://www.wikidata.org/wiki/Q2364407", "Q2364407")</f>
        <v>0</v>
      </c>
    </row>
    <row r="1385" spans="1:8">
      <c r="A1385" t="s">
        <v>1391</v>
      </c>
      <c r="B1385" t="s">
        <v>6210</v>
      </c>
      <c r="C1385" t="s">
        <v>7754</v>
      </c>
      <c r="D1385" t="s">
        <v>12700</v>
      </c>
      <c r="E1385" t="s">
        <v>15986</v>
      </c>
      <c r="G1385">
        <f>HYPERLINK("https://www.senat.fr/senateur-3eme-republique/de_chantemerle_louis0041r3.html", "de_chantemerle_louis0041r3")</f>
        <v>0</v>
      </c>
      <c r="H1385">
        <f>HYPERLINK("https://www.wikidata.org/wiki/Q3263417", "Q3263417")</f>
        <v>0</v>
      </c>
    </row>
    <row r="1386" spans="1:8">
      <c r="A1386" t="s">
        <v>1392</v>
      </c>
      <c r="B1386" t="s">
        <v>6211</v>
      </c>
      <c r="C1386" t="s">
        <v>7754</v>
      </c>
      <c r="D1386" t="s">
        <v>12303</v>
      </c>
      <c r="E1386" s="2">
        <v>14588</v>
      </c>
      <c r="H1386">
        <f>HYPERLINK("https://www.wikidata.org/wiki/Q3263418", "Q3263418")</f>
        <v>0</v>
      </c>
    </row>
    <row r="1387" spans="1:8">
      <c r="A1387" t="s">
        <v>1393</v>
      </c>
      <c r="B1387" t="s">
        <v>6212</v>
      </c>
      <c r="C1387" t="s">
        <v>7754</v>
      </c>
      <c r="D1387" t="s">
        <v>12303</v>
      </c>
      <c r="E1387" s="2">
        <v>14588</v>
      </c>
      <c r="H1387">
        <f>HYPERLINK("https://www.wikidata.org/wiki/Q3263418", "Q3263418")</f>
        <v>0</v>
      </c>
    </row>
    <row r="1388" spans="1:8">
      <c r="A1388" t="s">
        <v>1394</v>
      </c>
      <c r="B1388" t="s">
        <v>6213</v>
      </c>
      <c r="C1388" t="s">
        <v>10155</v>
      </c>
      <c r="D1388" t="s">
        <v>12701</v>
      </c>
      <c r="G1388">
        <f>HYPERLINK("https://www.senat.fr/senateur-3eme-republique/de_cissey_ernest_courtot1868r3.html", "de_cissey_ernest_courtot1868r3")</f>
        <v>0</v>
      </c>
      <c r="H1388">
        <f>HYPERLINK("https://www.wikidata.org/wiki/Q471302", "Q471302")</f>
        <v>0</v>
      </c>
    </row>
    <row r="1389" spans="1:8">
      <c r="A1389" t="s">
        <v>1395</v>
      </c>
      <c r="B1389" t="s">
        <v>6214</v>
      </c>
      <c r="C1389" t="s">
        <v>9337</v>
      </c>
      <c r="D1389" t="s">
        <v>12702</v>
      </c>
      <c r="E1389" t="s">
        <v>15987</v>
      </c>
      <c r="G1389">
        <f>HYPERLINK("https://www.senat.fr/senateur-3eme-republique/de_cornulier_de_la_lande_auguste1747r3.html", "de_cornulier_de_la_lande_auguste1747r3")</f>
        <v>0</v>
      </c>
      <c r="H1389">
        <f>HYPERLINK("https://www.wikidata.org/wiki/Q2871474", "Q2871474")</f>
        <v>0</v>
      </c>
    </row>
    <row r="1390" spans="1:8">
      <c r="A1390" t="s">
        <v>1396</v>
      </c>
      <c r="B1390" t="s">
        <v>6215</v>
      </c>
      <c r="C1390" t="s">
        <v>9851</v>
      </c>
      <c r="D1390" t="s">
        <v>12703</v>
      </c>
      <c r="G1390">
        <f>HYPERLINK("https://www.senat.fr/senateur-3eme-republique/de_cornulier_luciniere_hippolyte1459r3.html", "de_cornulier_luciniere_hippolyte1459r3")</f>
        <v>0</v>
      </c>
      <c r="H1390">
        <f>HYPERLINK("https://www.wikidata.org/wiki/Q3136152", "Q3136152")</f>
        <v>0</v>
      </c>
    </row>
    <row r="1391" spans="1:8">
      <c r="A1391" t="s">
        <v>1397</v>
      </c>
      <c r="B1391" t="s">
        <v>6216</v>
      </c>
      <c r="C1391" t="s">
        <v>10156</v>
      </c>
      <c r="D1391" t="s">
        <v>12704</v>
      </c>
      <c r="E1391" t="s">
        <v>15988</v>
      </c>
      <c r="G1391">
        <f>HYPERLINK("https://www.senat.fr/senateur-3eme-republique/de_corsi_patrice0485r3.html", "de_corsi_patrice0485r3")</f>
        <v>0</v>
      </c>
      <c r="H1391">
        <f>HYPERLINK("https://www.wikidata.org/wiki/Q3369056", "Q3369056")</f>
        <v>0</v>
      </c>
    </row>
    <row r="1392" spans="1:8">
      <c r="A1392" t="s">
        <v>1398</v>
      </c>
      <c r="B1392" t="s">
        <v>6217</v>
      </c>
      <c r="C1392" t="s">
        <v>8384</v>
      </c>
      <c r="D1392" t="s">
        <v>12705</v>
      </c>
      <c r="E1392" s="2">
        <v>17135</v>
      </c>
      <c r="G1392">
        <f>HYPERLINK("https://www.senat.fr/senateur-3eme-republique/de_courtois_pierre0063r3.html", "de_courtois_pierre0063r3")</f>
        <v>0</v>
      </c>
      <c r="H1392">
        <f>HYPERLINK("https://www.wikidata.org/wiki/Q3387513", "Q3387513")</f>
        <v>0</v>
      </c>
    </row>
    <row r="1393" spans="1:8">
      <c r="A1393" t="s">
        <v>1399</v>
      </c>
      <c r="B1393" t="s">
        <v>6218</v>
      </c>
      <c r="C1393" t="s">
        <v>9471</v>
      </c>
      <c r="D1393" t="s">
        <v>12706</v>
      </c>
      <c r="E1393" s="2">
        <v>4457</v>
      </c>
      <c r="G1393">
        <f>HYPERLINK("https://www.senat.fr/senateur-3eme-republique/de_cuverville_jules0800r3.html", "de_cuverville_jules0800r3")</f>
        <v>0</v>
      </c>
      <c r="H1393">
        <f>HYPERLINK("https://www.wikidata.org/wiki/Q954793", "Q954793")</f>
        <v>0</v>
      </c>
    </row>
    <row r="1394" spans="1:8">
      <c r="A1394" t="s">
        <v>1400</v>
      </c>
      <c r="B1394" t="s">
        <v>6219</v>
      </c>
      <c r="C1394" t="s">
        <v>7754</v>
      </c>
      <c r="D1394" t="s">
        <v>12707</v>
      </c>
      <c r="E1394" t="s">
        <v>15989</v>
      </c>
      <c r="G1394">
        <f>HYPERLINK("https://www.senat.fr/senateur-3eme-republique/de_ces_caupenne_louis0349r3.html", "de_ces_caupenne_louis0349r3")</f>
        <v>0</v>
      </c>
      <c r="H1394">
        <f>HYPERLINK("https://www.wikidata.org/wiki/Q3263437", "Q3263437")</f>
        <v>0</v>
      </c>
    </row>
    <row r="1395" spans="1:8">
      <c r="A1395" t="s">
        <v>1401</v>
      </c>
      <c r="B1395" t="s">
        <v>6220</v>
      </c>
      <c r="C1395" t="s">
        <v>5058</v>
      </c>
      <c r="D1395" t="s">
        <v>12708</v>
      </c>
      <c r="E1395" s="2">
        <v>17034</v>
      </c>
      <c r="G1395">
        <f>HYPERLINK("https://www.senat.fr/senateur-3eme-republique/de_dion_albert1292r3.html", "de_dion_albert1292r3")</f>
        <v>0</v>
      </c>
      <c r="H1395">
        <f>HYPERLINK("https://www.wikidata.org/wiki/Q971548", "Q971548")</f>
        <v>0</v>
      </c>
    </row>
    <row r="1396" spans="1:8">
      <c r="A1396" t="s">
        <v>1402</v>
      </c>
      <c r="B1396" t="s">
        <v>6221</v>
      </c>
      <c r="C1396" t="s">
        <v>9355</v>
      </c>
      <c r="D1396" t="s">
        <v>12619</v>
      </c>
      <c r="E1396" s="2">
        <v>446</v>
      </c>
      <c r="G1396">
        <f>HYPERLINK("https://www.senat.fr/senateur-3eme-republique/de_dompierre_d_hornoy_charles1675r3.html", "de_dompierre_d_hornoy_charles1675r3")</f>
        <v>0</v>
      </c>
      <c r="H1396">
        <f>HYPERLINK("https://www.wikidata.org/wiki/Q2960566", "Q2960566")</f>
        <v>0</v>
      </c>
    </row>
    <row r="1397" spans="1:8">
      <c r="A1397" t="s">
        <v>1403</v>
      </c>
      <c r="B1397" t="s">
        <v>6222</v>
      </c>
      <c r="C1397" t="s">
        <v>9618</v>
      </c>
      <c r="D1397" t="s">
        <v>12709</v>
      </c>
      <c r="G1397">
        <f>HYPERLINK("https://www.senat.fr/senateur-3eme-republique/de_douhet_guillaume1465r3.html", "de_douhet_guillaume1465r3")</f>
        <v>0</v>
      </c>
      <c r="H1397">
        <f>HYPERLINK("https://www.wikidata.org/wiki/Q3119598", "Q3119598")</f>
        <v>0</v>
      </c>
    </row>
    <row r="1398" spans="1:8">
      <c r="A1398" t="s">
        <v>1404</v>
      </c>
      <c r="B1398" t="s">
        <v>6223</v>
      </c>
      <c r="C1398" t="s">
        <v>9564</v>
      </c>
      <c r="D1398" t="s">
        <v>12710</v>
      </c>
      <c r="E1398" t="s">
        <v>15990</v>
      </c>
      <c r="G1398">
        <f>HYPERLINK("https://www.senat.fr/senateur-3eme-republique/de_flers_alfred0914r3.html", "de_flers_alfred0914r3")</f>
        <v>0</v>
      </c>
      <c r="H1398">
        <f>HYPERLINK("https://www.wikidata.org/wiki/Q2835535", "Q2835535")</f>
        <v>0</v>
      </c>
    </row>
    <row r="1399" spans="1:8">
      <c r="A1399" t="s">
        <v>1405</v>
      </c>
      <c r="B1399" t="s">
        <v>6224</v>
      </c>
      <c r="C1399" t="s">
        <v>9386</v>
      </c>
      <c r="D1399" t="s">
        <v>12711</v>
      </c>
      <c r="E1399" s="2">
        <v>18216</v>
      </c>
      <c r="G1399">
        <f>HYPERLINK("https://www.senat.fr/senateur-3eme-republique/de_fontaines_raymond1746r3.html", "de_fontaines_raymond1746r3")</f>
        <v>0</v>
      </c>
      <c r="H1399">
        <f>HYPERLINK("https://www.wikidata.org/wiki/Q3421220", "Q3421220")</f>
        <v>0</v>
      </c>
    </row>
    <row r="1400" spans="1:8">
      <c r="A1400" t="s">
        <v>1406</v>
      </c>
      <c r="B1400" t="s">
        <v>6225</v>
      </c>
      <c r="C1400" t="s">
        <v>7869</v>
      </c>
      <c r="D1400" t="s">
        <v>12712</v>
      </c>
      <c r="E1400" t="s">
        <v>15991</v>
      </c>
      <c r="G1400">
        <f>HYPERLINK("https://www.senat.fr/senateur-3eme-republique/de_fourtou_marie0654r3.html", "de_fourtou_marie0654r3")</f>
        <v>0</v>
      </c>
      <c r="H1400">
        <f>HYPERLINK("https://www.wikidata.org/wiki/Q330554", "Q330554")</f>
        <v>0</v>
      </c>
    </row>
    <row r="1401" spans="1:8">
      <c r="A1401" t="s">
        <v>1407</v>
      </c>
      <c r="B1401" t="s">
        <v>6226</v>
      </c>
      <c r="C1401" t="s">
        <v>9355</v>
      </c>
      <c r="D1401" t="s">
        <v>12713</v>
      </c>
      <c r="E1401" s="2">
        <v>8535</v>
      </c>
      <c r="H1401">
        <f>HYPERLINK("https://www.wikidata.org/wiki/Q317957", "Q317957")</f>
        <v>0</v>
      </c>
    </row>
    <row r="1402" spans="1:8">
      <c r="A1402" t="s">
        <v>1408</v>
      </c>
      <c r="B1402" t="s">
        <v>6227</v>
      </c>
      <c r="C1402" t="s">
        <v>9512</v>
      </c>
      <c r="D1402" t="s">
        <v>12714</v>
      </c>
      <c r="E1402" s="2">
        <v>3477</v>
      </c>
      <c r="H1402">
        <f>HYPERLINK("https://www.wikidata.org/wiki/Q700951", "Q700951")</f>
        <v>0</v>
      </c>
    </row>
    <row r="1403" spans="1:8">
      <c r="A1403" t="s">
        <v>1409</v>
      </c>
      <c r="B1403" t="s">
        <v>6228</v>
      </c>
      <c r="C1403" t="s">
        <v>9355</v>
      </c>
      <c r="D1403" t="s">
        <v>12715</v>
      </c>
      <c r="E1403" s="2">
        <v>25881</v>
      </c>
      <c r="H1403">
        <f>HYPERLINK("https://www.wikidata.org/wiki/Q2042", "Q2042")</f>
        <v>0</v>
      </c>
    </row>
    <row r="1404" spans="1:8">
      <c r="A1404" t="s">
        <v>1410</v>
      </c>
      <c r="B1404" t="s">
        <v>6229</v>
      </c>
      <c r="C1404" t="s">
        <v>9324</v>
      </c>
      <c r="D1404" t="s">
        <v>12716</v>
      </c>
      <c r="E1404" s="2">
        <v>3791</v>
      </c>
      <c r="G1404">
        <f>HYPERLINK("https://www.senat.fr/senateur-3eme-republique/de_gavardie_henri0342r3.html", "de_gavardie_henri0342r3")</f>
        <v>0</v>
      </c>
      <c r="H1404">
        <f>HYPERLINK("https://www.wikidata.org/wiki/Q3132275", "Q3132275")</f>
        <v>0</v>
      </c>
    </row>
    <row r="1405" spans="1:8">
      <c r="A1405" t="s">
        <v>1411</v>
      </c>
      <c r="B1405" t="s">
        <v>6230</v>
      </c>
      <c r="C1405" t="s">
        <v>10157</v>
      </c>
      <c r="D1405" t="s">
        <v>12717</v>
      </c>
      <c r="E1405" t="s">
        <v>15992</v>
      </c>
      <c r="G1405">
        <f>HYPERLINK("https://www.senat.fr/senateur-3eme-republique/de_gontaut_biron_anne1063r3.html", "de_gontaut_biron_anne1063r3")</f>
        <v>0</v>
      </c>
      <c r="H1405">
        <f>HYPERLINK("https://www.wikidata.org/wiki/Q3587779", "Q3587779")</f>
        <v>0</v>
      </c>
    </row>
    <row r="1406" spans="1:8">
      <c r="A1406" t="s">
        <v>1412</v>
      </c>
      <c r="B1406" t="s">
        <v>6230</v>
      </c>
      <c r="C1406" t="s">
        <v>9373</v>
      </c>
      <c r="D1406" t="s">
        <v>12718</v>
      </c>
      <c r="E1406" s="2">
        <v>8841</v>
      </c>
      <c r="G1406">
        <f>HYPERLINK("https://www.senat.fr/senateur-3eme-republique/de_gontaut_biron_joseph1050r3.html", "de_gontaut_biron_joseph1050r3")</f>
        <v>0</v>
      </c>
      <c r="H1406">
        <f>HYPERLINK("https://www.wikidata.org/wiki/Q3185836", "Q3185836")</f>
        <v>0</v>
      </c>
    </row>
    <row r="1407" spans="1:8">
      <c r="A1407" t="s">
        <v>1413</v>
      </c>
      <c r="B1407" t="s">
        <v>6231</v>
      </c>
      <c r="C1407" t="s">
        <v>10158</v>
      </c>
      <c r="D1407" t="s">
        <v>12719</v>
      </c>
      <c r="E1407" s="2">
        <v>4867</v>
      </c>
      <c r="G1407">
        <f>HYPERLINK("https://www.senat.fr/senateur-3eme-republique/de_goulaine_geoffroy0906r3.html", "de_goulaine_geoffroy0906r3")</f>
        <v>0</v>
      </c>
      <c r="H1407">
        <f>HYPERLINK("https://www.wikidata.org/wiki/Q3101167", "Q3101167")</f>
        <v>0</v>
      </c>
    </row>
    <row r="1408" spans="1:8">
      <c r="A1408" t="s">
        <v>1414</v>
      </c>
      <c r="B1408" t="s">
        <v>6232</v>
      </c>
      <c r="C1408" t="s">
        <v>7001</v>
      </c>
      <c r="D1408" t="s">
        <v>12720</v>
      </c>
      <c r="E1408" s="2">
        <v>16043</v>
      </c>
      <c r="G1408">
        <f>HYPERLINK("https://www.senat.fr/senateur-3eme-republique/de_grandmaison_georges1070r3.html", "de_grandmaison_georges1070r3")</f>
        <v>0</v>
      </c>
      <c r="H1408">
        <f>HYPERLINK("https://www.wikidata.org/wiki/Q3103201", "Q3103201")</f>
        <v>0</v>
      </c>
    </row>
    <row r="1409" spans="1:8">
      <c r="A1409" t="s">
        <v>1415</v>
      </c>
      <c r="B1409" t="s">
        <v>6233</v>
      </c>
      <c r="C1409" t="s">
        <v>9332</v>
      </c>
      <c r="D1409" t="s">
        <v>12721</v>
      </c>
      <c r="E1409" t="s">
        <v>15993</v>
      </c>
      <c r="G1409">
        <f>HYPERLINK("https://www.senat.fr/senateur-3eme-republique/de_guibourg_de_luzinais_ernest1282r3.html", "de_guibourg_de_luzinais_ernest1282r3")</f>
        <v>0</v>
      </c>
      <c r="H1409">
        <f>HYPERLINK("https://www.wikidata.org/wiki/Q3056991", "Q3056991")</f>
        <v>0</v>
      </c>
    </row>
    <row r="1410" spans="1:8">
      <c r="A1410" t="s">
        <v>1416</v>
      </c>
      <c r="B1410" t="s">
        <v>6234</v>
      </c>
      <c r="C1410" t="s">
        <v>10159</v>
      </c>
      <c r="D1410" t="s">
        <v>12722</v>
      </c>
      <c r="E1410" s="2">
        <v>406</v>
      </c>
      <c r="H1410">
        <f>HYPERLINK("https://www.wikidata.org/wiki/Q3480822", "Q3480822")</f>
        <v>0</v>
      </c>
    </row>
    <row r="1411" spans="1:8">
      <c r="A1411" t="s">
        <v>1417</v>
      </c>
      <c r="B1411" t="s">
        <v>6235</v>
      </c>
      <c r="C1411" t="s">
        <v>7233</v>
      </c>
      <c r="D1411" t="s">
        <v>12723</v>
      </c>
      <c r="E1411" s="2">
        <v>13062</v>
      </c>
      <c r="H1411">
        <f>HYPERLINK("https://www.wikidata.org/wiki/Q3133192", "Q3133192")</f>
        <v>0</v>
      </c>
    </row>
    <row r="1412" spans="1:8">
      <c r="A1412" t="s">
        <v>1418</v>
      </c>
      <c r="B1412" t="s">
        <v>6236</v>
      </c>
      <c r="C1412" t="s">
        <v>7314</v>
      </c>
      <c r="D1412" t="s">
        <v>12724</v>
      </c>
      <c r="E1412" s="2">
        <v>18671</v>
      </c>
      <c r="G1412">
        <f>HYPERLINK("https://www.senat.fr/senateur-3eme-republique/de_juigne_jacques1286r3.html", "de_juigne_jacques1286r3")</f>
        <v>0</v>
      </c>
      <c r="H1412">
        <f>HYPERLINK("https://www.wikidata.org/wiki/Q3158160", "Q3158160")</f>
        <v>0</v>
      </c>
    </row>
    <row r="1413" spans="1:8">
      <c r="A1413" t="s">
        <v>1419</v>
      </c>
      <c r="B1413" t="s">
        <v>6237</v>
      </c>
      <c r="C1413" t="s">
        <v>10160</v>
      </c>
      <c r="D1413" t="s">
        <v>12725</v>
      </c>
      <c r="E1413" s="2">
        <v>17152</v>
      </c>
      <c r="G1413">
        <f>HYPERLINK("https://www.senat.fr/senateur-3eme-republique/de_keranflec_h_herve0591r3.html", "de_keranflec_h_herve0591r3")</f>
        <v>0</v>
      </c>
      <c r="H1413">
        <f>HYPERLINK("https://www.wikidata.org/wiki/Q3134672", "Q3134672")</f>
        <v>0</v>
      </c>
    </row>
    <row r="1414" spans="1:8">
      <c r="A1414" t="s">
        <v>1420</v>
      </c>
      <c r="B1414" t="s">
        <v>6238</v>
      </c>
      <c r="C1414" t="s">
        <v>10161</v>
      </c>
      <c r="D1414" t="s">
        <v>12726</v>
      </c>
      <c r="E1414" s="2">
        <v>17746</v>
      </c>
      <c r="G1414">
        <f>HYPERLINK("https://www.senat.fr/senateur-3eme-republique/de_kergariou_edgar0574r3.html", "de_kergariou_edgar0574r3")</f>
        <v>0</v>
      </c>
      <c r="H1414">
        <f>HYPERLINK("https://www.wikidata.org/wiki/Q3047507", "Q3047507")</f>
        <v>0</v>
      </c>
    </row>
    <row r="1415" spans="1:8">
      <c r="A1415" t="s">
        <v>1421</v>
      </c>
      <c r="B1415" t="s">
        <v>6239</v>
      </c>
      <c r="C1415" t="s">
        <v>9503</v>
      </c>
      <c r="D1415" t="s">
        <v>12727</v>
      </c>
      <c r="E1415" s="2">
        <v>20450</v>
      </c>
      <c r="G1415">
        <f>HYPERLINK("https://www.senat.fr/senateur-3eme-republique/de_kerguezec_gustave0567r3.html", "de_kerguezec_gustave0567r3")</f>
        <v>0</v>
      </c>
      <c r="H1415">
        <f>HYPERLINK("https://www.wikidata.org/wiki/Q3121362", "Q3121362")</f>
        <v>0</v>
      </c>
    </row>
    <row r="1416" spans="1:8">
      <c r="A1416" t="s">
        <v>1422</v>
      </c>
      <c r="B1416" t="s">
        <v>6240</v>
      </c>
      <c r="C1416" t="s">
        <v>9634</v>
      </c>
      <c r="D1416" t="s">
        <v>12728</v>
      </c>
      <c r="E1416" s="2">
        <v>11135</v>
      </c>
      <c r="G1416">
        <f>HYPERLINK("https://www.senat.fr/senateur-3eme-republique/de_kerouartz_frederic0577r3.html", "de_kerouartz_frederic0577r3")</f>
        <v>0</v>
      </c>
      <c r="H1416">
        <f>HYPERLINK("https://www.wikidata.org/wiki/Q3090311", "Q3090311")</f>
        <v>0</v>
      </c>
    </row>
    <row r="1417" spans="1:8">
      <c r="A1417" t="s">
        <v>1423</v>
      </c>
      <c r="B1417" t="s">
        <v>6241</v>
      </c>
      <c r="C1417" t="s">
        <v>9118</v>
      </c>
      <c r="D1417" t="s">
        <v>12729</v>
      </c>
      <c r="E1417" t="s">
        <v>15994</v>
      </c>
      <c r="G1417">
        <f>HYPERLINK("https://www.senat.fr/senateur-3eme-republique/de_l_angle_beaumanoir_tristan0583r3.html", "de_l_angle_beaumanoir_tristan0583r3")</f>
        <v>0</v>
      </c>
      <c r="H1417">
        <f>HYPERLINK("https://www.wikidata.org/wiki/Q3539657", "Q3539657")</f>
        <v>0</v>
      </c>
    </row>
    <row r="1418" spans="1:8">
      <c r="A1418" t="s">
        <v>1424</v>
      </c>
      <c r="B1418" t="s">
        <v>6242</v>
      </c>
      <c r="C1418" t="s">
        <v>9414</v>
      </c>
      <c r="D1418" t="s">
        <v>11642</v>
      </c>
      <c r="G1418">
        <f>HYPERLINK("https://www.senat.fr/senateur-3eme-republique/de_la_batut_ferdinand0668r3.html", "de_la_batut_ferdinand0668r3")</f>
        <v>0</v>
      </c>
      <c r="H1418">
        <f>HYPERLINK("https://www.wikidata.org/wiki/Q3068680", "Q3068680")</f>
        <v>0</v>
      </c>
    </row>
    <row r="1419" spans="1:8">
      <c r="A1419" t="s">
        <v>1425</v>
      </c>
      <c r="B1419" t="s">
        <v>6243</v>
      </c>
      <c r="C1419" t="s">
        <v>9359</v>
      </c>
      <c r="D1419" t="s">
        <v>11965</v>
      </c>
      <c r="E1419" s="2">
        <v>4052</v>
      </c>
      <c r="G1419">
        <f>HYPERLINK("https://www.senat.fr/senateur-3eme-republique/de_la_bourdonnaye_raoul1062r3.html", "de_la_bourdonnaye_raoul1062r3")</f>
        <v>0</v>
      </c>
      <c r="H1419">
        <f>HYPERLINK("https://www.wikidata.org/wiki/Q3292518", "Q3292518")</f>
        <v>0</v>
      </c>
    </row>
    <row r="1420" spans="1:8">
      <c r="A1420" t="s">
        <v>1426</v>
      </c>
      <c r="B1420" t="s">
        <v>6244</v>
      </c>
      <c r="C1420" t="s">
        <v>10162</v>
      </c>
      <c r="D1420" t="s">
        <v>12730</v>
      </c>
      <c r="E1420" s="2">
        <v>17240</v>
      </c>
      <c r="G1420">
        <f>HYPERLINK("https://www.senat.fr/senateur-3eme-republique/de_la_grandiere_palamede1164r3.html", "de_la_grandiere_palamede1164r3")</f>
        <v>0</v>
      </c>
      <c r="H1420">
        <f>HYPERLINK("https://www.wikidata.org/wiki/Q3361246", "Q3361246")</f>
        <v>0</v>
      </c>
    </row>
    <row r="1421" spans="1:8">
      <c r="A1421" t="s">
        <v>1427</v>
      </c>
      <c r="B1421" t="s">
        <v>6245</v>
      </c>
      <c r="C1421" t="s">
        <v>10163</v>
      </c>
      <c r="D1421" t="s">
        <v>12731</v>
      </c>
      <c r="E1421" s="2">
        <v>19520</v>
      </c>
      <c r="G1421">
        <f>HYPERLINK("https://www.senat.fr/senateur-3eme-republique/de_la_grange_amaury1389r3.html", "de_la_grange_amaury1389r3")</f>
        <v>0</v>
      </c>
      <c r="H1421">
        <f>HYPERLINK("https://www.wikidata.org/wiki/Q2841414", "Q2841414")</f>
        <v>0</v>
      </c>
    </row>
    <row r="1422" spans="1:8">
      <c r="A1422" t="s">
        <v>1428</v>
      </c>
      <c r="B1422" t="s">
        <v>6246</v>
      </c>
      <c r="C1422" t="s">
        <v>10164</v>
      </c>
      <c r="D1422" t="s">
        <v>12732</v>
      </c>
      <c r="E1422" t="s">
        <v>15995</v>
      </c>
      <c r="G1422">
        <f>HYPERLINK("https://www.senat.fr/senateur-3eme-republique/de_la_jaille_charles_andre0842r3.html", "de_la_jaille_charles_andre0842r3")</f>
        <v>0</v>
      </c>
      <c r="H1422">
        <f>HYPERLINK("https://www.wikidata.org/wiki/Q20027704", "Q20027704")</f>
        <v>0</v>
      </c>
    </row>
    <row r="1423" spans="1:8">
      <c r="A1423" t="s">
        <v>1429</v>
      </c>
      <c r="B1423" t="s">
        <v>6246</v>
      </c>
      <c r="C1423" t="s">
        <v>9355</v>
      </c>
      <c r="D1423" t="s">
        <v>12733</v>
      </c>
      <c r="E1423" s="2">
        <v>9363</v>
      </c>
      <c r="G1423">
        <f>HYPERLINK("https://www.senat.fr/senateur-3eme-republique/de_la_jaille_charles1272r3.html", "de_la_jaille_charles1272r3")</f>
        <v>0</v>
      </c>
      <c r="H1423">
        <f>HYPERLINK("https://www.wikidata.org/wiki/Q2960758", "Q2960758")</f>
        <v>0</v>
      </c>
    </row>
    <row r="1424" spans="1:8">
      <c r="A1424" t="s">
        <v>1430</v>
      </c>
      <c r="B1424" t="s">
        <v>6247</v>
      </c>
      <c r="C1424" t="s">
        <v>9355</v>
      </c>
      <c r="D1424" t="s">
        <v>12734</v>
      </c>
      <c r="E1424" s="2">
        <v>1533</v>
      </c>
      <c r="G1424">
        <f>HYPERLINK("https://www.senat.fr/senateur-3eme-republique/de_la_monneraye_charles0900r3.html", "de_la_monneraye_charles0900r3")</f>
        <v>0</v>
      </c>
      <c r="H1424">
        <f>HYPERLINK("https://www.wikidata.org/wiki/Q2960602", "Q2960602")</f>
        <v>0</v>
      </c>
    </row>
    <row r="1425" spans="1:8">
      <c r="A1425" t="s">
        <v>1431</v>
      </c>
      <c r="B1425" t="s">
        <v>6248</v>
      </c>
      <c r="C1425" t="s">
        <v>10064</v>
      </c>
      <c r="D1425" t="s">
        <v>12735</v>
      </c>
      <c r="E1425" s="2">
        <v>162</v>
      </c>
      <c r="H1425">
        <f>HYPERLINK("https://www.wikidata.org/wiki/Q2844734", "Q2844734")</f>
        <v>0</v>
      </c>
    </row>
    <row r="1426" spans="1:8">
      <c r="A1426" t="s">
        <v>1432</v>
      </c>
      <c r="B1426" t="s">
        <v>6249</v>
      </c>
      <c r="C1426" t="s">
        <v>8384</v>
      </c>
      <c r="D1426" t="s">
        <v>12734</v>
      </c>
      <c r="E1426" t="s">
        <v>15996</v>
      </c>
      <c r="G1426">
        <f>HYPERLINK("https://www.senat.fr/senateur-3eme-republique/de_la_sicotiere_pierre0895r3.html", "de_la_sicotiere_pierre0895r3")</f>
        <v>0</v>
      </c>
      <c r="H1426">
        <f>HYPERLINK("https://www.wikidata.org/wiki/Q3271439", "Q3271439")</f>
        <v>0</v>
      </c>
    </row>
    <row r="1427" spans="1:8">
      <c r="A1427" t="s">
        <v>1433</v>
      </c>
      <c r="B1427" t="s">
        <v>6250</v>
      </c>
      <c r="C1427" t="s">
        <v>7869</v>
      </c>
      <c r="D1427" t="s">
        <v>12736</v>
      </c>
      <c r="G1427">
        <f>HYPERLINK("https://www.senat.fr/senateur-3eme-republique/de_lacroix_de_ravignan_marie0335r3.html", "de_lacroix_de_ravignan_marie0335r3")</f>
        <v>0</v>
      </c>
      <c r="H1427">
        <f>HYPERLINK("https://www.wikidata.org/wiki/Q3292225", "Q3292225")</f>
        <v>0</v>
      </c>
    </row>
    <row r="1428" spans="1:8">
      <c r="A1428" t="s">
        <v>1434</v>
      </c>
      <c r="B1428" t="s">
        <v>6251</v>
      </c>
      <c r="C1428" t="s">
        <v>7754</v>
      </c>
      <c r="D1428" t="s">
        <v>12737</v>
      </c>
      <c r="E1428" t="s">
        <v>15997</v>
      </c>
      <c r="G1428">
        <f>HYPERLINK("https://www.senat.fr/senateur-3eme-republique/de_ladmirault_louis1763r3.html", "de_ladmirault_louis1763r3")</f>
        <v>0</v>
      </c>
      <c r="H1428">
        <f>HYPERLINK("https://www.wikidata.org/wiki/Q318038", "Q318038")</f>
        <v>0</v>
      </c>
    </row>
    <row r="1429" spans="1:8">
      <c r="A1429" t="s">
        <v>1435</v>
      </c>
      <c r="B1429" t="s">
        <v>6252</v>
      </c>
      <c r="C1429" t="s">
        <v>9503</v>
      </c>
      <c r="D1429" t="s">
        <v>12738</v>
      </c>
      <c r="G1429">
        <f>HYPERLINK("https://www.senat.fr/senateur-3eme-republique/de_lamarzelle_gustave0902r3.html", "de_lamarzelle_gustave0902r3")</f>
        <v>0</v>
      </c>
      <c r="H1429">
        <f>HYPERLINK("https://www.wikidata.org/wiki/Q3121364", "Q3121364")</f>
        <v>0</v>
      </c>
    </row>
    <row r="1430" spans="1:8">
      <c r="A1430" t="s">
        <v>1436</v>
      </c>
      <c r="B1430" t="s">
        <v>6253</v>
      </c>
      <c r="C1430" t="s">
        <v>9734</v>
      </c>
      <c r="D1430" t="s">
        <v>12739</v>
      </c>
      <c r="E1430" s="2">
        <v>11755</v>
      </c>
      <c r="G1430">
        <f>HYPERLINK("https://www.senat.fr/senateur-3eme-republique/de_landemont_ambroise1273r3.html", "de_landemont_ambroise1273r3")</f>
        <v>0</v>
      </c>
      <c r="H1430">
        <f>HYPERLINK("https://www.wikidata.org/wiki/Q2842425", "Q2842425")</f>
        <v>0</v>
      </c>
    </row>
    <row r="1431" spans="1:8">
      <c r="A1431" t="s">
        <v>1437</v>
      </c>
      <c r="B1431" t="s">
        <v>6254</v>
      </c>
      <c r="C1431" t="s">
        <v>9511</v>
      </c>
      <c r="D1431" t="s">
        <v>12740</v>
      </c>
      <c r="E1431" s="2">
        <v>7251</v>
      </c>
      <c r="H1431">
        <f>HYPERLINK("https://www.wikidata.org/wiki/Q645606", "Q645606")</f>
        <v>0</v>
      </c>
    </row>
    <row r="1432" spans="1:8">
      <c r="A1432" t="s">
        <v>1438</v>
      </c>
      <c r="B1432" t="s">
        <v>6255</v>
      </c>
      <c r="C1432" t="s">
        <v>9414</v>
      </c>
      <c r="D1432" t="s">
        <v>11496</v>
      </c>
      <c r="E1432" s="2">
        <v>6420</v>
      </c>
      <c r="G1432">
        <f>HYPERLINK("https://www.senat.fr/senateur-3eme-republique/de_langenhagen_ferdinand0943r3.html", "de_langenhagen_ferdinand0943r3")</f>
        <v>0</v>
      </c>
      <c r="H1432">
        <f>HYPERLINK("https://www.wikidata.org/wiki/Q3068684", "Q3068684")</f>
        <v>0</v>
      </c>
    </row>
    <row r="1433" spans="1:8">
      <c r="A1433" t="s">
        <v>1439</v>
      </c>
      <c r="B1433" t="s">
        <v>6256</v>
      </c>
      <c r="C1433" t="s">
        <v>8716</v>
      </c>
      <c r="D1433" t="s">
        <v>12741</v>
      </c>
      <c r="E1433" t="s">
        <v>15998</v>
      </c>
      <c r="G1433">
        <f>HYPERLINK("https://www.senat.fr/senateur-3eme-republique/de_larcy_roger1494r3.html", "de_larcy_roger1494r3")</f>
        <v>0</v>
      </c>
      <c r="H1433">
        <f>HYPERLINK("https://www.wikidata.org/wiki/Q2960623", "Q2960623")</f>
        <v>0</v>
      </c>
    </row>
    <row r="1434" spans="1:8">
      <c r="A1434" t="s">
        <v>1440</v>
      </c>
      <c r="B1434" t="s">
        <v>6257</v>
      </c>
      <c r="C1434" t="s">
        <v>9375</v>
      </c>
      <c r="D1434" t="s">
        <v>12742</v>
      </c>
      <c r="E1434" s="2">
        <v>12525</v>
      </c>
      <c r="G1434">
        <f>HYPERLINK("https://www.senat.fr/senateur-3eme-republique/de_las_cases_emmanuel0855r3.html", "de_las_cases_emmanuel0855r3")</f>
        <v>0</v>
      </c>
      <c r="H1434">
        <f>HYPERLINK("https://www.wikidata.org/wiki/Q3052905", "Q3052905")</f>
        <v>0</v>
      </c>
    </row>
    <row r="1435" spans="1:8">
      <c r="A1435" t="s">
        <v>1441</v>
      </c>
      <c r="B1435" t="s">
        <v>6258</v>
      </c>
      <c r="C1435" t="s">
        <v>9355</v>
      </c>
      <c r="D1435" t="s">
        <v>12743</v>
      </c>
      <c r="E1435" s="2">
        <v>13327</v>
      </c>
      <c r="H1435">
        <f>HYPERLINK("https://www.wikidata.org/wiki/Q2960618", "Q2960618")</f>
        <v>0</v>
      </c>
    </row>
    <row r="1436" spans="1:8">
      <c r="A1436" t="s">
        <v>1442</v>
      </c>
      <c r="B1436" t="s">
        <v>6259</v>
      </c>
      <c r="C1436" t="s">
        <v>10165</v>
      </c>
      <c r="D1436" t="s">
        <v>12744</v>
      </c>
      <c r="E1436" t="s">
        <v>15999</v>
      </c>
      <c r="G1436">
        <f>HYPERLINK("https://www.senat.fr/senateur-3eme-republique/de_laubespin_leonel1235r3.html", "de_laubespin_leonel1235r3")</f>
        <v>0</v>
      </c>
      <c r="H1436">
        <f>HYPERLINK("https://www.wikidata.org/wiki/Q3241968", "Q3241968")</f>
        <v>0</v>
      </c>
    </row>
    <row r="1437" spans="1:8">
      <c r="A1437" t="s">
        <v>1443</v>
      </c>
      <c r="B1437" t="s">
        <v>6260</v>
      </c>
      <c r="C1437" t="s">
        <v>9429</v>
      </c>
      <c r="D1437" t="s">
        <v>12745</v>
      </c>
      <c r="E1437" t="s">
        <v>15917</v>
      </c>
      <c r="G1437">
        <f>HYPERLINK("https://www.senat.fr/senateur-3eme-republique/de_lavrignais_alexandre1279r3.html", "de_lavrignais_alexandre1279r3")</f>
        <v>0</v>
      </c>
      <c r="H1437">
        <f>HYPERLINK("https://www.wikidata.org/wiki/Q2834191", "Q2834191")</f>
        <v>0</v>
      </c>
    </row>
    <row r="1438" spans="1:8">
      <c r="A1438" t="s">
        <v>1444</v>
      </c>
      <c r="B1438" t="s">
        <v>6260</v>
      </c>
      <c r="C1438" t="s">
        <v>9324</v>
      </c>
      <c r="D1438" t="s">
        <v>12746</v>
      </c>
      <c r="E1438" s="2">
        <v>9913</v>
      </c>
      <c r="G1438">
        <f>HYPERLINK("https://www.senat.fr/senateur-3eme-republique/de_lavrignais_henri1754r3.html", "de_lavrignais_henri1754r3")</f>
        <v>0</v>
      </c>
      <c r="H1438">
        <f>HYPERLINK("https://www.wikidata.org/wiki/Q3132304", "Q3132304")</f>
        <v>0</v>
      </c>
    </row>
    <row r="1439" spans="1:8">
      <c r="A1439" t="s">
        <v>1445</v>
      </c>
      <c r="B1439" t="s">
        <v>6261</v>
      </c>
      <c r="C1439" t="s">
        <v>9430</v>
      </c>
      <c r="D1439" t="s">
        <v>12747</v>
      </c>
      <c r="E1439" t="s">
        <v>16000</v>
      </c>
      <c r="G1439">
        <f>HYPERLINK("https://www.senat.fr/senateur-3eme-republique/de_lestapis_paul1044r3.html", "de_lestapis_paul1044r3")</f>
        <v>0</v>
      </c>
      <c r="H1439">
        <f>HYPERLINK("https://www.wikidata.org/wiki/Q3370318", "Q3370318")</f>
        <v>0</v>
      </c>
    </row>
    <row r="1440" spans="1:8">
      <c r="A1440" t="s">
        <v>1446</v>
      </c>
      <c r="B1440" t="s">
        <v>6262</v>
      </c>
      <c r="C1440" t="s">
        <v>7342</v>
      </c>
      <c r="D1440" t="s">
        <v>12748</v>
      </c>
      <c r="E1440" s="2">
        <v>23248</v>
      </c>
      <c r="G1440">
        <f>HYPERLINK("https://www.senat.fr/senateur-3eme-republique/de_leusse_jean1109r3.html", "de_leusse_jean1109r3")</f>
        <v>0</v>
      </c>
      <c r="H1440">
        <f>HYPERLINK("https://www.wikidata.org/wiki/Q3175525", "Q3175525")</f>
        <v>0</v>
      </c>
    </row>
    <row r="1441" spans="1:8">
      <c r="A1441" t="s">
        <v>1447</v>
      </c>
      <c r="B1441" t="s">
        <v>6263</v>
      </c>
      <c r="C1441" t="s">
        <v>9851</v>
      </c>
      <c r="D1441" t="s">
        <v>12749</v>
      </c>
      <c r="E1441" t="s">
        <v>16001</v>
      </c>
      <c r="G1441">
        <f>HYPERLINK("https://www.senat.fr/senateur-3eme-republique/de_lorgeril_hippolyte1506r3.html", "de_lorgeril_hippolyte1506r3")</f>
        <v>0</v>
      </c>
      <c r="H1441">
        <f>HYPERLINK("https://www.wikidata.org/wiki/Q3136003", "Q3136003")</f>
        <v>0</v>
      </c>
    </row>
    <row r="1442" spans="1:8">
      <c r="A1442" t="s">
        <v>1448</v>
      </c>
      <c r="B1442" t="s">
        <v>6264</v>
      </c>
      <c r="C1442" t="s">
        <v>7754</v>
      </c>
      <c r="D1442" t="s">
        <v>12750</v>
      </c>
      <c r="E1442" s="2">
        <v>11794</v>
      </c>
      <c r="G1442">
        <f>HYPERLINK("https://www.senat.fr/senateur-3eme-republique/de_lubersac_louis0034r3.html", "de_lubersac_louis0034r3")</f>
        <v>0</v>
      </c>
      <c r="H1442">
        <f>HYPERLINK("https://www.wikidata.org/wiki/Q3263518", "Q3263518")</f>
        <v>0</v>
      </c>
    </row>
    <row r="1443" spans="1:8">
      <c r="A1443" t="s">
        <v>1449</v>
      </c>
      <c r="B1443" t="s">
        <v>6265</v>
      </c>
      <c r="C1443" t="s">
        <v>9320</v>
      </c>
      <c r="D1443" t="s">
        <v>12751</v>
      </c>
      <c r="E1443" s="2">
        <v>20224</v>
      </c>
      <c r="G1443">
        <f>HYPERLINK("https://www.senat.fr/senateur-3eme-republique/de_ludre_frolois_rene0897r3.html", "de_ludre_frolois_rene0897r3")</f>
        <v>0</v>
      </c>
      <c r="H1443">
        <f>HYPERLINK("https://www.wikidata.org/wiki/Q3427060", "Q3427060")</f>
        <v>0</v>
      </c>
    </row>
    <row r="1444" spans="1:8">
      <c r="A1444" t="s">
        <v>1450</v>
      </c>
      <c r="B1444" t="s">
        <v>6266</v>
      </c>
      <c r="C1444" t="s">
        <v>9054</v>
      </c>
      <c r="D1444" t="s">
        <v>12752</v>
      </c>
      <c r="E1444" t="s">
        <v>16002</v>
      </c>
      <c r="G1444">
        <f>HYPERLINK("https://www.senat.fr/senateur-3eme-republique/de_lur_saluces_thomas0192r3.html", "de_lur_saluces_thomas0192r3")</f>
        <v>0</v>
      </c>
      <c r="H1444">
        <f>HYPERLINK("https://www.wikidata.org/wiki/Q3132317", "Q3132317")</f>
        <v>0</v>
      </c>
    </row>
    <row r="1445" spans="1:8">
      <c r="A1445" t="s">
        <v>1451</v>
      </c>
      <c r="B1445" t="s">
        <v>6267</v>
      </c>
      <c r="C1445" t="s">
        <v>6864</v>
      </c>
      <c r="D1445" t="s">
        <v>12753</v>
      </c>
      <c r="E1445" s="2">
        <v>9455</v>
      </c>
      <c r="H1445">
        <f>HYPERLINK("https://www.wikidata.org/wiki/Q962478", "Q962478")</f>
        <v>0</v>
      </c>
    </row>
    <row r="1446" spans="1:8">
      <c r="A1446" t="s">
        <v>1452</v>
      </c>
      <c r="B1446" t="s">
        <v>6268</v>
      </c>
      <c r="C1446" t="s">
        <v>5117</v>
      </c>
      <c r="D1446" t="s">
        <v>12754</v>
      </c>
      <c r="E1446" s="2">
        <v>1257</v>
      </c>
      <c r="G1446">
        <f>HYPERLINK("https://www.senat.fr/senateur-3eme-republique/de_maille_de_la_jumelliere_armand1160r3.html", "de_maille_de_la_jumelliere_armand1160r3")</f>
        <v>0</v>
      </c>
      <c r="H1446">
        <f>HYPERLINK("https://www.wikidata.org/wiki/Q2861743", "Q2861743")</f>
        <v>0</v>
      </c>
    </row>
    <row r="1447" spans="1:8">
      <c r="A1447" t="s">
        <v>1453</v>
      </c>
      <c r="B1447" t="s">
        <v>6269</v>
      </c>
      <c r="C1447" t="s">
        <v>9618</v>
      </c>
      <c r="D1447" t="s">
        <v>12741</v>
      </c>
      <c r="E1447" t="s">
        <v>16003</v>
      </c>
      <c r="G1447">
        <f>HYPERLINK("https://www.senat.fr/senateur-3eme-republique/de_maleville_guillaume1511r3.html", "de_maleville_guillaume1511r3")</f>
        <v>0</v>
      </c>
      <c r="H1447">
        <f>HYPERLINK("https://www.wikidata.org/wiki/Q3120381", "Q3120381")</f>
        <v>0</v>
      </c>
    </row>
    <row r="1448" spans="1:8">
      <c r="A1448" t="s">
        <v>1454</v>
      </c>
      <c r="B1448" t="s">
        <v>6270</v>
      </c>
      <c r="C1448" t="s">
        <v>9324</v>
      </c>
      <c r="D1448" t="s">
        <v>12755</v>
      </c>
      <c r="E1448" s="2">
        <v>17489</v>
      </c>
      <c r="G1448">
        <f>HYPERLINK("https://www.senat.fr/senateur-3eme-republique/de_marguerie_henri0709r3.html", "de_marguerie_henri0709r3")</f>
        <v>0</v>
      </c>
      <c r="H1448">
        <f>HYPERLINK("https://www.wikidata.org/wiki/Q3132324", "Q3132324")</f>
        <v>0</v>
      </c>
    </row>
    <row r="1449" spans="1:8">
      <c r="A1449" t="s">
        <v>1455</v>
      </c>
      <c r="B1449" t="s">
        <v>6271</v>
      </c>
      <c r="C1449" t="s">
        <v>10166</v>
      </c>
      <c r="D1449" t="s">
        <v>12756</v>
      </c>
      <c r="G1449">
        <f>HYPERLINK("https://www.senat.fr/senateur-3eme-republique/de_merode_werner0675r3.html", "de_merode_werner0675r3")</f>
        <v>0</v>
      </c>
      <c r="H1449">
        <f>HYPERLINK("https://www.wikidata.org/wiki/Q3567346", "Q3567346")</f>
        <v>0</v>
      </c>
    </row>
    <row r="1450" spans="1:8">
      <c r="A1450" t="s">
        <v>1456</v>
      </c>
      <c r="B1450" t="s">
        <v>6272</v>
      </c>
      <c r="C1450" t="s">
        <v>7754</v>
      </c>
      <c r="D1450" t="s">
        <v>12757</v>
      </c>
      <c r="E1450" t="s">
        <v>16004</v>
      </c>
      <c r="G1450">
        <f>HYPERLINK("https://www.senat.fr/senateur-3eme-republique/de_montaignac_de_chauvance_louis1515r3.html", "de_montaignac_de_chauvance_louis1515r3")</f>
        <v>0</v>
      </c>
      <c r="H1450">
        <f>HYPERLINK("https://www.wikidata.org/wiki/Q732472", "Q732472")</f>
        <v>0</v>
      </c>
    </row>
    <row r="1451" spans="1:8">
      <c r="A1451" t="s">
        <v>1457</v>
      </c>
      <c r="B1451" t="s">
        <v>6273</v>
      </c>
      <c r="C1451" t="s">
        <v>8384</v>
      </c>
      <c r="D1451" t="s">
        <v>12758</v>
      </c>
      <c r="E1451" s="2">
        <v>10149</v>
      </c>
      <c r="G1451">
        <f>HYPERLINK("https://www.senat.fr/senateur-3eme-republique/de_montaigu_pierre1277r3.html", "de_montaigu_pierre1277r3")</f>
        <v>0</v>
      </c>
      <c r="H1451">
        <f>HYPERLINK("https://www.wikidata.org/wiki/Q3387636", "Q3387636")</f>
        <v>0</v>
      </c>
    </row>
    <row r="1452" spans="1:8">
      <c r="A1452" t="s">
        <v>1458</v>
      </c>
      <c r="B1452" t="s">
        <v>6274</v>
      </c>
      <c r="C1452" t="s">
        <v>7754</v>
      </c>
      <c r="D1452" t="s">
        <v>12759</v>
      </c>
      <c r="E1452" s="2">
        <v>4301</v>
      </c>
      <c r="G1452">
        <f>HYPERLINK("https://www.senat.fr/senateur-3eme-republique/de_montfort_louis1574r3.html", "de_montfort_louis1574r3")</f>
        <v>0</v>
      </c>
      <c r="H1452">
        <f>HYPERLINK("https://www.wikidata.org/wiki/Q3263531", "Q3263531")</f>
        <v>0</v>
      </c>
    </row>
    <row r="1453" spans="1:8">
      <c r="A1453" t="s">
        <v>1459</v>
      </c>
      <c r="B1453" t="s">
        <v>6275</v>
      </c>
      <c r="C1453" t="s">
        <v>9324</v>
      </c>
      <c r="D1453" t="s">
        <v>12760</v>
      </c>
      <c r="E1453" s="2">
        <v>24096</v>
      </c>
      <c r="G1453">
        <f>HYPERLINK("https://www.senat.fr/senateur-3eme-republique/de_monti_de_reze_henri0960r3.html", "de_monti_de_reze_henri0960r3")</f>
        <v>0</v>
      </c>
      <c r="H1453">
        <f>HYPERLINK("https://www.wikidata.org/wiki/Q3132339", "Q3132339")</f>
        <v>0</v>
      </c>
    </row>
    <row r="1454" spans="1:8">
      <c r="A1454" t="s">
        <v>1460</v>
      </c>
      <c r="B1454" t="s">
        <v>6276</v>
      </c>
      <c r="C1454" t="s">
        <v>10167</v>
      </c>
      <c r="D1454" t="s">
        <v>12761</v>
      </c>
      <c r="E1454" s="2">
        <v>17178</v>
      </c>
      <c r="G1454">
        <f>HYPERLINK("https://www.senat.fr/senateur-3eme-republique/de_monzie_anatole0605r3.html", "de_monzie_anatole0605r3")</f>
        <v>0</v>
      </c>
      <c r="H1454">
        <f>HYPERLINK("https://www.wikidata.org/wiki/Q2845619", "Q2845619")</f>
        <v>0</v>
      </c>
    </row>
    <row r="1455" spans="1:8">
      <c r="A1455" t="s">
        <v>1461</v>
      </c>
      <c r="B1455" t="s">
        <v>6277</v>
      </c>
      <c r="C1455" t="s">
        <v>9256</v>
      </c>
      <c r="D1455" t="s">
        <v>12762</v>
      </c>
      <c r="E1455" s="2">
        <v>20781</v>
      </c>
      <c r="H1455">
        <f>HYPERLINK("https://www.wikidata.org/wiki/Q365259", "Q365259")</f>
        <v>0</v>
      </c>
    </row>
    <row r="1456" spans="1:8">
      <c r="A1456" t="s">
        <v>1462</v>
      </c>
      <c r="B1456" t="s">
        <v>6278</v>
      </c>
      <c r="C1456" t="s">
        <v>9320</v>
      </c>
      <c r="D1456" t="s">
        <v>12763</v>
      </c>
      <c r="E1456" s="2">
        <v>13017</v>
      </c>
      <c r="G1456">
        <f>HYPERLINK("https://www.senat.fr/senateur-3eme-republique/de_moustier_rene0688r3.html", "de_moustier_rene0688r3")</f>
        <v>0</v>
      </c>
      <c r="H1456">
        <f>HYPERLINK("https://www.wikidata.org/wiki/Q3427071", "Q3427071")</f>
        <v>0</v>
      </c>
    </row>
    <row r="1457" spans="1:8">
      <c r="A1457" t="s">
        <v>1463</v>
      </c>
      <c r="B1457" t="s">
        <v>6279</v>
      </c>
      <c r="C1457" t="s">
        <v>7869</v>
      </c>
      <c r="D1457" t="s">
        <v>12764</v>
      </c>
      <c r="G1457">
        <f>HYPERLINK("https://www.senat.fr/senateur-3eme-republique/de_parieu_marie0358r3.html", "de_parieu_marie0358r3")</f>
        <v>0</v>
      </c>
      <c r="H1457">
        <f>HYPERLINK("https://www.wikidata.org/wiki/Q535804", "Q535804")</f>
        <v>0</v>
      </c>
    </row>
    <row r="1458" spans="1:8">
      <c r="A1458" t="s">
        <v>1464</v>
      </c>
      <c r="B1458" t="s">
        <v>6280</v>
      </c>
      <c r="C1458" t="s">
        <v>9324</v>
      </c>
      <c r="D1458" t="s">
        <v>12765</v>
      </c>
      <c r="E1458" s="2">
        <v>23923</v>
      </c>
      <c r="G1458">
        <f>HYPERLINK("https://www.senat.fr/senateur-3eme-republique/de_pavin_de_lafarge_henri0145r3.html", "de_pavin_de_lafarge_henri0145r3")</f>
        <v>0</v>
      </c>
      <c r="H1458">
        <f>HYPERLINK("https://www.wikidata.org/wiki/Q3131752", "Q3131752")</f>
        <v>0</v>
      </c>
    </row>
    <row r="1459" spans="1:8">
      <c r="A1459" t="s">
        <v>1465</v>
      </c>
      <c r="B1459" t="s">
        <v>6281</v>
      </c>
      <c r="C1459" t="s">
        <v>7754</v>
      </c>
      <c r="D1459" t="s">
        <v>12766</v>
      </c>
      <c r="E1459" s="2">
        <v>9508</v>
      </c>
      <c r="G1459">
        <f>HYPERLINK("https://www.senat.fr/senateur-3eme-republique/de_penanros_louis0802r3.html", "de_penanros_louis0802r3")</f>
        <v>0</v>
      </c>
      <c r="H1459">
        <f>HYPERLINK("https://www.wikidata.org/wiki/Q3262472", "Q3262472")</f>
        <v>0</v>
      </c>
    </row>
    <row r="1460" spans="1:8">
      <c r="A1460" t="s">
        <v>1466</v>
      </c>
      <c r="B1460" t="s">
        <v>6282</v>
      </c>
      <c r="C1460" t="s">
        <v>8006</v>
      </c>
      <c r="D1460" t="s">
        <v>12767</v>
      </c>
      <c r="G1460">
        <f>HYPERLINK("https://www.senat.fr/senateur-3eme-republique/de_pomereu_michel1598r3.html", "de_pomereu_michel1598r3")</f>
        <v>0</v>
      </c>
      <c r="H1460">
        <f>HYPERLINK("https://www.wikidata.org/wiki/Q3436712", "Q3436712")</f>
        <v>0</v>
      </c>
    </row>
    <row r="1461" spans="1:8">
      <c r="A1461" t="s">
        <v>1467</v>
      </c>
      <c r="B1461" t="s">
        <v>6283</v>
      </c>
      <c r="C1461" t="s">
        <v>9430</v>
      </c>
      <c r="D1461" t="s">
        <v>12768</v>
      </c>
      <c r="E1461" t="s">
        <v>12355</v>
      </c>
      <c r="G1461">
        <f>HYPERLINK("https://www.senat.fr/senateur-3eme-republique/de_preissac_paul1712r3.html", "de_preissac_paul1712r3")</f>
        <v>0</v>
      </c>
      <c r="H1461">
        <f>HYPERLINK("https://www.wikidata.org/wiki/Q3372496", "Q3372496")</f>
        <v>0</v>
      </c>
    </row>
    <row r="1462" spans="1:8">
      <c r="A1462" t="s">
        <v>1468</v>
      </c>
      <c r="B1462" t="s">
        <v>6284</v>
      </c>
      <c r="C1462" t="s">
        <v>10168</v>
      </c>
      <c r="D1462" t="s">
        <v>12769</v>
      </c>
      <c r="E1462" s="2">
        <v>12</v>
      </c>
      <c r="G1462">
        <f>HYPERLINK("https://www.senat.fr/senateur-3eme-republique/de_raismes_arnold0804r3.html", "de_raismes_arnold0804r3")</f>
        <v>0</v>
      </c>
      <c r="H1462">
        <f>HYPERLINK("https://www.wikidata.org/wiki/Q2863387", "Q2863387")</f>
        <v>0</v>
      </c>
    </row>
    <row r="1463" spans="1:8">
      <c r="A1463" t="s">
        <v>1469</v>
      </c>
      <c r="B1463" t="s">
        <v>6285</v>
      </c>
      <c r="C1463" t="s">
        <v>10169</v>
      </c>
      <c r="D1463" t="s">
        <v>12770</v>
      </c>
      <c r="E1463" t="s">
        <v>16005</v>
      </c>
      <c r="G1463">
        <f>HYPERLINK("https://www.senat.fr/senateur-3eme-republique/de_reignie_marie_clement1620r3.html", "de_reignie_marie_clement1620r3")</f>
        <v>0</v>
      </c>
      <c r="H1463">
        <f>HYPERLINK("https://www.wikidata.org/wiki/Q3291737", "Q3291737")</f>
        <v>0</v>
      </c>
    </row>
    <row r="1464" spans="1:8">
      <c r="A1464" t="s">
        <v>1470</v>
      </c>
      <c r="B1464" t="s">
        <v>6286</v>
      </c>
      <c r="C1464" t="s">
        <v>9430</v>
      </c>
      <c r="D1464" t="s">
        <v>12771</v>
      </c>
      <c r="E1464" t="s">
        <v>16006</v>
      </c>
      <c r="G1464">
        <f>HYPERLINK("https://www.senat.fr/senateur-3eme-republique/de_remusat_paul0078r3.html", "de_remusat_paul0078r3")</f>
        <v>0</v>
      </c>
      <c r="H1464">
        <f>HYPERLINK("https://www.wikidata.org/wiki/Q2063330", "Q2063330")</f>
        <v>0</v>
      </c>
    </row>
    <row r="1465" spans="1:8">
      <c r="A1465" t="s">
        <v>1471</v>
      </c>
      <c r="B1465" t="s">
        <v>6287</v>
      </c>
      <c r="C1465" t="s">
        <v>7942</v>
      </c>
      <c r="D1465" t="s">
        <v>12772</v>
      </c>
      <c r="E1465" s="2">
        <v>21067</v>
      </c>
      <c r="G1465">
        <f>HYPERLINK("https://www.senat.fr/senateur-3eme-republique/de_rothschild_maurice0087r3.html", "de_rothschild_maurice0087r3")</f>
        <v>0</v>
      </c>
      <c r="H1465">
        <f>HYPERLINK("https://www.wikidata.org/wiki/Q3301570", "Q3301570")</f>
        <v>0</v>
      </c>
    </row>
    <row r="1466" spans="1:8">
      <c r="A1466" t="s">
        <v>1472</v>
      </c>
      <c r="B1466" t="s">
        <v>6288</v>
      </c>
      <c r="C1466" t="s">
        <v>10170</v>
      </c>
      <c r="D1466" t="s">
        <v>12773</v>
      </c>
      <c r="E1466" s="2">
        <v>12053</v>
      </c>
      <c r="G1466">
        <f>HYPERLINK("https://www.senat.fr/senateur-3eme-republique/de_rouge_olivier1067r3.html", "de_rouge_olivier1067r3")</f>
        <v>0</v>
      </c>
      <c r="H1466">
        <f>HYPERLINK("https://www.wikidata.org/wiki/Q3351469", "Q3351469")</f>
        <v>0</v>
      </c>
    </row>
    <row r="1467" spans="1:8">
      <c r="A1467" t="s">
        <v>1473</v>
      </c>
      <c r="B1467" t="s">
        <v>6289</v>
      </c>
      <c r="C1467" t="s">
        <v>9368</v>
      </c>
      <c r="D1467" t="s">
        <v>12774</v>
      </c>
      <c r="E1467" t="s">
        <v>16007</v>
      </c>
      <c r="G1467">
        <f>HYPERLINK("https://www.senat.fr/senateur-3eme-republique/de_roziere_eugene0858r3.html", "de_roziere_eugene0858r3")</f>
        <v>0</v>
      </c>
      <c r="H1467">
        <f>HYPERLINK("https://www.wikidata.org/wiki/Q3060246", "Q3060246")</f>
        <v>0</v>
      </c>
    </row>
    <row r="1468" spans="1:8">
      <c r="A1468" t="s">
        <v>1474</v>
      </c>
      <c r="B1468" t="s">
        <v>6290</v>
      </c>
      <c r="C1468" t="s">
        <v>9621</v>
      </c>
      <c r="D1468" t="s">
        <v>12775</v>
      </c>
      <c r="E1468" s="2">
        <v>2725</v>
      </c>
      <c r="G1468">
        <f>HYPERLINK("https://www.senat.fr/senateur-3eme-republique/de_saint_germain_adolphe0559r3.html", "de_saint_germain_adolphe0559r3")</f>
        <v>0</v>
      </c>
      <c r="H1468">
        <f>HYPERLINK("https://www.wikidata.org/wiki/Q2824935", "Q2824935")</f>
        <v>0</v>
      </c>
    </row>
    <row r="1469" spans="1:8">
      <c r="A1469" t="s">
        <v>1475</v>
      </c>
      <c r="B1469" t="s">
        <v>6291</v>
      </c>
      <c r="C1469" t="s">
        <v>7754</v>
      </c>
      <c r="D1469" t="s">
        <v>12776</v>
      </c>
      <c r="G1469">
        <f>HYPERLINK("https://www.senat.fr/senateur-3eme-republique/de_saint_pierre_louis0352r3.html", "de_saint_pierre_louis0352r3")</f>
        <v>0</v>
      </c>
      <c r="H1469">
        <f>HYPERLINK("https://www.wikidata.org/wiki/Q3263556", "Q3263556")</f>
        <v>0</v>
      </c>
    </row>
    <row r="1470" spans="1:8">
      <c r="A1470" t="s">
        <v>1476</v>
      </c>
      <c r="B1470" t="s">
        <v>6292</v>
      </c>
      <c r="C1470" t="s">
        <v>9355</v>
      </c>
      <c r="D1470" t="s">
        <v>12777</v>
      </c>
      <c r="E1470" t="s">
        <v>16008</v>
      </c>
      <c r="G1470">
        <f>HYPERLINK("https://www.senat.fr/senateur-3eme-republique/de_saint_vallier_charles0032r3.html", "de_saint_vallier_charles0032r3")</f>
        <v>0</v>
      </c>
      <c r="H1470">
        <f>HYPERLINK("https://www.wikidata.org/wiki/Q834576", "Q834576")</f>
        <v>0</v>
      </c>
    </row>
    <row r="1471" spans="1:8">
      <c r="A1471" t="s">
        <v>1477</v>
      </c>
      <c r="B1471" t="s">
        <v>6293</v>
      </c>
      <c r="C1471" t="s">
        <v>10160</v>
      </c>
      <c r="D1471" t="s">
        <v>12778</v>
      </c>
      <c r="E1471" s="2">
        <v>1707</v>
      </c>
      <c r="G1471">
        <f>HYPERLINK("https://www.senat.fr/senateur-3eme-republique/de_saisy_de_kerampuil_herve1529r3.html", "de_saisy_de_kerampuil_herve1529r3")</f>
        <v>0</v>
      </c>
      <c r="H1471">
        <f>HYPERLINK("https://www.wikidata.org/wiki/Q3134680", "Q3134680")</f>
        <v>0</v>
      </c>
    </row>
    <row r="1472" spans="1:8">
      <c r="A1472" t="s">
        <v>1478</v>
      </c>
      <c r="B1472" t="s">
        <v>6294</v>
      </c>
      <c r="C1472" t="s">
        <v>7754</v>
      </c>
      <c r="D1472" t="s">
        <v>12713</v>
      </c>
      <c r="E1472" s="2">
        <v>8535</v>
      </c>
      <c r="G1472">
        <f>HYPERLINK("https://www.senat.fr/senateur-3eme-republique/de_saulces_de_freycinet_louis1713r3.html", "de_saulces_de_freycinet_louis1713r3")</f>
        <v>0</v>
      </c>
      <c r="H1472">
        <f>HYPERLINK("https://www.wikidata.org/wiki/Q317957", "Q317957")</f>
        <v>0</v>
      </c>
    </row>
    <row r="1473" spans="1:8">
      <c r="A1473" t="s">
        <v>1479</v>
      </c>
      <c r="B1473" t="s">
        <v>6295</v>
      </c>
      <c r="C1473" t="s">
        <v>10171</v>
      </c>
      <c r="D1473" t="s">
        <v>12527</v>
      </c>
      <c r="E1473" s="2">
        <v>12431</v>
      </c>
      <c r="G1473">
        <f>HYPERLINK("https://www.senat.fr/senateur-3eme-republique/de_selves_justin1727r3.html", "de_selves_justin1727r3")</f>
        <v>0</v>
      </c>
      <c r="H1473">
        <f>HYPERLINK("https://www.wikidata.org/wiki/Q2403337", "Q2403337")</f>
        <v>0</v>
      </c>
    </row>
    <row r="1474" spans="1:8">
      <c r="A1474" t="s">
        <v>1480</v>
      </c>
      <c r="B1474" t="s">
        <v>6296</v>
      </c>
      <c r="C1474" t="s">
        <v>9337</v>
      </c>
      <c r="D1474" t="s">
        <v>12779</v>
      </c>
      <c r="G1474">
        <f>HYPERLINK("https://www.senat.fr/senateur-3eme-republique/de_talhouet_auguste1238r3.html", "de_talhouet_auguste1238r3")</f>
        <v>0</v>
      </c>
      <c r="H1474">
        <f>HYPERLINK("https://www.wikidata.org/wiki/Q2871488", "Q2871488")</f>
        <v>0</v>
      </c>
    </row>
    <row r="1475" spans="1:8">
      <c r="A1475" t="s">
        <v>1481</v>
      </c>
      <c r="B1475" t="s">
        <v>6297</v>
      </c>
      <c r="C1475" t="s">
        <v>6864</v>
      </c>
      <c r="D1475" t="s">
        <v>11659</v>
      </c>
      <c r="E1475" s="2">
        <v>16184</v>
      </c>
      <c r="H1475">
        <f>HYPERLINK("https://www.wikidata.org/wiki/Q3086325", "Q3086325")</f>
        <v>0</v>
      </c>
    </row>
    <row r="1476" spans="1:8">
      <c r="A1476" t="s">
        <v>1482</v>
      </c>
      <c r="B1476" t="s">
        <v>6298</v>
      </c>
      <c r="C1476" t="s">
        <v>9324</v>
      </c>
      <c r="D1476" t="s">
        <v>12780</v>
      </c>
      <c r="G1476">
        <f>HYPERLINK("https://www.senat.fr/senateur-3eme-republique/de_treveneuc_henri0575r3.html", "de_treveneuc_henri0575r3")</f>
        <v>0</v>
      </c>
      <c r="H1476">
        <f>HYPERLINK("https://www.wikidata.org/wiki/Q3132385", "Q3132385")</f>
        <v>0</v>
      </c>
    </row>
    <row r="1477" spans="1:8">
      <c r="A1477" t="s">
        <v>1483</v>
      </c>
      <c r="B1477" t="s">
        <v>6298</v>
      </c>
      <c r="C1477" t="s">
        <v>8691</v>
      </c>
      <c r="D1477" t="s">
        <v>12781</v>
      </c>
      <c r="G1477">
        <f>HYPERLINK("https://www.senat.fr/senateur-3eme-republique/de_treveneuc_robert0572r3.html", "de_treveneuc_robert0572r3")</f>
        <v>0</v>
      </c>
      <c r="H1477">
        <f>HYPERLINK("https://www.wikidata.org/wiki/Q3436738", "Q3436738")</f>
        <v>0</v>
      </c>
    </row>
    <row r="1478" spans="1:8">
      <c r="A1478" t="s">
        <v>1484</v>
      </c>
      <c r="B1478" t="s">
        <v>6299</v>
      </c>
      <c r="C1478" t="s">
        <v>9991</v>
      </c>
      <c r="D1478" t="s">
        <v>12782</v>
      </c>
      <c r="E1478" t="s">
        <v>16009</v>
      </c>
      <c r="G1478">
        <f>HYPERLINK("https://www.senat.fr/senateur-3eme-republique/de_vallee_oscar1542r3.html", "de_vallee_oscar1542r3")</f>
        <v>0</v>
      </c>
      <c r="H1478">
        <f>HYPERLINK("https://www.wikidata.org/wiki/Q3357060", "Q3357060")</f>
        <v>0</v>
      </c>
    </row>
    <row r="1479" spans="1:8">
      <c r="A1479" t="s">
        <v>1485</v>
      </c>
      <c r="B1479" t="s">
        <v>6300</v>
      </c>
      <c r="C1479" t="s">
        <v>9355</v>
      </c>
      <c r="D1479" t="s">
        <v>12783</v>
      </c>
      <c r="E1479" t="s">
        <v>16010</v>
      </c>
      <c r="G1479">
        <f>HYPERLINK("https://www.senat.fr/senateur-3eme-republique/de_vast_vimeux_charles0403r3.html", "de_vast_vimeux_charles0403r3")</f>
        <v>0</v>
      </c>
      <c r="H1479">
        <f>HYPERLINK("https://www.wikidata.org/wiki/Q2835553", "Q2835553")</f>
        <v>0</v>
      </c>
    </row>
    <row r="1480" spans="1:8">
      <c r="A1480" t="s">
        <v>1486</v>
      </c>
      <c r="B1480" t="s">
        <v>6301</v>
      </c>
      <c r="C1480" t="s">
        <v>9355</v>
      </c>
      <c r="D1480" t="s">
        <v>12784</v>
      </c>
      <c r="E1480" t="s">
        <v>13008</v>
      </c>
      <c r="G1480">
        <f>HYPERLINK("https://www.senat.fr/senateur-3eme-republique/de_veauce_charles0046r3.html", "de_veauce_charles0046r3")</f>
        <v>0</v>
      </c>
      <c r="H1480">
        <f>HYPERLINK("https://www.wikidata.org/wiki/Q2960717", "Q2960717")</f>
        <v>0</v>
      </c>
    </row>
    <row r="1481" spans="1:8">
      <c r="A1481" t="s">
        <v>1487</v>
      </c>
      <c r="B1481" t="s">
        <v>6302</v>
      </c>
      <c r="C1481" t="s">
        <v>9324</v>
      </c>
      <c r="D1481" t="s">
        <v>12785</v>
      </c>
      <c r="E1481" s="2">
        <v>498</v>
      </c>
      <c r="G1481">
        <f>HYPERLINK("https://www.senat.fr/senateur-3eme-republique/de_verninac_saint_maur_henri0603r3.html", "de_verninac_saint_maur_henri0603r3")</f>
        <v>0</v>
      </c>
      <c r="H1481">
        <f>HYPERLINK("https://www.wikidata.org/wiki/Q3132393", "Q3132393")</f>
        <v>0</v>
      </c>
    </row>
    <row r="1482" spans="1:8">
      <c r="A1482" t="s">
        <v>1488</v>
      </c>
      <c r="B1482" t="s">
        <v>6303</v>
      </c>
      <c r="C1482" t="s">
        <v>6686</v>
      </c>
      <c r="D1482" t="s">
        <v>12786</v>
      </c>
      <c r="E1482" t="s">
        <v>16011</v>
      </c>
      <c r="G1482">
        <f>HYPERLINK("https://www.senat.fr/senateur-3eme-republique/de_voisins_laverniere_etienne1690r3.html", "de_voisins_laverniere_etienne1690r3")</f>
        <v>0</v>
      </c>
      <c r="H1482">
        <f>HYPERLINK("https://www.wikidata.org/wiki/Q2365473", "Q2365473")</f>
        <v>0</v>
      </c>
    </row>
    <row r="1483" spans="1:8">
      <c r="A1483" t="s">
        <v>1489</v>
      </c>
      <c r="B1483" t="s">
        <v>6304</v>
      </c>
      <c r="C1483" t="s">
        <v>6864</v>
      </c>
      <c r="D1483" t="s">
        <v>12787</v>
      </c>
      <c r="E1483" s="2">
        <v>17910</v>
      </c>
      <c r="G1483">
        <f>HYPERLINK("https://www.senat.fr/senateur-3eme-republique/de_wendel_francois0946r3.html", "de_wendel_francois0946r3")</f>
        <v>0</v>
      </c>
      <c r="H1483">
        <f>HYPERLINK("https://www.wikidata.org/wiki/Q3086338", "Q3086338")</f>
        <v>0</v>
      </c>
    </row>
    <row r="1484" spans="1:8">
      <c r="A1484" t="s">
        <v>1490</v>
      </c>
      <c r="B1484" t="s">
        <v>6304</v>
      </c>
      <c r="C1484" t="s">
        <v>7174</v>
      </c>
      <c r="D1484" t="s">
        <v>12788</v>
      </c>
      <c r="E1484" s="2">
        <v>20185</v>
      </c>
      <c r="G1484">
        <f>HYPERLINK("https://www.senat.fr/senateur-3eme-republique/de_wendel_guy0706r3.html", "de_wendel_guy0706r3")</f>
        <v>0</v>
      </c>
      <c r="H1484">
        <f>HYPERLINK("https://www.wikidata.org/wiki/Q3122301", "Q3122301")</f>
        <v>0</v>
      </c>
    </row>
    <row r="1485" spans="1:8">
      <c r="A1485" t="s">
        <v>1491</v>
      </c>
      <c r="B1485" t="s">
        <v>6305</v>
      </c>
      <c r="C1485" t="s">
        <v>10172</v>
      </c>
      <c r="D1485" t="s">
        <v>12789</v>
      </c>
      <c r="E1485" s="2">
        <v>4047</v>
      </c>
      <c r="G1485">
        <f>HYPERLINK("https://www.senat.fr/senateur-3eme-republique/deandreis_elisee0249r3.html", "deandreis_elisee0249r3")</f>
        <v>0</v>
      </c>
      <c r="H1485">
        <f>HYPERLINK("https://www.wikidata.org/wiki/Q3587969", "Q3587969")</f>
        <v>0</v>
      </c>
    </row>
    <row r="1486" spans="1:8">
      <c r="A1486" t="s">
        <v>1492</v>
      </c>
      <c r="B1486" t="s">
        <v>6306</v>
      </c>
      <c r="C1486" t="s">
        <v>10172</v>
      </c>
      <c r="D1486" t="s">
        <v>12790</v>
      </c>
      <c r="E1486" s="2">
        <v>4047</v>
      </c>
      <c r="F1486">
        <f>HYPERLINK("https://www2.assemblee-nationale.fr/sycomore/fiche/(num_dept)/2183", "2183.0")</f>
        <v>0</v>
      </c>
      <c r="H1486">
        <f>HYPERLINK("https://www.wikidata.org/wiki/Q3587969", "Q3587969")</f>
        <v>0</v>
      </c>
    </row>
    <row r="1487" spans="1:8">
      <c r="A1487" t="s">
        <v>1493</v>
      </c>
      <c r="B1487" t="s">
        <v>6307</v>
      </c>
      <c r="C1487" t="s">
        <v>7754</v>
      </c>
      <c r="D1487" t="s">
        <v>12791</v>
      </c>
      <c r="E1487" s="2">
        <v>12863</v>
      </c>
      <c r="F1487">
        <f>HYPERLINK("https://www2.assemblee-nationale.fr/sycomore/fiche/(num_dept)/2185", "2185.0")</f>
        <v>0</v>
      </c>
      <c r="H1487">
        <f>HYPERLINK("https://www.wikidata.org/wiki/Q3261668", "Q3261668")</f>
        <v>0</v>
      </c>
    </row>
    <row r="1488" spans="1:8">
      <c r="A1488" t="s">
        <v>1494</v>
      </c>
      <c r="B1488" t="s">
        <v>6308</v>
      </c>
      <c r="C1488" t="s">
        <v>5058</v>
      </c>
      <c r="D1488" t="s">
        <v>12792</v>
      </c>
      <c r="E1488" t="s">
        <v>16012</v>
      </c>
      <c r="F1488">
        <f>HYPERLINK("https://www2.assemblee-nationale.fr/sycomore/fiche/(num_dept)/7930", "7930.0")</f>
        <v>0</v>
      </c>
      <c r="H1488">
        <f>HYPERLINK("https://www.wikidata.org/wiki/Q15971830", "Q15971830")</f>
        <v>0</v>
      </c>
    </row>
    <row r="1489" spans="1:8">
      <c r="A1489" t="s">
        <v>1495</v>
      </c>
      <c r="B1489" t="s">
        <v>6309</v>
      </c>
      <c r="C1489" t="s">
        <v>9355</v>
      </c>
      <c r="D1489" t="s">
        <v>12793</v>
      </c>
      <c r="E1489" s="2">
        <v>11756</v>
      </c>
      <c r="G1489">
        <f>HYPERLINK("https://www.senat.fr/senateur-3eme-republique/debierre_charles1406r3.html", "debierre_charles1406r3")</f>
        <v>0</v>
      </c>
      <c r="H1489">
        <f>HYPERLINK("https://www.wikidata.org/wiki/Q2958854", "Q2958854")</f>
        <v>0</v>
      </c>
    </row>
    <row r="1490" spans="1:8">
      <c r="A1490" t="s">
        <v>1496</v>
      </c>
      <c r="B1490" t="s">
        <v>6310</v>
      </c>
      <c r="C1490" t="s">
        <v>10173</v>
      </c>
      <c r="D1490" t="s">
        <v>12361</v>
      </c>
      <c r="E1490" s="2">
        <v>1896</v>
      </c>
      <c r="F1490">
        <f>HYPERLINK("https://www2.assemblee-nationale.fr/sycomore/fiche/(num_dept)/2189", "2189.0")</f>
        <v>0</v>
      </c>
      <c r="H1490">
        <f>HYPERLINK("https://www.wikidata.org/wiki/Q16025529", "Q16025529")</f>
        <v>0</v>
      </c>
    </row>
    <row r="1491" spans="1:8">
      <c r="A1491" t="s">
        <v>1497</v>
      </c>
      <c r="B1491" t="s">
        <v>6311</v>
      </c>
      <c r="C1491" t="s">
        <v>6895</v>
      </c>
      <c r="D1491" t="s">
        <v>12794</v>
      </c>
      <c r="E1491" s="2">
        <v>25907</v>
      </c>
      <c r="F1491">
        <f>HYPERLINK("https://www2.assemblee-nationale.fr/sycomore/fiche/(num_dept)/2197", "2197.0")</f>
        <v>0</v>
      </c>
      <c r="H1491">
        <f>HYPERLINK("https://www.wikidata.org/wiki/Q2364557", "Q2364557")</f>
        <v>0</v>
      </c>
    </row>
    <row r="1492" spans="1:8">
      <c r="A1492" t="s">
        <v>1498</v>
      </c>
      <c r="B1492" t="s">
        <v>6312</v>
      </c>
      <c r="C1492" t="s">
        <v>10174</v>
      </c>
      <c r="D1492" t="s">
        <v>12795</v>
      </c>
      <c r="E1492" t="s">
        <v>13661</v>
      </c>
      <c r="F1492">
        <f>HYPERLINK("https://www2.assemblee-nationale.fr/sycomore/fiche/(num_dept)/8198", "8198.0")</f>
        <v>0</v>
      </c>
      <c r="H1492">
        <f>HYPERLINK("https://www.wikidata.org/wiki/Q8342560", "Q8342560")</f>
        <v>0</v>
      </c>
    </row>
    <row r="1493" spans="1:8">
      <c r="A1493" t="s">
        <v>1499</v>
      </c>
      <c r="B1493" t="s">
        <v>6313</v>
      </c>
      <c r="C1493" t="s">
        <v>10175</v>
      </c>
      <c r="D1493" t="s">
        <v>12796</v>
      </c>
      <c r="E1493" s="2">
        <v>2407</v>
      </c>
      <c r="F1493">
        <f>HYPERLINK("https://www2.assemblee-nationale.fr/sycomore/fiche/(num_dept)/2198", "2198.0")</f>
        <v>0</v>
      </c>
      <c r="H1493">
        <f>HYPERLINK("https://www.wikidata.org/wiki/Q16025530", "Q16025530")</f>
        <v>0</v>
      </c>
    </row>
    <row r="1494" spans="1:8">
      <c r="A1494" t="s">
        <v>1500</v>
      </c>
      <c r="B1494" t="s">
        <v>6314</v>
      </c>
      <c r="C1494" t="s">
        <v>6864</v>
      </c>
      <c r="D1494" t="s">
        <v>12797</v>
      </c>
      <c r="E1494" s="2">
        <v>7998</v>
      </c>
      <c r="F1494">
        <f>HYPERLINK("https://www2.assemblee-nationale.fr/sycomore/fiche/(num_dept)/2186", "2186.0")</f>
        <v>0</v>
      </c>
      <c r="H1494">
        <f>HYPERLINK("https://www.wikidata.org/wiki/Q16025526", "Q16025526")</f>
        <v>0</v>
      </c>
    </row>
    <row r="1495" spans="1:8">
      <c r="A1495" t="s">
        <v>1501</v>
      </c>
      <c r="B1495" t="s">
        <v>6314</v>
      </c>
      <c r="C1495" t="s">
        <v>7342</v>
      </c>
      <c r="D1495" t="s">
        <v>12798</v>
      </c>
      <c r="E1495" s="2">
        <v>13037</v>
      </c>
      <c r="F1495">
        <f>HYPERLINK("https://www2.assemblee-nationale.fr/sycomore/fiche/(num_dept)/2187", "2187.0")</f>
        <v>0</v>
      </c>
      <c r="H1495">
        <f>HYPERLINK("https://www.wikidata.org/wiki/Q16025527", "Q16025527")</f>
        <v>0</v>
      </c>
    </row>
    <row r="1496" spans="1:8">
      <c r="A1496" t="s">
        <v>1502</v>
      </c>
      <c r="B1496" t="s">
        <v>6315</v>
      </c>
      <c r="C1496" t="s">
        <v>9430</v>
      </c>
      <c r="D1496" t="s">
        <v>11453</v>
      </c>
      <c r="E1496" s="2">
        <v>8216</v>
      </c>
      <c r="G1496">
        <f>HYPERLINK("https://www.senat.fr/senateur-3eme-republique/decauville_paul1626r3.html", "decauville_paul1626r3")</f>
        <v>0</v>
      </c>
      <c r="H1496">
        <f>HYPERLINK("https://www.wikidata.org/wiki/Q7831026", "Q7831026")</f>
        <v>0</v>
      </c>
    </row>
    <row r="1497" spans="1:8">
      <c r="A1497" t="s">
        <v>1503</v>
      </c>
      <c r="B1497" t="s">
        <v>6316</v>
      </c>
      <c r="C1497" t="s">
        <v>10176</v>
      </c>
      <c r="D1497" t="s">
        <v>12799</v>
      </c>
      <c r="E1497" s="2">
        <v>6686</v>
      </c>
      <c r="F1497">
        <f>HYPERLINK("https://www2.assemblee-nationale.fr/sycomore/fiche/(num_dept)/2207", "2207.0")</f>
        <v>0</v>
      </c>
      <c r="G1497">
        <f>HYPERLINK("https://www.senat.fr/senateur-3eme-republique/decker_david_paul0148r3.html", "decker_david_paul0148r3")</f>
        <v>0</v>
      </c>
      <c r="H1497">
        <f>HYPERLINK("https://www.wikidata.org/wiki/Q3370999", "Q3370999")</f>
        <v>0</v>
      </c>
    </row>
    <row r="1498" spans="1:8">
      <c r="A1498" t="s">
        <v>1504</v>
      </c>
      <c r="B1498" t="s">
        <v>6317</v>
      </c>
      <c r="C1498" t="s">
        <v>9524</v>
      </c>
      <c r="D1498" t="s">
        <v>12800</v>
      </c>
      <c r="E1498" s="2">
        <v>21653</v>
      </c>
      <c r="F1498">
        <f>HYPERLINK("https://www2.assemblee-nationale.fr/sycomore/fiche/(num_dept)/2210", "2210.0")</f>
        <v>0</v>
      </c>
      <c r="H1498">
        <f>HYPERLINK("https://www.wikidata.org/wiki/Q16025534", "Q16025534")</f>
        <v>0</v>
      </c>
    </row>
    <row r="1499" spans="1:8">
      <c r="A1499" t="s">
        <v>1505</v>
      </c>
      <c r="B1499" t="s">
        <v>6318</v>
      </c>
      <c r="C1499" t="s">
        <v>5058</v>
      </c>
      <c r="D1499" t="s">
        <v>12801</v>
      </c>
      <c r="E1499" s="2">
        <v>5537</v>
      </c>
      <c r="F1499">
        <f>HYPERLINK("https://www2.assemblee-nationale.fr/sycomore/fiche/(num_dept)/2211", "2211.0")</f>
        <v>0</v>
      </c>
      <c r="G1499">
        <f>HYPERLINK("https://www.senat.fr/senateur-3eme-republique/decrais_albert0207r3.html", "decrais_albert0207r3")</f>
        <v>0</v>
      </c>
      <c r="H1499">
        <f>HYPERLINK("https://www.wikidata.org/wiki/Q2831089", "Q2831089")</f>
        <v>0</v>
      </c>
    </row>
    <row r="1500" spans="1:8">
      <c r="A1500" t="s">
        <v>1506</v>
      </c>
      <c r="B1500" t="s">
        <v>6319</v>
      </c>
      <c r="C1500" t="s">
        <v>10177</v>
      </c>
      <c r="D1500" t="s">
        <v>12802</v>
      </c>
      <c r="E1500" t="s">
        <v>16013</v>
      </c>
      <c r="G1500">
        <f>HYPERLINK("https://www.senat.fr/senateur-3eme-republique/decray_jean_charles1260r3.html", "decray_jean_charles1260r3")</f>
        <v>0</v>
      </c>
      <c r="H1500">
        <f>HYPERLINK("https://www.wikidata.org/wiki/Q3164641", "Q3164641")</f>
        <v>0</v>
      </c>
    </row>
    <row r="1501" spans="1:8">
      <c r="A1501" t="s">
        <v>1507</v>
      </c>
      <c r="B1501" t="s">
        <v>6320</v>
      </c>
      <c r="C1501" t="s">
        <v>9621</v>
      </c>
      <c r="D1501" t="s">
        <v>12803</v>
      </c>
      <c r="G1501">
        <f>HYPERLINK("https://www.senat.fr/senateur-3eme-republique/decroix_adolphe1287r3.html", "decroix_adolphe1287r3")</f>
        <v>0</v>
      </c>
      <c r="H1501">
        <f>HYPERLINK("https://www.wikidata.org/wiki/Q2824799", "Q2824799")</f>
        <v>0</v>
      </c>
    </row>
    <row r="1502" spans="1:8">
      <c r="A1502" t="s">
        <v>1508</v>
      </c>
      <c r="B1502" t="s">
        <v>6321</v>
      </c>
      <c r="C1502" t="s">
        <v>7001</v>
      </c>
      <c r="D1502" t="s">
        <v>12804</v>
      </c>
      <c r="E1502" s="2">
        <v>14350</v>
      </c>
      <c r="F1502">
        <f>HYPERLINK("https://www2.assemblee-nationale.fr/sycomore/fiche/(num_dept)/2213", "2213.0")</f>
        <v>0</v>
      </c>
      <c r="G1502">
        <f>HYPERLINK("https://www.senat.fr/senateur-3eme-republique/decroze_georges0886r3.html", "decroze_georges0886r3")</f>
        <v>0</v>
      </c>
      <c r="H1502">
        <f>HYPERLINK("https://www.wikidata.org/wiki/Q3102567", "Q3102567")</f>
        <v>0</v>
      </c>
    </row>
    <row r="1503" spans="1:8">
      <c r="A1503" t="s">
        <v>1509</v>
      </c>
      <c r="B1503" t="s">
        <v>6322</v>
      </c>
      <c r="C1503" t="s">
        <v>9503</v>
      </c>
      <c r="D1503" t="s">
        <v>12805</v>
      </c>
      <c r="E1503" s="2">
        <v>16392</v>
      </c>
      <c r="F1503">
        <f>HYPERLINK("https://www2.assemblee-nationale.fr/sycomore/fiche/(num_dept)/2212", "2212.0")</f>
        <v>0</v>
      </c>
      <c r="H1503">
        <f>HYPERLINK("https://www.wikidata.org/wiki/Q3121154", "Q3121154")</f>
        <v>0</v>
      </c>
    </row>
    <row r="1504" spans="1:8">
      <c r="A1504" t="s">
        <v>1510</v>
      </c>
      <c r="B1504" t="s">
        <v>6323</v>
      </c>
      <c r="C1504" t="s">
        <v>10178</v>
      </c>
      <c r="D1504" t="s">
        <v>12806</v>
      </c>
      <c r="E1504" s="2">
        <v>3838</v>
      </c>
      <c r="F1504">
        <f>HYPERLINK("https://www2.assemblee-nationale.fr/sycomore/fiche/(num_dept)/2214", "2214.0")</f>
        <v>0</v>
      </c>
      <c r="G1504">
        <f>HYPERLINK("https://www.senat.fr/senateur-3eme-republique/defarge_adolphe0068r3.html", "defarge_adolphe0068r3")</f>
        <v>0</v>
      </c>
      <c r="H1504">
        <f>HYPERLINK("https://www.wikidata.org/wiki/Q2824801", "Q2824801")</f>
        <v>0</v>
      </c>
    </row>
    <row r="1505" spans="1:8">
      <c r="A1505" t="s">
        <v>1511</v>
      </c>
      <c r="B1505" t="s">
        <v>6324</v>
      </c>
      <c r="C1505" t="s">
        <v>5117</v>
      </c>
      <c r="D1505" t="s">
        <v>12807</v>
      </c>
      <c r="E1505" t="s">
        <v>16014</v>
      </c>
      <c r="G1505">
        <f>HYPERLINK("https://www.senat.fr/senateur-3eme-republique/deffis_armand1077r3.html", "deffis_armand1077r3")</f>
        <v>0</v>
      </c>
      <c r="H1505">
        <f>HYPERLINK("https://www.wikidata.org/wiki/Q2861822", "Q2861822")</f>
        <v>0</v>
      </c>
    </row>
    <row r="1506" spans="1:8">
      <c r="A1506" t="s">
        <v>1512</v>
      </c>
      <c r="B1506" t="s">
        <v>6325</v>
      </c>
      <c r="C1506" t="s">
        <v>6888</v>
      </c>
      <c r="D1506" t="s">
        <v>12808</v>
      </c>
      <c r="E1506" s="2">
        <v>6632</v>
      </c>
      <c r="F1506">
        <f>HYPERLINK("https://www2.assemblee-nationale.fr/sycomore/fiche/(num_dept)/2217", "2217.0")</f>
        <v>0</v>
      </c>
      <c r="H1506">
        <f>HYPERLINK("https://www.wikidata.org/wiki/Q16025535", "Q16025535")</f>
        <v>0</v>
      </c>
    </row>
    <row r="1507" spans="1:8">
      <c r="A1507" t="s">
        <v>1513</v>
      </c>
      <c r="B1507" t="s">
        <v>6326</v>
      </c>
      <c r="C1507" t="s">
        <v>7754</v>
      </c>
      <c r="D1507" t="s">
        <v>12809</v>
      </c>
      <c r="E1507" s="2">
        <v>7157</v>
      </c>
      <c r="F1507">
        <f>HYPERLINK("https://www2.assemblee-nationale.fr/sycomore/fiche/(num_dept)/2219", "2219.0")</f>
        <v>0</v>
      </c>
      <c r="H1507">
        <f>HYPERLINK("https://www.wikidata.org/wiki/Q8298647", "Q8298647")</f>
        <v>0</v>
      </c>
    </row>
    <row r="1508" spans="1:8">
      <c r="A1508" t="s">
        <v>1514</v>
      </c>
      <c r="B1508" t="s">
        <v>6327</v>
      </c>
      <c r="C1508" t="s">
        <v>10179</v>
      </c>
      <c r="D1508" t="s">
        <v>12810</v>
      </c>
      <c r="E1508" s="2">
        <v>8110</v>
      </c>
      <c r="F1508">
        <f>HYPERLINK("https://www2.assemblee-nationale.fr/sycomore/fiche/(num_dept)/2221", "2221.0")</f>
        <v>0</v>
      </c>
      <c r="H1508">
        <f>HYPERLINK("https://www.wikidata.org/wiki/Q2824756", "Q2824756")</f>
        <v>0</v>
      </c>
    </row>
    <row r="1509" spans="1:8">
      <c r="A1509" t="s">
        <v>1515</v>
      </c>
      <c r="B1509" t="s">
        <v>6328</v>
      </c>
      <c r="C1509" t="s">
        <v>10180</v>
      </c>
      <c r="D1509" t="s">
        <v>12811</v>
      </c>
      <c r="E1509" s="2">
        <v>8754</v>
      </c>
      <c r="F1509">
        <f>HYPERLINK("https://www2.assemblee-nationale.fr/sycomore/fiche/(num_dept)/2224", "2224.0")</f>
        <v>0</v>
      </c>
      <c r="G1509">
        <f>HYPERLINK("https://www.senat.fr/senateur-3eme-republique/defumade_alphonse0619r3.html", "defumade_alphonse0619r3")</f>
        <v>0</v>
      </c>
      <c r="H1509">
        <f>HYPERLINK("https://www.wikidata.org/wiki/Q2839764", "Q2839764")</f>
        <v>0</v>
      </c>
    </row>
    <row r="1510" spans="1:8">
      <c r="A1510" t="s">
        <v>1516</v>
      </c>
      <c r="B1510" t="s">
        <v>6329</v>
      </c>
      <c r="C1510" t="s">
        <v>10181</v>
      </c>
      <c r="D1510" t="s">
        <v>12812</v>
      </c>
      <c r="E1510" t="s">
        <v>16015</v>
      </c>
      <c r="F1510">
        <f>HYPERLINK("https://www2.assemblee-nationale.fr/sycomore/fiche/(num_dept)/2229", "2229.0")</f>
        <v>0</v>
      </c>
      <c r="H1510">
        <f>HYPERLINK("https://www.wikidata.org/wiki/Q3130347", "Q3130347")</f>
        <v>0</v>
      </c>
    </row>
    <row r="1511" spans="1:8">
      <c r="A1511" t="s">
        <v>1517</v>
      </c>
      <c r="B1511" t="s">
        <v>6330</v>
      </c>
      <c r="C1511" t="s">
        <v>10182</v>
      </c>
      <c r="D1511" t="s">
        <v>12813</v>
      </c>
      <c r="E1511" s="2">
        <v>8345</v>
      </c>
      <c r="F1511">
        <f>HYPERLINK("https://www2.assemblee-nationale.fr/sycomore/fiche/(num_dept)/2231", "2231.0")</f>
        <v>0</v>
      </c>
      <c r="H1511">
        <f>HYPERLINK("https://www.wikidata.org/wiki/Q13088594", "Q13088594")</f>
        <v>0</v>
      </c>
    </row>
    <row r="1512" spans="1:8">
      <c r="A1512" t="s">
        <v>1518</v>
      </c>
      <c r="B1512" t="s">
        <v>6330</v>
      </c>
      <c r="C1512" t="s">
        <v>10183</v>
      </c>
      <c r="D1512" t="s">
        <v>12814</v>
      </c>
      <c r="E1512" s="2">
        <v>23879</v>
      </c>
      <c r="F1512">
        <f>HYPERLINK("https://www2.assemblee-nationale.fr/sycomore/fiche/(num_dept)/2230", "2230.0")</f>
        <v>0</v>
      </c>
      <c r="H1512">
        <f>HYPERLINK("https://www.wikidata.org/wiki/Q16025538", "Q16025538")</f>
        <v>0</v>
      </c>
    </row>
    <row r="1513" spans="1:8">
      <c r="A1513" t="s">
        <v>1519</v>
      </c>
      <c r="B1513" t="s">
        <v>6331</v>
      </c>
      <c r="C1513" t="s">
        <v>9482</v>
      </c>
      <c r="D1513" t="s">
        <v>12815</v>
      </c>
      <c r="E1513" t="s">
        <v>16016</v>
      </c>
      <c r="G1513">
        <f>HYPERLINK("https://www.senat.fr/senateur-3eme-republique/dehault_de_pressense_edmond1524r3.html", "dehault_de_pressense_edmond1524r3")</f>
        <v>0</v>
      </c>
      <c r="H1513">
        <f>HYPERLINK("https://www.wikidata.org/wiki/Q2370847", "Q2370847")</f>
        <v>0</v>
      </c>
    </row>
    <row r="1514" spans="1:8">
      <c r="A1514" t="s">
        <v>1520</v>
      </c>
      <c r="B1514" t="s">
        <v>6332</v>
      </c>
      <c r="C1514" t="s">
        <v>10184</v>
      </c>
      <c r="D1514" t="s">
        <v>12816</v>
      </c>
      <c r="E1514" s="2">
        <v>11873</v>
      </c>
      <c r="F1514">
        <f>HYPERLINK("https://www2.assemblee-nationale.fr/sycomore/fiche/(num_dept)/2235", "2235.0")</f>
        <v>0</v>
      </c>
      <c r="G1514">
        <f>HYPERLINK("https://www.senat.fr/senateur-3eme-republique/dehove_joseph1380r3.html", "dehove_joseph1380r3")</f>
        <v>0</v>
      </c>
      <c r="H1514">
        <f>HYPERLINK("https://www.wikidata.org/wiki/Q3184820", "Q3184820")</f>
        <v>0</v>
      </c>
    </row>
    <row r="1515" spans="1:8">
      <c r="A1515" t="s">
        <v>1521</v>
      </c>
      <c r="B1515" t="s">
        <v>6333</v>
      </c>
      <c r="C1515" t="s">
        <v>9332</v>
      </c>
      <c r="D1515" t="s">
        <v>12817</v>
      </c>
      <c r="E1515" s="2">
        <v>7380</v>
      </c>
      <c r="F1515">
        <f>HYPERLINK("https://www2.assemblee-nationale.fr/sycomore/fiche/(num_dept)/2237", "2237.0")</f>
        <v>0</v>
      </c>
      <c r="H1515">
        <f>HYPERLINK("https://www.wikidata.org/wiki/Q3056933", "Q3056933")</f>
        <v>0</v>
      </c>
    </row>
    <row r="1516" spans="1:8">
      <c r="A1516" t="s">
        <v>1522</v>
      </c>
      <c r="B1516" t="s">
        <v>6334</v>
      </c>
      <c r="C1516" t="s">
        <v>6686</v>
      </c>
      <c r="D1516" t="s">
        <v>12818</v>
      </c>
      <c r="E1516" s="2">
        <v>4769</v>
      </c>
      <c r="F1516">
        <f>HYPERLINK("https://www2.assemblee-nationale.fr/sycomore/fiche/(num_dept)/2238", "2238.0")</f>
        <v>0</v>
      </c>
      <c r="H1516">
        <f>HYPERLINK("https://www.wikidata.org/wiki/Q16025539", "Q16025539")</f>
        <v>0</v>
      </c>
    </row>
    <row r="1517" spans="1:8">
      <c r="A1517" t="s">
        <v>1523</v>
      </c>
      <c r="B1517" t="s">
        <v>6335</v>
      </c>
      <c r="C1517" t="s">
        <v>10185</v>
      </c>
      <c r="D1517" t="s">
        <v>12819</v>
      </c>
      <c r="E1517" s="2">
        <v>10203</v>
      </c>
      <c r="F1517">
        <f>HYPERLINK("https://www2.assemblee-nationale.fr/sycomore/fiche/(num_dept)/2240", "2240.0")</f>
        <v>0</v>
      </c>
      <c r="H1517">
        <f>HYPERLINK("https://www.wikidata.org/wiki/Q11954687", "Q11954687")</f>
        <v>0</v>
      </c>
    </row>
    <row r="1518" spans="1:8">
      <c r="A1518" t="s">
        <v>1524</v>
      </c>
      <c r="B1518" t="s">
        <v>6336</v>
      </c>
      <c r="C1518" t="s">
        <v>8370</v>
      </c>
      <c r="D1518" t="s">
        <v>12820</v>
      </c>
      <c r="E1518" s="2">
        <v>20041</v>
      </c>
      <c r="F1518">
        <f>HYPERLINK("https://www2.assemblee-nationale.fr/sycomore/fiche/(num_dept)/2241", "2241.0")</f>
        <v>0</v>
      </c>
      <c r="H1518">
        <f>HYPERLINK("https://www.wikidata.org/wiki/Q16025540", "Q16025540")</f>
        <v>0</v>
      </c>
    </row>
    <row r="1519" spans="1:8">
      <c r="A1519" t="s">
        <v>1525</v>
      </c>
      <c r="B1519" t="s">
        <v>6337</v>
      </c>
      <c r="C1519" t="s">
        <v>7942</v>
      </c>
      <c r="D1519" t="s">
        <v>12821</v>
      </c>
      <c r="E1519" s="2">
        <v>21839</v>
      </c>
      <c r="F1519">
        <f>HYPERLINK("https://www2.assemblee-nationale.fr/sycomore/fiche/(num_dept)/2243", "2243.0")</f>
        <v>0</v>
      </c>
      <c r="H1519">
        <f>HYPERLINK("https://www.wikidata.org/wiki/Q2425057", "Q2425057")</f>
        <v>0</v>
      </c>
    </row>
    <row r="1520" spans="1:8">
      <c r="A1520" t="s">
        <v>1526</v>
      </c>
      <c r="B1520" t="s">
        <v>6338</v>
      </c>
      <c r="C1520" t="s">
        <v>10186</v>
      </c>
      <c r="D1520" t="s">
        <v>12822</v>
      </c>
      <c r="E1520" s="2">
        <v>25692</v>
      </c>
      <c r="F1520">
        <f>HYPERLINK("https://www2.assemblee-nationale.fr/sycomore/fiche/(num_dept)/2246", "2246.0")</f>
        <v>0</v>
      </c>
      <c r="H1520">
        <f>HYPERLINK("https://www.wikidata.org/wiki/Q3184823", "Q3184823")</f>
        <v>0</v>
      </c>
    </row>
    <row r="1521" spans="1:8">
      <c r="A1521" t="s">
        <v>1527</v>
      </c>
      <c r="B1521" t="s">
        <v>6339</v>
      </c>
      <c r="C1521" t="s">
        <v>7314</v>
      </c>
      <c r="D1521" t="s">
        <v>12823</v>
      </c>
      <c r="E1521" t="s">
        <v>12011</v>
      </c>
      <c r="G1521">
        <f>HYPERLINK("https://www.senat.fr/senateur-3eme-republique/delacroix_jacques0764r3.html", "delacroix_jacques0764r3")</f>
        <v>0</v>
      </c>
      <c r="H1521">
        <f>HYPERLINK("https://www.wikidata.org/wiki/Q3158669", "Q3158669")</f>
        <v>0</v>
      </c>
    </row>
    <row r="1522" spans="1:8">
      <c r="A1522" t="s">
        <v>1528</v>
      </c>
      <c r="B1522" t="s">
        <v>6340</v>
      </c>
      <c r="C1522" t="s">
        <v>9471</v>
      </c>
      <c r="D1522" t="s">
        <v>12824</v>
      </c>
      <c r="E1522" s="2">
        <v>5875</v>
      </c>
      <c r="F1522">
        <f>HYPERLINK("https://www2.assemblee-nationale.fr/sycomore/fiche/(num_dept)/2249", "2249.0")</f>
        <v>0</v>
      </c>
      <c r="H1522">
        <f>HYPERLINK("https://www.wikidata.org/wiki/Q3188520", "Q3188520")</f>
        <v>0</v>
      </c>
    </row>
    <row r="1523" spans="1:8">
      <c r="A1523" t="s">
        <v>1529</v>
      </c>
      <c r="B1523" t="s">
        <v>6340</v>
      </c>
      <c r="C1523" t="s">
        <v>7869</v>
      </c>
      <c r="D1523" t="s">
        <v>12825</v>
      </c>
      <c r="E1523" s="2">
        <v>3875</v>
      </c>
      <c r="F1523">
        <f>HYPERLINK("https://www2.assemblee-nationale.fr/sycomore/fiche/(num_dept)/2250", "2250.0")</f>
        <v>0</v>
      </c>
      <c r="H1523">
        <f>HYPERLINK("https://www.wikidata.org/wiki/Q16025541", "Q16025541")</f>
        <v>0</v>
      </c>
    </row>
    <row r="1524" spans="1:8">
      <c r="A1524" t="s">
        <v>1530</v>
      </c>
      <c r="B1524" t="s">
        <v>6341</v>
      </c>
      <c r="C1524" t="s">
        <v>9320</v>
      </c>
      <c r="D1524" t="s">
        <v>12826</v>
      </c>
      <c r="E1524" s="2">
        <v>17114</v>
      </c>
      <c r="F1524">
        <f>HYPERLINK("https://www2.assemblee-nationale.fr/sycomore/fiche/(num_dept)/2251", "2251.0")</f>
        <v>0</v>
      </c>
      <c r="H1524">
        <f>HYPERLINK("https://www.wikidata.org/wiki/Q8331135", "Q8331135")</f>
        <v>0</v>
      </c>
    </row>
    <row r="1525" spans="1:8">
      <c r="A1525" t="s">
        <v>1531</v>
      </c>
      <c r="B1525" t="s">
        <v>6342</v>
      </c>
      <c r="C1525" t="s">
        <v>10187</v>
      </c>
      <c r="D1525" t="s">
        <v>12827</v>
      </c>
      <c r="G1525">
        <f>HYPERLINK("https://www.senat.fr/senateur-3eme-republique/delahaye_dominique1161r3.html", "delahaye_dominique1161r3")</f>
        <v>0</v>
      </c>
      <c r="H1525">
        <f>HYPERLINK("https://www.wikidata.org/wiki/Q3035090", "Q3035090")</f>
        <v>0</v>
      </c>
    </row>
    <row r="1526" spans="1:8">
      <c r="A1526" t="s">
        <v>1532</v>
      </c>
      <c r="B1526" t="s">
        <v>6343</v>
      </c>
      <c r="C1526" t="s">
        <v>9471</v>
      </c>
      <c r="D1526" t="s">
        <v>12828</v>
      </c>
      <c r="E1526" s="2">
        <v>9240</v>
      </c>
      <c r="F1526">
        <f>HYPERLINK("https://www2.assemblee-nationale.fr/sycomore/fiche/(num_dept)/2254", "2254.0")</f>
        <v>0</v>
      </c>
      <c r="G1526">
        <f>HYPERLINK("https://www.senat.fr/senateur-3eme-republique/delahaye_jules1154r3.html", "delahaye_jules1154r3")</f>
        <v>0</v>
      </c>
      <c r="H1526">
        <f>HYPERLINK("https://www.wikidata.org/wiki/Q3188522", "Q3188522")</f>
        <v>0</v>
      </c>
    </row>
    <row r="1527" spans="1:8">
      <c r="A1527" t="s">
        <v>1533</v>
      </c>
      <c r="B1527" t="s">
        <v>6343</v>
      </c>
      <c r="C1527" t="s">
        <v>9953</v>
      </c>
      <c r="D1527" t="s">
        <v>12829</v>
      </c>
      <c r="E1527" s="2">
        <v>6867</v>
      </c>
      <c r="F1527">
        <f>HYPERLINK("https://www2.assemblee-nationale.fr/sycomore/fiche/(num_dept)/2255", "2255.0")</f>
        <v>0</v>
      </c>
      <c r="H1527">
        <f>HYPERLINK("https://www.wikidata.org/wiki/Q16025542", "Q16025542")</f>
        <v>0</v>
      </c>
    </row>
    <row r="1528" spans="1:8">
      <c r="A1528" t="s">
        <v>1534</v>
      </c>
      <c r="B1528" t="s">
        <v>6344</v>
      </c>
      <c r="C1528" t="s">
        <v>9548</v>
      </c>
      <c r="D1528" t="s">
        <v>12830</v>
      </c>
      <c r="E1528" s="2">
        <v>7238</v>
      </c>
      <c r="F1528">
        <f>HYPERLINK("https://www2.assemblee-nationale.fr/sycomore/fiche/(num_dept)/2259", "2259.0")</f>
        <v>0</v>
      </c>
      <c r="H1528">
        <f>HYPERLINK("https://www.wikidata.org/wiki/Q16025543", "Q16025543")</f>
        <v>0</v>
      </c>
    </row>
    <row r="1529" spans="1:8">
      <c r="A1529" t="s">
        <v>1535</v>
      </c>
      <c r="B1529" t="s">
        <v>6345</v>
      </c>
      <c r="C1529" t="s">
        <v>10188</v>
      </c>
      <c r="D1529" t="s">
        <v>12831</v>
      </c>
      <c r="E1529" s="2">
        <v>13286</v>
      </c>
      <c r="F1529">
        <f>HYPERLINK("https://www2.assemblee-nationale.fr/sycomore/fiche/(num_dept)/2263", "2263.0")</f>
        <v>0</v>
      </c>
      <c r="H1529">
        <f>HYPERLINK("https://www.wikidata.org/wiki/Q3371014", "Q3371014")</f>
        <v>0</v>
      </c>
    </row>
    <row r="1530" spans="1:8">
      <c r="A1530" t="s">
        <v>1536</v>
      </c>
      <c r="B1530" t="s">
        <v>6346</v>
      </c>
      <c r="C1530" t="s">
        <v>8370</v>
      </c>
      <c r="D1530" t="s">
        <v>12832</v>
      </c>
      <c r="E1530" s="2">
        <v>13039</v>
      </c>
      <c r="F1530">
        <f>HYPERLINK("https://www2.assemblee-nationale.fr/sycomore/fiche/(num_dept)/2264", "2264.0")</f>
        <v>0</v>
      </c>
      <c r="H1530">
        <f>HYPERLINK("https://www.wikidata.org/wiki/Q8323949", "Q8323949")</f>
        <v>0</v>
      </c>
    </row>
    <row r="1531" spans="1:8">
      <c r="A1531" t="s">
        <v>1537</v>
      </c>
      <c r="B1531" t="s">
        <v>6347</v>
      </c>
      <c r="C1531" t="s">
        <v>9368</v>
      </c>
      <c r="D1531" t="s">
        <v>12833</v>
      </c>
      <c r="E1531" s="2">
        <v>12895</v>
      </c>
      <c r="F1531">
        <f>HYPERLINK("https://www2.assemblee-nationale.fr/sycomore/fiche/(num_dept)/2265", "2265.0")</f>
        <v>0</v>
      </c>
      <c r="H1531">
        <f>HYPERLINK("https://www.wikidata.org/wiki/Q16025544", "Q16025544")</f>
        <v>0</v>
      </c>
    </row>
    <row r="1532" spans="1:8">
      <c r="A1532" t="s">
        <v>1538</v>
      </c>
      <c r="B1532" t="s">
        <v>6348</v>
      </c>
      <c r="C1532" t="s">
        <v>9370</v>
      </c>
      <c r="D1532" t="s">
        <v>12834</v>
      </c>
      <c r="E1532" s="2">
        <v>2187</v>
      </c>
      <c r="F1532">
        <f>HYPERLINK("https://www2.assemblee-nationale.fr/sycomore/fiche/(num_dept)/2267", "2267.0")</f>
        <v>0</v>
      </c>
      <c r="H1532">
        <f>HYPERLINK("https://www.wikidata.org/wiki/Q16025545", "Q16025545")</f>
        <v>0</v>
      </c>
    </row>
    <row r="1533" spans="1:8">
      <c r="A1533" t="s">
        <v>1539</v>
      </c>
      <c r="B1533" t="s">
        <v>6349</v>
      </c>
      <c r="C1533" t="s">
        <v>10189</v>
      </c>
      <c r="D1533" t="s">
        <v>12835</v>
      </c>
      <c r="E1533" t="s">
        <v>16017</v>
      </c>
      <c r="F1533">
        <f>HYPERLINK("https://www2.assemblee-nationale.fr/sycomore/fiche/(num_dept)/7931", "7931.0")</f>
        <v>0</v>
      </c>
      <c r="H1533">
        <f>HYPERLINK("https://www.wikidata.org/wiki/Q13080865", "Q13080865")</f>
        <v>0</v>
      </c>
    </row>
    <row r="1534" spans="1:8">
      <c r="A1534" t="s">
        <v>1540</v>
      </c>
      <c r="B1534" t="s">
        <v>6350</v>
      </c>
      <c r="C1534" t="s">
        <v>10190</v>
      </c>
      <c r="D1534" t="s">
        <v>12836</v>
      </c>
      <c r="E1534" s="2">
        <v>5617</v>
      </c>
      <c r="F1534">
        <f>HYPERLINK("https://www2.assemblee-nationale.fr/sycomore/fiche/(num_dept)/2272", "2272.0")</f>
        <v>0</v>
      </c>
      <c r="H1534">
        <f>HYPERLINK("https://www.wikidata.org/wiki/Q7122898", "Q7122898")</f>
        <v>0</v>
      </c>
    </row>
    <row r="1535" spans="1:8">
      <c r="A1535" t="s">
        <v>1541</v>
      </c>
      <c r="B1535" t="s">
        <v>6350</v>
      </c>
      <c r="C1535" t="s">
        <v>9332</v>
      </c>
      <c r="D1535" t="s">
        <v>12837</v>
      </c>
      <c r="E1535" s="2">
        <v>14362</v>
      </c>
      <c r="F1535">
        <f>HYPERLINK("https://www2.assemblee-nationale.fr/sycomore/fiche/(num_dept)/2274", "2274.0")</f>
        <v>0</v>
      </c>
      <c r="H1535">
        <f>HYPERLINK("https://www.wikidata.org/wiki/Q3056918", "Q3056918")</f>
        <v>0</v>
      </c>
    </row>
    <row r="1536" spans="1:8">
      <c r="A1536" t="s">
        <v>1542</v>
      </c>
      <c r="B1536" t="s">
        <v>6350</v>
      </c>
      <c r="C1536" t="s">
        <v>10191</v>
      </c>
      <c r="D1536" t="s">
        <v>12838</v>
      </c>
      <c r="E1536" s="2">
        <v>6259</v>
      </c>
      <c r="F1536">
        <f>HYPERLINK("https://www2.assemblee-nationale.fr/sycomore/fiche/(num_dept)/2276", "2276.0")</f>
        <v>0</v>
      </c>
      <c r="H1536">
        <f>HYPERLINK("https://www.wikidata.org/wiki/Q3419432", "Q3419432")</f>
        <v>0</v>
      </c>
    </row>
    <row r="1537" spans="1:8">
      <c r="A1537" t="s">
        <v>1543</v>
      </c>
      <c r="B1537" t="s">
        <v>6351</v>
      </c>
      <c r="C1537" t="s">
        <v>10070</v>
      </c>
      <c r="D1537" t="s">
        <v>12839</v>
      </c>
      <c r="E1537" s="2">
        <v>9888</v>
      </c>
      <c r="F1537">
        <f>HYPERLINK("https://www2.assemblee-nationale.fr/sycomore/fiche/(num_dept)/2277", "2277.0")</f>
        <v>0</v>
      </c>
      <c r="H1537">
        <f>HYPERLINK("https://www.wikidata.org/wiki/Q16011118", "Q16011118")</f>
        <v>0</v>
      </c>
    </row>
    <row r="1538" spans="1:8">
      <c r="A1538" t="s">
        <v>1544</v>
      </c>
      <c r="B1538" t="s">
        <v>6352</v>
      </c>
      <c r="C1538" t="s">
        <v>6864</v>
      </c>
      <c r="D1538" t="s">
        <v>12840</v>
      </c>
      <c r="E1538" s="2">
        <v>13344</v>
      </c>
      <c r="G1538">
        <f>HYPERLINK("https://www.senat.fr/senateur-3eme-republique/delay_francois1363r3.html", "delay_francois1363r3")</f>
        <v>0</v>
      </c>
      <c r="H1538">
        <f>HYPERLINK("https://www.wikidata.org/wiki/Q3084394", "Q3084394")</f>
        <v>0</v>
      </c>
    </row>
    <row r="1539" spans="1:8">
      <c r="A1539" t="s">
        <v>1545</v>
      </c>
      <c r="B1539" t="s">
        <v>6353</v>
      </c>
      <c r="C1539" t="s">
        <v>10192</v>
      </c>
      <c r="D1539" t="s">
        <v>12841</v>
      </c>
      <c r="E1539" s="2">
        <v>3266</v>
      </c>
      <c r="F1539">
        <f>HYPERLINK("https://www2.assemblee-nationale.fr/sycomore/fiche/(num_dept)/2280", "2280.0")</f>
        <v>0</v>
      </c>
      <c r="H1539">
        <f>HYPERLINK("https://www.wikidata.org/wiki/Q3056919", "Q3056919")</f>
        <v>0</v>
      </c>
    </row>
    <row r="1540" spans="1:8">
      <c r="A1540" t="s">
        <v>1546</v>
      </c>
      <c r="B1540" t="s">
        <v>6354</v>
      </c>
      <c r="C1540" t="s">
        <v>10193</v>
      </c>
      <c r="D1540" t="s">
        <v>12842</v>
      </c>
      <c r="E1540" s="2">
        <v>20774</v>
      </c>
      <c r="F1540">
        <f>HYPERLINK("https://www2.assemblee-nationale.fr/sycomore/fiche/(num_dept)/2282", "2282.0")</f>
        <v>0</v>
      </c>
      <c r="H1540">
        <f>HYPERLINK("https://www.wikidata.org/wiki/Q362673", "Q362673")</f>
        <v>0</v>
      </c>
    </row>
    <row r="1541" spans="1:8">
      <c r="A1541" t="s">
        <v>1547</v>
      </c>
      <c r="B1541" t="s">
        <v>6355</v>
      </c>
      <c r="C1541" t="s">
        <v>9857</v>
      </c>
      <c r="D1541" t="s">
        <v>12843</v>
      </c>
      <c r="E1541" t="s">
        <v>16018</v>
      </c>
      <c r="G1541">
        <f>HYPERLINK("https://www.senat.fr/senateur-3eme-republique/delbreil_isidore1722r3.html", "delbreil_isidore1722r3")</f>
        <v>0</v>
      </c>
      <c r="H1541">
        <f>HYPERLINK("https://www.wikidata.org/wiki/Q3155306", "Q3155306")</f>
        <v>0</v>
      </c>
    </row>
    <row r="1542" spans="1:8">
      <c r="A1542" t="s">
        <v>1548</v>
      </c>
      <c r="B1542" t="s">
        <v>6355</v>
      </c>
      <c r="C1542" t="s">
        <v>9324</v>
      </c>
      <c r="D1542" t="s">
        <v>12844</v>
      </c>
      <c r="E1542" s="2">
        <v>7366</v>
      </c>
      <c r="G1542">
        <f>HYPERLINK("https://www.senat.fr/senateur-3eme-republique/delbreil_henri1714r3.html", "delbreil_henri1714r3")</f>
        <v>0</v>
      </c>
      <c r="H1542">
        <f>HYPERLINK("https://www.wikidata.org/wiki/Q3130940", "Q3130940")</f>
        <v>0</v>
      </c>
    </row>
    <row r="1543" spans="1:8">
      <c r="A1543" t="s">
        <v>1549</v>
      </c>
      <c r="B1543" t="s">
        <v>6356</v>
      </c>
      <c r="C1543" t="s">
        <v>9397</v>
      </c>
      <c r="D1543" t="s">
        <v>12845</v>
      </c>
      <c r="E1543" s="2">
        <v>8453</v>
      </c>
      <c r="F1543">
        <f>HYPERLINK("https://www2.assemblee-nationale.fr/sycomore/fiche/(num_dept)/2283", "2283.0")</f>
        <v>0</v>
      </c>
      <c r="H1543">
        <f>HYPERLINK("https://www.wikidata.org/wiki/Q503827", "Q503827")</f>
        <v>0</v>
      </c>
    </row>
    <row r="1544" spans="1:8">
      <c r="A1544" t="s">
        <v>1550</v>
      </c>
      <c r="B1544" t="s">
        <v>6357</v>
      </c>
      <c r="C1544" t="s">
        <v>10194</v>
      </c>
      <c r="D1544" t="s">
        <v>12846</v>
      </c>
      <c r="E1544" s="2">
        <v>8575</v>
      </c>
      <c r="F1544">
        <f>HYPERLINK("https://www2.assemblee-nationale.fr/sycomore/fiche/(num_dept)/2284", "2284.0")</f>
        <v>0</v>
      </c>
      <c r="H1544">
        <f>HYPERLINK("https://www.wikidata.org/wiki/Q16025546", "Q16025546")</f>
        <v>0</v>
      </c>
    </row>
    <row r="1545" spans="1:8">
      <c r="A1545" t="s">
        <v>1551</v>
      </c>
      <c r="B1545" t="s">
        <v>6358</v>
      </c>
      <c r="C1545" t="s">
        <v>8384</v>
      </c>
      <c r="D1545" t="s">
        <v>12847</v>
      </c>
      <c r="E1545" s="2">
        <v>17727</v>
      </c>
      <c r="F1545">
        <f>HYPERLINK("https://www2.assemblee-nationale.fr/sycomore/fiche/(num_dept)/2286", "2286.0")</f>
        <v>0</v>
      </c>
      <c r="H1545">
        <f>HYPERLINK("https://www.wikidata.org/wiki/Q3384681", "Q3384681")</f>
        <v>0</v>
      </c>
    </row>
    <row r="1546" spans="1:8">
      <c r="A1546" t="s">
        <v>1552</v>
      </c>
      <c r="B1546" t="s">
        <v>6359</v>
      </c>
      <c r="C1546" t="s">
        <v>9631</v>
      </c>
      <c r="D1546" t="s">
        <v>12848</v>
      </c>
      <c r="E1546" s="2">
        <v>1761</v>
      </c>
      <c r="G1546">
        <f>HYPERLINK("https://www.senat.fr/senateur-3eme-republique/delcros_elie1088r3.html", "delcros_elie1088r3")</f>
        <v>0</v>
      </c>
      <c r="H1546">
        <f>HYPERLINK("https://www.wikidata.org/wiki/Q3587731", "Q3587731")</f>
        <v>0</v>
      </c>
    </row>
    <row r="1547" spans="1:8">
      <c r="A1547" t="s">
        <v>1553</v>
      </c>
      <c r="B1547" t="s">
        <v>6360</v>
      </c>
      <c r="C1547" t="s">
        <v>9324</v>
      </c>
      <c r="D1547" t="s">
        <v>12849</v>
      </c>
      <c r="E1547" s="2">
        <v>12217</v>
      </c>
      <c r="F1547">
        <f>HYPERLINK("https://www2.assemblee-nationale.fr/sycomore/fiche/(num_dept)/2288", "2288.0")</f>
        <v>0</v>
      </c>
      <c r="H1547">
        <f>HYPERLINK("https://www.wikidata.org/wiki/Q16025547", "Q16025547")</f>
        <v>0</v>
      </c>
    </row>
    <row r="1548" spans="1:8">
      <c r="A1548" t="s">
        <v>1554</v>
      </c>
      <c r="B1548" t="s">
        <v>6361</v>
      </c>
      <c r="C1548" t="s">
        <v>6864</v>
      </c>
      <c r="D1548" t="s">
        <v>12850</v>
      </c>
      <c r="E1548" s="2">
        <v>16489</v>
      </c>
      <c r="F1548">
        <f>HYPERLINK("https://www2.assemblee-nationale.fr/sycomore/fiche/(num_dept)/2292", "2292.0")</f>
        <v>0</v>
      </c>
      <c r="H1548">
        <f>HYPERLINK("https://www.wikidata.org/wiki/Q16025549", "Q16025549")</f>
        <v>0</v>
      </c>
    </row>
    <row r="1549" spans="1:8">
      <c r="A1549" t="s">
        <v>1555</v>
      </c>
      <c r="B1549" t="s">
        <v>6362</v>
      </c>
      <c r="C1549" t="s">
        <v>10195</v>
      </c>
      <c r="D1549" t="s">
        <v>12851</v>
      </c>
      <c r="E1549" t="s">
        <v>16019</v>
      </c>
      <c r="F1549">
        <f>HYPERLINK("https://www2.assemblee-nationale.fr/sycomore/fiche/(num_dept)/7932", "7932.0")</f>
        <v>0</v>
      </c>
      <c r="H1549">
        <f>HYPERLINK("https://www.wikidata.org/wiki/Q16025550", "Q16025550")</f>
        <v>0</v>
      </c>
    </row>
    <row r="1550" spans="1:8">
      <c r="A1550" t="s">
        <v>1556</v>
      </c>
      <c r="B1550" t="s">
        <v>6363</v>
      </c>
      <c r="C1550" t="s">
        <v>9355</v>
      </c>
      <c r="D1550" t="s">
        <v>12852</v>
      </c>
      <c r="E1550" s="2">
        <v>26780</v>
      </c>
      <c r="F1550">
        <f>HYPERLINK("https://www2.assemblee-nationale.fr/sycomore/fiche/(num_dept)/2295", "2295.0")</f>
        <v>0</v>
      </c>
      <c r="G1550">
        <f>HYPERLINK("https://www.senat.fr/senateur-3eme-republique/delesalle_charles0979r3.html", "delesalle_charles0979r3")</f>
        <v>0</v>
      </c>
      <c r="H1550">
        <f>HYPERLINK("https://www.wikidata.org/wiki/Q2958867", "Q2958867")</f>
        <v>0</v>
      </c>
    </row>
    <row r="1551" spans="1:8">
      <c r="A1551" t="s">
        <v>1557</v>
      </c>
      <c r="B1551" t="s">
        <v>6364</v>
      </c>
      <c r="C1551" t="s">
        <v>9503</v>
      </c>
      <c r="D1551" t="s">
        <v>12853</v>
      </c>
      <c r="E1551" s="2">
        <v>12352</v>
      </c>
      <c r="F1551">
        <f>HYPERLINK("https://www2.assemblee-nationale.fr/sycomore/fiche/(num_dept)/2296", "2296.0")</f>
        <v>0</v>
      </c>
      <c r="H1551">
        <f>HYPERLINK("https://www.wikidata.org/wiki/Q3121158", "Q3121158")</f>
        <v>0</v>
      </c>
    </row>
    <row r="1552" spans="1:8">
      <c r="A1552" t="s">
        <v>1558</v>
      </c>
      <c r="B1552" t="s">
        <v>6365</v>
      </c>
      <c r="C1552" t="s">
        <v>10196</v>
      </c>
      <c r="D1552" t="s">
        <v>12854</v>
      </c>
      <c r="E1552" s="2">
        <v>14877</v>
      </c>
      <c r="G1552">
        <f>HYPERLINK("https://www.senat.fr/senateur-3eme-republique/delhon_casimir0250r3.html", "delhon_casimir0250r3")</f>
        <v>0</v>
      </c>
      <c r="H1552">
        <f>HYPERLINK("https://www.wikidata.org/wiki/Q2941043", "Q2941043")</f>
        <v>0</v>
      </c>
    </row>
    <row r="1553" spans="1:8">
      <c r="A1553" t="s">
        <v>1559</v>
      </c>
      <c r="B1553" t="s">
        <v>6366</v>
      </c>
      <c r="C1553" t="s">
        <v>7754</v>
      </c>
      <c r="D1553" t="s">
        <v>12855</v>
      </c>
      <c r="E1553" s="2">
        <v>15667</v>
      </c>
      <c r="G1553">
        <f>HYPERLINK("https://www.senat.fr/senateur-3eme-republique/delhoume_louis0401r3.html", "delhoume_louis0401r3")</f>
        <v>0</v>
      </c>
      <c r="H1553">
        <f>HYPERLINK("https://www.wikidata.org/wiki/Q3261688", "Q3261688")</f>
        <v>0</v>
      </c>
    </row>
    <row r="1554" spans="1:8">
      <c r="A1554" t="s">
        <v>1560</v>
      </c>
      <c r="B1554" t="s">
        <v>6367</v>
      </c>
      <c r="C1554" t="s">
        <v>7942</v>
      </c>
      <c r="D1554" t="s">
        <v>12856</v>
      </c>
      <c r="E1554" s="2">
        <v>14437</v>
      </c>
      <c r="F1554">
        <f>HYPERLINK("https://www2.assemblee-nationale.fr/sycomore/fiche/(num_dept)/2303", "2303.0")</f>
        <v>0</v>
      </c>
      <c r="H1554">
        <f>HYPERLINK("https://www.wikidata.org/wiki/Q3300659", "Q3300659")</f>
        <v>0</v>
      </c>
    </row>
    <row r="1555" spans="1:8">
      <c r="A1555" t="s">
        <v>1561</v>
      </c>
      <c r="B1555" t="s">
        <v>6368</v>
      </c>
      <c r="C1555" t="s">
        <v>7342</v>
      </c>
      <c r="D1555" t="s">
        <v>12857</v>
      </c>
      <c r="E1555" s="2">
        <v>13732</v>
      </c>
      <c r="F1555">
        <f>HYPERLINK("https://www2.assemblee-nationale.fr/sycomore/fiche/(num_dept)/2308", "2308.0")</f>
        <v>0</v>
      </c>
      <c r="H1555">
        <f>HYPERLINK("https://www.wikidata.org/wiki/Q16025552", "Q16025552")</f>
        <v>0</v>
      </c>
    </row>
    <row r="1556" spans="1:8">
      <c r="A1556" t="s">
        <v>1562</v>
      </c>
      <c r="B1556" t="s">
        <v>6369</v>
      </c>
      <c r="C1556" t="s">
        <v>10197</v>
      </c>
      <c r="D1556" t="s">
        <v>12858</v>
      </c>
      <c r="E1556" s="2">
        <v>8066</v>
      </c>
      <c r="F1556">
        <f>HYPERLINK("https://www2.assemblee-nationale.fr/sycomore/fiche/(num_dept)/2309", "2309.0")</f>
        <v>0</v>
      </c>
      <c r="G1556">
        <f>HYPERLINK("https://www.senat.fr/senateur-3eme-republique/dellestable_antoine0462r3.html", "dellestable_antoine0462r3")</f>
        <v>0</v>
      </c>
      <c r="H1556">
        <f>HYPERLINK("https://www.wikidata.org/wiki/Q2853848", "Q2853848")</f>
        <v>0</v>
      </c>
    </row>
    <row r="1557" spans="1:8">
      <c r="A1557" t="s">
        <v>1563</v>
      </c>
      <c r="B1557" t="s">
        <v>6370</v>
      </c>
      <c r="C1557" t="s">
        <v>9503</v>
      </c>
      <c r="D1557" t="s">
        <v>12859</v>
      </c>
      <c r="E1557" t="s">
        <v>16020</v>
      </c>
      <c r="F1557">
        <f>HYPERLINK("https://www2.assemblee-nationale.fr/sycomore/fiche/(num_dept)/7934", "7934.0")</f>
        <v>0</v>
      </c>
      <c r="H1557">
        <f>HYPERLINK("https://www.wikidata.org/wiki/Q16025553", "Q16025553")</f>
        <v>0</v>
      </c>
    </row>
    <row r="1558" spans="1:8">
      <c r="A1558" t="s">
        <v>1564</v>
      </c>
      <c r="B1558" t="s">
        <v>6371</v>
      </c>
      <c r="C1558" t="s">
        <v>10198</v>
      </c>
      <c r="D1558" t="s">
        <v>12860</v>
      </c>
      <c r="E1558" t="s">
        <v>16021</v>
      </c>
      <c r="F1558">
        <f>HYPERLINK("https://www2.assemblee-nationale.fr/sycomore/fiche/(num_dept)/2313", "2313.0")</f>
        <v>0</v>
      </c>
      <c r="H1558">
        <f>HYPERLINK("https://www.wikidata.org/wiki/Q16025556", "Q16025556")</f>
        <v>0</v>
      </c>
    </row>
    <row r="1559" spans="1:8">
      <c r="A1559" t="s">
        <v>1565</v>
      </c>
      <c r="B1559" t="s">
        <v>6371</v>
      </c>
      <c r="C1559" t="s">
        <v>10199</v>
      </c>
      <c r="D1559" t="s">
        <v>12470</v>
      </c>
      <c r="E1559" s="2">
        <v>10618</v>
      </c>
      <c r="F1559">
        <f>HYPERLINK("https://www2.assemblee-nationale.fr/sycomore/fiche/(num_dept)/2311", "2311.0")</f>
        <v>0</v>
      </c>
      <c r="H1559">
        <f>HYPERLINK("https://www.wikidata.org/wiki/Q16025554", "Q16025554")</f>
        <v>0</v>
      </c>
    </row>
    <row r="1560" spans="1:8">
      <c r="A1560" t="s">
        <v>1566</v>
      </c>
      <c r="B1560" t="s">
        <v>6371</v>
      </c>
      <c r="C1560" t="s">
        <v>9524</v>
      </c>
      <c r="D1560" t="s">
        <v>12861</v>
      </c>
      <c r="E1560" s="2">
        <v>17782</v>
      </c>
      <c r="F1560">
        <f>HYPERLINK("https://www2.assemblee-nationale.fr/sycomore/fiche/(num_dept)/2312", "2312.0")</f>
        <v>0</v>
      </c>
      <c r="H1560">
        <f>HYPERLINK("https://www.wikidata.org/wiki/Q16025555", "Q16025555")</f>
        <v>0</v>
      </c>
    </row>
    <row r="1561" spans="1:8">
      <c r="A1561" t="s">
        <v>1567</v>
      </c>
      <c r="B1561" t="s">
        <v>6372</v>
      </c>
      <c r="C1561" t="s">
        <v>10200</v>
      </c>
      <c r="D1561" t="s">
        <v>12146</v>
      </c>
      <c r="E1561" s="2">
        <v>21837</v>
      </c>
      <c r="F1561">
        <f>HYPERLINK("https://www2.assemblee-nationale.fr/sycomore/fiche/(num_dept)/2318", "2318.0")</f>
        <v>0</v>
      </c>
      <c r="H1561">
        <f>HYPERLINK("https://www.wikidata.org/wiki/Q2832159", "Q2832159")</f>
        <v>0</v>
      </c>
    </row>
    <row r="1562" spans="1:8">
      <c r="A1562" t="s">
        <v>1568</v>
      </c>
      <c r="B1562" t="s">
        <v>6373</v>
      </c>
      <c r="C1562" t="s">
        <v>10201</v>
      </c>
      <c r="D1562" t="s">
        <v>12862</v>
      </c>
      <c r="E1562" s="2">
        <v>20331</v>
      </c>
      <c r="F1562">
        <f>HYPERLINK("https://www2.assemblee-nationale.fr/sycomore/fiche/(num_dept)/2319", "2319.0")</f>
        <v>0</v>
      </c>
      <c r="H1562">
        <f>HYPERLINK("https://www.wikidata.org/wiki/Q3093707", "Q3093707")</f>
        <v>0</v>
      </c>
    </row>
    <row r="1563" spans="1:8">
      <c r="A1563" t="s">
        <v>1569</v>
      </c>
      <c r="B1563" t="s">
        <v>6374</v>
      </c>
      <c r="C1563" t="s">
        <v>7754</v>
      </c>
      <c r="D1563" t="s">
        <v>12863</v>
      </c>
      <c r="E1563" s="2">
        <v>4526</v>
      </c>
      <c r="G1563">
        <f>HYPERLINK("https://www.senat.fr/senateur-3eme-republique/delobeau_louis0784r3.html", "delobeau_louis0784r3")</f>
        <v>0</v>
      </c>
      <c r="H1563">
        <f>HYPERLINK("https://www.wikidata.org/wiki/Q3261689", "Q3261689")</f>
        <v>0</v>
      </c>
    </row>
    <row r="1564" spans="1:8">
      <c r="A1564" t="s">
        <v>1570</v>
      </c>
      <c r="B1564" t="s">
        <v>6375</v>
      </c>
      <c r="C1564" t="s">
        <v>9373</v>
      </c>
      <c r="D1564" t="s">
        <v>12864</v>
      </c>
      <c r="E1564" s="2">
        <v>7719</v>
      </c>
      <c r="F1564">
        <f>HYPERLINK("https://www2.assemblee-nationale.fr/sycomore/fiche/(num_dept)/2323", "2323.0")</f>
        <v>0</v>
      </c>
      <c r="H1564">
        <f>HYPERLINK("https://www.wikidata.org/wiki/Q16025557", "Q16025557")</f>
        <v>0</v>
      </c>
    </row>
    <row r="1565" spans="1:8">
      <c r="A1565" t="s">
        <v>1571</v>
      </c>
      <c r="B1565" t="s">
        <v>6375</v>
      </c>
      <c r="C1565" t="s">
        <v>10202</v>
      </c>
      <c r="D1565" t="s">
        <v>12865</v>
      </c>
      <c r="E1565" s="2">
        <v>31592</v>
      </c>
      <c r="F1565">
        <f>HYPERLINK("https://www2.assemblee-nationale.fr/sycomore/fiche/(num_dept)/2324", "2324.0")</f>
        <v>0</v>
      </c>
      <c r="H1565">
        <f>HYPERLINK("https://www.wikidata.org/wiki/Q3300664", "Q3300664")</f>
        <v>0</v>
      </c>
    </row>
    <row r="1566" spans="1:8">
      <c r="A1566" t="s">
        <v>1572</v>
      </c>
      <c r="B1566" t="s">
        <v>6376</v>
      </c>
      <c r="C1566" t="s">
        <v>9430</v>
      </c>
      <c r="D1566" t="s">
        <v>12866</v>
      </c>
      <c r="E1566" s="2">
        <v>12366</v>
      </c>
      <c r="F1566">
        <f>HYPERLINK("https://www2.assemblee-nationale.fr/sycomore/fiche/(num_dept)/2325", "2325.0")</f>
        <v>0</v>
      </c>
      <c r="H1566">
        <f>HYPERLINK("https://www.wikidata.org/wiki/Q3371024", "Q3371024")</f>
        <v>0</v>
      </c>
    </row>
    <row r="1567" spans="1:8">
      <c r="A1567" t="s">
        <v>1573</v>
      </c>
      <c r="B1567" t="s">
        <v>6377</v>
      </c>
      <c r="C1567" t="s">
        <v>9471</v>
      </c>
      <c r="D1567" t="s">
        <v>12867</v>
      </c>
      <c r="E1567" s="2">
        <v>352</v>
      </c>
      <c r="F1567">
        <f>HYPERLINK("https://www2.assemblee-nationale.fr/sycomore/fiche/(num_dept)/2326", "2326.0")</f>
        <v>0</v>
      </c>
      <c r="H1567">
        <f>HYPERLINK("https://www.wikidata.org/wiki/Q3188524", "Q3188524")</f>
        <v>0</v>
      </c>
    </row>
    <row r="1568" spans="1:8">
      <c r="A1568" t="s">
        <v>1574</v>
      </c>
      <c r="B1568" t="s">
        <v>6378</v>
      </c>
      <c r="C1568" t="s">
        <v>6864</v>
      </c>
      <c r="D1568" t="s">
        <v>12868</v>
      </c>
      <c r="E1568" s="2">
        <v>8330</v>
      </c>
      <c r="F1568">
        <f>HYPERLINK("https://www2.assemblee-nationale.fr/sycomore/fiche/(num_dept)/2328", "2328.0")</f>
        <v>0</v>
      </c>
      <c r="H1568">
        <f>HYPERLINK("https://www.wikidata.org/wiki/Q3084405", "Q3084405")</f>
        <v>0</v>
      </c>
    </row>
    <row r="1569" spans="1:8">
      <c r="A1569" t="s">
        <v>1575</v>
      </c>
      <c r="B1569" t="s">
        <v>6378</v>
      </c>
      <c r="C1569" t="s">
        <v>10203</v>
      </c>
      <c r="D1569" t="s">
        <v>12869</v>
      </c>
      <c r="E1569" s="2">
        <v>13908</v>
      </c>
      <c r="F1569">
        <f>HYPERLINK("https://www2.assemblee-nationale.fr/sycomore/fiche/(num_dept)/2327", "2327.0")</f>
        <v>0</v>
      </c>
      <c r="G1569">
        <f>HYPERLINK("https://www.senat.fr/senateur-3eme-republique/deloncle_charles1374r3.html", "deloncle_charles1374r3")</f>
        <v>0</v>
      </c>
      <c r="H1569">
        <f>HYPERLINK("https://www.wikidata.org/wiki/Q2958871", "Q2958871")</f>
        <v>0</v>
      </c>
    </row>
    <row r="1570" spans="1:8">
      <c r="A1570" t="s">
        <v>1576</v>
      </c>
      <c r="B1570" t="s">
        <v>6379</v>
      </c>
      <c r="C1570" t="s">
        <v>9430</v>
      </c>
      <c r="D1570" t="s">
        <v>12870</v>
      </c>
      <c r="E1570" t="s">
        <v>16022</v>
      </c>
      <c r="G1570">
        <f>HYPERLINK("https://www.senat.fr/senateur-3eme-republique/delord_paul0608r3.html", "delord_paul0608r3")</f>
        <v>0</v>
      </c>
      <c r="H1570">
        <f>HYPERLINK("https://www.wikidata.org/wiki/Q3371026", "Q3371026")</f>
        <v>0</v>
      </c>
    </row>
    <row r="1571" spans="1:8">
      <c r="A1571" t="s">
        <v>1577</v>
      </c>
      <c r="B1571" t="s">
        <v>6380</v>
      </c>
      <c r="C1571" t="s">
        <v>9312</v>
      </c>
      <c r="D1571" t="s">
        <v>12871</v>
      </c>
      <c r="E1571" s="2">
        <v>18601</v>
      </c>
      <c r="F1571">
        <f>HYPERLINK("https://www2.assemblee-nationale.fr/sycomore/fiche/(num_dept)/2334", "2334.0")</f>
        <v>0</v>
      </c>
      <c r="H1571">
        <f>HYPERLINK("https://www.wikidata.org/wiki/Q16025558", "Q16025558")</f>
        <v>0</v>
      </c>
    </row>
    <row r="1572" spans="1:8">
      <c r="A1572" t="s">
        <v>1578</v>
      </c>
      <c r="B1572" t="s">
        <v>6381</v>
      </c>
      <c r="C1572" t="s">
        <v>9503</v>
      </c>
      <c r="D1572" t="s">
        <v>12872</v>
      </c>
      <c r="E1572" s="2">
        <v>9361</v>
      </c>
      <c r="F1572">
        <f>HYPERLINK("https://www2.assemblee-nationale.fr/sycomore/fiche/(num_dept)/2335", "2335.0")</f>
        <v>0</v>
      </c>
      <c r="H1572">
        <f>HYPERLINK("https://www.wikidata.org/wiki/Q3121159", "Q3121159")</f>
        <v>0</v>
      </c>
    </row>
    <row r="1573" spans="1:8">
      <c r="A1573" t="s">
        <v>1579</v>
      </c>
      <c r="B1573" t="s">
        <v>6382</v>
      </c>
      <c r="C1573" t="s">
        <v>10204</v>
      </c>
      <c r="D1573" t="s">
        <v>12873</v>
      </c>
      <c r="E1573" s="2">
        <v>18390</v>
      </c>
      <c r="F1573">
        <f>HYPERLINK("https://www2.assemblee-nationale.fr/sycomore/fiche/(num_dept)/2337", "2337.0")</f>
        <v>0</v>
      </c>
      <c r="H1573">
        <f>HYPERLINK("https://www.wikidata.org/wiki/Q16025559", "Q16025559")</f>
        <v>0</v>
      </c>
    </row>
    <row r="1574" spans="1:8">
      <c r="A1574" t="s">
        <v>1580</v>
      </c>
      <c r="B1574" t="s">
        <v>6383</v>
      </c>
      <c r="C1574" t="s">
        <v>9471</v>
      </c>
      <c r="D1574" t="s">
        <v>12874</v>
      </c>
      <c r="E1574" s="2">
        <v>5051</v>
      </c>
      <c r="F1574">
        <f>HYPERLINK("https://www2.assemblee-nationale.fr/sycomore/fiche/(num_dept)/2340", "2340.0")</f>
        <v>0</v>
      </c>
      <c r="H1574">
        <f>HYPERLINK("https://www.wikidata.org/wiki/Q3188525", "Q3188525")</f>
        <v>0</v>
      </c>
    </row>
    <row r="1575" spans="1:8">
      <c r="A1575" t="s">
        <v>1581</v>
      </c>
      <c r="B1575" t="s">
        <v>6384</v>
      </c>
      <c r="C1575" t="s">
        <v>7754</v>
      </c>
      <c r="D1575" t="s">
        <v>12875</v>
      </c>
      <c r="E1575" t="s">
        <v>16023</v>
      </c>
      <c r="F1575">
        <f>HYPERLINK("https://www2.assemblee-nationale.fr/sycomore/fiche/(num_dept)/2339", "2339.0")</f>
        <v>0</v>
      </c>
      <c r="H1575">
        <f>HYPERLINK("https://www.wikidata.org/wiki/Q3261691", "Q3261691")</f>
        <v>0</v>
      </c>
    </row>
    <row r="1576" spans="1:8">
      <c r="A1576" t="s">
        <v>1582</v>
      </c>
      <c r="B1576" t="s">
        <v>6385</v>
      </c>
      <c r="C1576" t="s">
        <v>9337</v>
      </c>
      <c r="D1576" t="s">
        <v>12876</v>
      </c>
      <c r="E1576" s="2">
        <v>12854</v>
      </c>
      <c r="G1576">
        <f>HYPERLINK("https://www.senat.fr/senateur-3eme-republique/delpech_auguste0187r3.html", "delpech_auguste0187r3")</f>
        <v>0</v>
      </c>
      <c r="H1576">
        <f>HYPERLINK("https://www.wikidata.org/wiki/Q2871149", "Q2871149")</f>
        <v>0</v>
      </c>
    </row>
    <row r="1577" spans="1:8">
      <c r="A1577" t="s">
        <v>1583</v>
      </c>
      <c r="B1577" t="s">
        <v>6386</v>
      </c>
      <c r="C1577" t="s">
        <v>9346</v>
      </c>
      <c r="D1577" t="s">
        <v>12877</v>
      </c>
      <c r="E1577" s="2">
        <v>11221</v>
      </c>
      <c r="F1577">
        <f>HYPERLINK("https://www2.assemblee-nationale.fr/sycomore/fiche/(num_dept)/2341", "2341.0")</f>
        <v>0</v>
      </c>
      <c r="H1577">
        <f>HYPERLINK("https://www.wikidata.org/wiki/Q3164012", "Q3164012")</f>
        <v>0</v>
      </c>
    </row>
    <row r="1578" spans="1:8">
      <c r="A1578" t="s">
        <v>1584</v>
      </c>
      <c r="B1578" t="s">
        <v>6387</v>
      </c>
      <c r="C1578" t="s">
        <v>9438</v>
      </c>
      <c r="D1578" t="s">
        <v>12878</v>
      </c>
      <c r="E1578" s="2">
        <v>12181</v>
      </c>
      <c r="F1578">
        <f>HYPERLINK("https://www2.assemblee-nationale.fr/sycomore/fiche/(num_dept)/2342", "2342.0")</f>
        <v>0</v>
      </c>
      <c r="G1578">
        <f>HYPERLINK("https://www.senat.fr/senateur-3eme-republique/delpierre_casimir0891r3.html", "delpierre_casimir0891r3")</f>
        <v>0</v>
      </c>
      <c r="H1578">
        <f>HYPERLINK("https://www.wikidata.org/wiki/Q3557252", "Q3557252")</f>
        <v>0</v>
      </c>
    </row>
    <row r="1579" spans="1:8">
      <c r="A1579" t="s">
        <v>1585</v>
      </c>
      <c r="B1579" t="s">
        <v>6388</v>
      </c>
      <c r="C1579" t="s">
        <v>10064</v>
      </c>
      <c r="D1579" t="s">
        <v>12879</v>
      </c>
      <c r="E1579" s="2">
        <v>333</v>
      </c>
      <c r="G1579">
        <f>HYPERLINK("https://www.senat.fr/senateur-3eme-republique/delport_amedee0611r3.html", "delport_amedee0611r3")</f>
        <v>0</v>
      </c>
      <c r="H1579">
        <f>HYPERLINK("https://www.wikidata.org/wiki/Q13080805", "Q13080805")</f>
        <v>0</v>
      </c>
    </row>
    <row r="1580" spans="1:8">
      <c r="A1580" t="s">
        <v>1586</v>
      </c>
      <c r="B1580" t="s">
        <v>6389</v>
      </c>
      <c r="C1580" t="s">
        <v>7754</v>
      </c>
      <c r="D1580" t="s">
        <v>12880</v>
      </c>
      <c r="E1580" s="2">
        <v>14632</v>
      </c>
      <c r="F1580">
        <f>HYPERLINK("https://www2.assemblee-nationale.fr/sycomore/fiche/(num_dept)/2344", "2344.0")</f>
        <v>0</v>
      </c>
      <c r="H1580">
        <f>HYPERLINK("https://www.wikidata.org/wiki/Q16025561", "Q16025561")</f>
        <v>0</v>
      </c>
    </row>
    <row r="1581" spans="1:8">
      <c r="A1581" t="s">
        <v>1587</v>
      </c>
      <c r="B1581" t="s">
        <v>6390</v>
      </c>
      <c r="C1581" t="s">
        <v>9256</v>
      </c>
      <c r="D1581" t="s">
        <v>12881</v>
      </c>
      <c r="E1581" s="2">
        <v>24175</v>
      </c>
      <c r="G1581">
        <f>HYPERLINK("https://www.senat.fr/senateur-3eme-republique/delpuech_vincent000685.html", "delpuech_vincent000685")</f>
        <v>0</v>
      </c>
      <c r="H1581">
        <f>HYPERLINK("https://www.wikidata.org/wiki/Q3559578", "Q3559578")</f>
        <v>0</v>
      </c>
    </row>
    <row r="1582" spans="1:8">
      <c r="A1582" t="s">
        <v>1588</v>
      </c>
      <c r="B1582" t="s">
        <v>6391</v>
      </c>
      <c r="C1582" t="s">
        <v>7782</v>
      </c>
      <c r="D1582" t="s">
        <v>12882</v>
      </c>
      <c r="E1582" s="2">
        <v>25400</v>
      </c>
      <c r="F1582">
        <f>HYPERLINK("https://www2.assemblee-nationale.fr/sycomore/fiche/(num_dept)/2347", "2347.0")</f>
        <v>0</v>
      </c>
      <c r="H1582">
        <f>HYPERLINK("https://www.wikidata.org/wiki/Q16025562", "Q16025562")</f>
        <v>0</v>
      </c>
    </row>
    <row r="1583" spans="1:8">
      <c r="A1583" t="s">
        <v>1589</v>
      </c>
      <c r="B1583" t="s">
        <v>6392</v>
      </c>
      <c r="C1583" t="s">
        <v>7342</v>
      </c>
      <c r="D1583" t="s">
        <v>12883</v>
      </c>
      <c r="E1583" t="s">
        <v>16024</v>
      </c>
      <c r="G1583">
        <f>HYPERLINK("https://www.senat.fr/senateur-3eme-republique/delsol_jean0292r3.html", "delsol_jean0292r3")</f>
        <v>0</v>
      </c>
      <c r="H1583">
        <f>HYPERLINK("https://www.wikidata.org/wiki/Q3171653", "Q3171653")</f>
        <v>0</v>
      </c>
    </row>
    <row r="1584" spans="1:8">
      <c r="A1584" t="s">
        <v>1590</v>
      </c>
      <c r="B1584" t="s">
        <v>6393</v>
      </c>
      <c r="C1584" t="s">
        <v>10205</v>
      </c>
      <c r="D1584" t="s">
        <v>12884</v>
      </c>
      <c r="E1584" s="2">
        <v>20533</v>
      </c>
      <c r="F1584">
        <f>HYPERLINK("https://www2.assemblee-nationale.fr/sycomore/fiche/(num_dept)/2349", "2349.0")</f>
        <v>0</v>
      </c>
      <c r="H1584">
        <f>HYPERLINK("https://www.wikidata.org/wiki/Q13080930", "Q13080930")</f>
        <v>0</v>
      </c>
    </row>
    <row r="1585" spans="1:8">
      <c r="A1585" t="s">
        <v>1591</v>
      </c>
      <c r="B1585" t="s">
        <v>6394</v>
      </c>
      <c r="C1585" t="s">
        <v>8182</v>
      </c>
      <c r="D1585" t="s">
        <v>12885</v>
      </c>
      <c r="E1585" s="2">
        <v>10216</v>
      </c>
      <c r="G1585">
        <f>HYPERLINK("https://www.senat.fr/senateur-3eme-republique/delsor_nicolas1108r3.html", "delsor_nicolas1108r3")</f>
        <v>0</v>
      </c>
      <c r="H1585">
        <f>HYPERLINK("https://www.wikidata.org/wiki/Q100974", "Q100974")</f>
        <v>0</v>
      </c>
    </row>
    <row r="1586" spans="1:8">
      <c r="A1586" t="s">
        <v>1592</v>
      </c>
      <c r="B1586" t="s">
        <v>6395</v>
      </c>
      <c r="C1586" t="s">
        <v>10206</v>
      </c>
      <c r="D1586" t="s">
        <v>12886</v>
      </c>
      <c r="E1586" s="2">
        <v>18974</v>
      </c>
      <c r="F1586">
        <f>HYPERLINK("https://www2.assemblee-nationale.fr/sycomore/fiche/(num_dept)/2350", "2350.0")</f>
        <v>0</v>
      </c>
      <c r="G1586">
        <f>HYPERLINK("https://www.senat.fr/senateur-3eme-republique/delthil_roger0436r4.html", "delthil_roger0436r4")</f>
        <v>0</v>
      </c>
      <c r="H1586">
        <f>HYPERLINK("https://www.wikidata.org/wiki/Q3438883", "Q3438883")</f>
        <v>0</v>
      </c>
    </row>
    <row r="1587" spans="1:8">
      <c r="A1587" t="s">
        <v>1593</v>
      </c>
      <c r="B1587" t="s">
        <v>6396</v>
      </c>
      <c r="C1587" t="s">
        <v>8384</v>
      </c>
      <c r="D1587" t="s">
        <v>12887</v>
      </c>
      <c r="E1587" s="2">
        <v>2869</v>
      </c>
      <c r="F1587">
        <f>HYPERLINK("https://www2.assemblee-nationale.fr/sycomore/fiche/(num_dept)/2353", "2353.0")</f>
        <v>0</v>
      </c>
      <c r="H1587">
        <f>HYPERLINK("https://www.wikidata.org/wiki/Q3384693", "Q3384693")</f>
        <v>0</v>
      </c>
    </row>
    <row r="1588" spans="1:8">
      <c r="A1588" t="s">
        <v>1594</v>
      </c>
      <c r="B1588" t="s">
        <v>6397</v>
      </c>
      <c r="C1588" t="s">
        <v>9533</v>
      </c>
      <c r="D1588" t="s">
        <v>12888</v>
      </c>
      <c r="E1588" s="2">
        <v>6458</v>
      </c>
      <c r="F1588">
        <f>HYPERLINK("https://www2.assemblee-nationale.fr/sycomore/fiche/(num_dept)/2289", "2289.0")</f>
        <v>0</v>
      </c>
      <c r="H1588">
        <f>HYPERLINK("https://www.wikidata.org/wiki/Q16025548", "Q16025548")</f>
        <v>0</v>
      </c>
    </row>
    <row r="1589" spans="1:8">
      <c r="A1589" t="s">
        <v>1595</v>
      </c>
      <c r="B1589" t="s">
        <v>6398</v>
      </c>
      <c r="C1589" t="s">
        <v>10207</v>
      </c>
      <c r="D1589" t="s">
        <v>12844</v>
      </c>
      <c r="F1589">
        <f>HYPERLINK("https://www2.assemblee-nationale.fr/sycomore/fiche/(num_dept)/2357", "2357.0")</f>
        <v>0</v>
      </c>
      <c r="H1589">
        <f>HYPERLINK("https://www.wikidata.org/wiki/Q3271580", "Q3271580")</f>
        <v>0</v>
      </c>
    </row>
    <row r="1590" spans="1:8">
      <c r="A1590" t="s">
        <v>1596</v>
      </c>
      <c r="B1590" t="s">
        <v>6399</v>
      </c>
      <c r="C1590" t="s">
        <v>7942</v>
      </c>
      <c r="D1590" t="s">
        <v>12889</v>
      </c>
      <c r="E1590" s="2">
        <v>2809</v>
      </c>
      <c r="G1590">
        <f>HYPERLINK("https://www.senat.fr/senateur-3eme-republique/demarcay_maurice1771r3.html", "demarcay_maurice1771r3")</f>
        <v>0</v>
      </c>
      <c r="H1590">
        <f>HYPERLINK("https://www.wikidata.org/wiki/Q3300667", "Q3300667")</f>
        <v>0</v>
      </c>
    </row>
    <row r="1591" spans="1:8">
      <c r="A1591" t="s">
        <v>1597</v>
      </c>
      <c r="B1591" t="s">
        <v>6400</v>
      </c>
      <c r="C1591" t="s">
        <v>10208</v>
      </c>
      <c r="D1591" t="s">
        <v>12889</v>
      </c>
      <c r="E1591" s="2">
        <v>2809</v>
      </c>
      <c r="F1591">
        <f>HYPERLINK("https://www2.assemblee-nationale.fr/sycomore/fiche/(num_dept)/2359", "2359.0")</f>
        <v>0</v>
      </c>
      <c r="H1591">
        <f>HYPERLINK("https://www.wikidata.org/wiki/Q3300667", "Q3300667")</f>
        <v>0</v>
      </c>
    </row>
    <row r="1592" spans="1:8">
      <c r="A1592" t="s">
        <v>1598</v>
      </c>
      <c r="B1592" t="s">
        <v>6401</v>
      </c>
      <c r="C1592" t="s">
        <v>7754</v>
      </c>
      <c r="D1592" t="s">
        <v>12890</v>
      </c>
      <c r="E1592" s="2">
        <v>15991</v>
      </c>
      <c r="F1592">
        <f>HYPERLINK("https://www2.assemblee-nationale.fr/sycomore/fiche/(num_dept)/2362", "2362.0")</f>
        <v>0</v>
      </c>
      <c r="G1592">
        <f>HYPERLINK("https://www.senat.fr/senateur-3eme-republique/demellier_louis1641r3.html", "demellier_louis1641r3")</f>
        <v>0</v>
      </c>
      <c r="H1592">
        <f>HYPERLINK("https://www.wikidata.org/wiki/Q3261694", "Q3261694")</f>
        <v>0</v>
      </c>
    </row>
    <row r="1593" spans="1:8">
      <c r="A1593" t="s">
        <v>1599</v>
      </c>
      <c r="B1593" t="s">
        <v>6402</v>
      </c>
      <c r="C1593" t="s">
        <v>7754</v>
      </c>
      <c r="D1593" t="s">
        <v>12891</v>
      </c>
      <c r="E1593" s="2">
        <v>14615</v>
      </c>
      <c r="G1593">
        <f>HYPERLINK("https://www.senat.fr/senateur-3eme-republique/demesmay_louis1424r3.html", "demesmay_louis1424r3")</f>
        <v>0</v>
      </c>
      <c r="H1593">
        <f>HYPERLINK("https://www.wikidata.org/wiki/Q3261695", "Q3261695")</f>
        <v>0</v>
      </c>
    </row>
    <row r="1594" spans="1:8">
      <c r="A1594" t="s">
        <v>1600</v>
      </c>
      <c r="B1594" t="s">
        <v>6403</v>
      </c>
      <c r="C1594" t="s">
        <v>7754</v>
      </c>
      <c r="D1594" t="s">
        <v>12892</v>
      </c>
      <c r="E1594" s="2">
        <v>1753</v>
      </c>
      <c r="G1594">
        <f>HYPERLINK("https://www.senat.fr/senateur-3eme-republique/demiautte_louis0939r3.html", "demiautte_louis0939r3")</f>
        <v>0</v>
      </c>
      <c r="H1594">
        <f>HYPERLINK("https://www.wikidata.org/wiki/Q3261696", "Q3261696")</f>
        <v>0</v>
      </c>
    </row>
    <row r="1595" spans="1:8">
      <c r="A1595" t="s">
        <v>1601</v>
      </c>
      <c r="B1595" t="s">
        <v>6404</v>
      </c>
      <c r="C1595" t="s">
        <v>9355</v>
      </c>
      <c r="D1595" t="s">
        <v>12893</v>
      </c>
      <c r="E1595" s="2">
        <v>3092</v>
      </c>
      <c r="G1595">
        <f>HYPERLINK("https://www.senat.fr/senateur-3eme-republique/demole_charles1218r3.html", "demole_charles1218r3")</f>
        <v>0</v>
      </c>
      <c r="H1595">
        <f>HYPERLINK("https://www.wikidata.org/wiki/Q2958875", "Q2958875")</f>
        <v>0</v>
      </c>
    </row>
    <row r="1596" spans="1:8">
      <c r="A1596" t="s">
        <v>1602</v>
      </c>
      <c r="B1596" t="s">
        <v>6405</v>
      </c>
      <c r="C1596" t="s">
        <v>5058</v>
      </c>
      <c r="D1596" t="s">
        <v>12110</v>
      </c>
      <c r="E1596" s="2">
        <v>17027</v>
      </c>
      <c r="F1596">
        <f>HYPERLINK("https://www2.assemblee-nationale.fr/sycomore/fiche/(num_dept)/2363", "2363.0")</f>
        <v>0</v>
      </c>
      <c r="H1596">
        <f>HYPERLINK("https://www.wikidata.org/wiki/Q2831104", "Q2831104")</f>
        <v>0</v>
      </c>
    </row>
    <row r="1597" spans="1:8">
      <c r="A1597" t="s">
        <v>1603</v>
      </c>
      <c r="B1597" t="s">
        <v>6406</v>
      </c>
      <c r="C1597" t="s">
        <v>7342</v>
      </c>
      <c r="D1597" t="s">
        <v>12894</v>
      </c>
      <c r="E1597" s="2">
        <v>3271</v>
      </c>
      <c r="G1597">
        <f>HYPERLINK("https://www.senat.fr/senateur-3eme-republique/demoulins_de_riols_jean0357r3.html", "demoulins_de_riols_jean0357r3")</f>
        <v>0</v>
      </c>
      <c r="H1597">
        <f>HYPERLINK("https://www.wikidata.org/wiki/Q3171664", "Q3171664")</f>
        <v>0</v>
      </c>
    </row>
    <row r="1598" spans="1:8">
      <c r="A1598" t="s">
        <v>1604</v>
      </c>
      <c r="B1598" t="s">
        <v>6407</v>
      </c>
      <c r="C1598" t="s">
        <v>9355</v>
      </c>
      <c r="D1598" t="s">
        <v>12893</v>
      </c>
      <c r="E1598" s="2">
        <v>3092</v>
      </c>
      <c r="H1598">
        <f>HYPERLINK("https://www.wikidata.org/wiki/Q2958875", "Q2958875")</f>
        <v>0</v>
      </c>
    </row>
    <row r="1599" spans="1:8">
      <c r="A1599" t="s">
        <v>1605</v>
      </c>
      <c r="B1599" t="s">
        <v>6408</v>
      </c>
      <c r="C1599" t="s">
        <v>9438</v>
      </c>
      <c r="D1599" t="s">
        <v>12895</v>
      </c>
      <c r="E1599" s="2">
        <v>19359</v>
      </c>
      <c r="H1599">
        <f>HYPERLINK("https://www.wikidata.org/wiki/Q3557262", "Q3557262")</f>
        <v>0</v>
      </c>
    </row>
    <row r="1600" spans="1:8">
      <c r="A1600" t="s">
        <v>1606</v>
      </c>
      <c r="B1600" t="s">
        <v>6409</v>
      </c>
      <c r="C1600" t="s">
        <v>10209</v>
      </c>
      <c r="D1600" t="s">
        <v>12338</v>
      </c>
      <c r="E1600" s="2">
        <v>21957</v>
      </c>
      <c r="F1600">
        <f>HYPERLINK("https://www2.assemblee-nationale.fr/sycomore/fiche/(num_dept)/2366", "2366.0")</f>
        <v>0</v>
      </c>
      <c r="H1600">
        <f>HYPERLINK("https://www.wikidata.org/wiki/Q3184835", "Q3184835")</f>
        <v>0</v>
      </c>
    </row>
    <row r="1601" spans="1:8">
      <c r="A1601" t="s">
        <v>1607</v>
      </c>
      <c r="B1601" t="s">
        <v>6410</v>
      </c>
      <c r="C1601" t="s">
        <v>10210</v>
      </c>
      <c r="D1601" t="s">
        <v>12896</v>
      </c>
      <c r="E1601" s="2">
        <v>3704</v>
      </c>
      <c r="F1601">
        <f>HYPERLINK("https://www2.assemblee-nationale.fr/sycomore/fiche/(num_dept)/8077", "8077.0")</f>
        <v>0</v>
      </c>
      <c r="H1601">
        <f>HYPERLINK("https://www.wikidata.org/wiki/Q20892706", "Q20892706")</f>
        <v>0</v>
      </c>
    </row>
    <row r="1602" spans="1:8">
      <c r="A1602" t="s">
        <v>1608</v>
      </c>
      <c r="B1602" t="s">
        <v>6411</v>
      </c>
      <c r="C1602" t="s">
        <v>9368</v>
      </c>
      <c r="D1602" t="s">
        <v>12897</v>
      </c>
      <c r="E1602" t="s">
        <v>16025</v>
      </c>
      <c r="F1602">
        <f>HYPERLINK("https://www2.assemblee-nationale.fr/sycomore/fiche/(num_dept)/2369", "2369.0")</f>
        <v>0</v>
      </c>
      <c r="H1602">
        <f>HYPERLINK("https://www.wikidata.org/wiki/Q3059819", "Q3059819")</f>
        <v>0</v>
      </c>
    </row>
    <row r="1603" spans="1:8">
      <c r="A1603" t="s">
        <v>1609</v>
      </c>
      <c r="B1603" t="s">
        <v>6412</v>
      </c>
      <c r="C1603" t="s">
        <v>9503</v>
      </c>
      <c r="D1603" t="s">
        <v>12898</v>
      </c>
      <c r="E1603" s="2">
        <v>9165</v>
      </c>
      <c r="G1603">
        <f>HYPERLINK("https://www.senat.fr/senateur-3eme-republique/denis_gustave0956r3.html", "denis_gustave0956r3")</f>
        <v>0</v>
      </c>
      <c r="H1603">
        <f>HYPERLINK("https://www.wikidata.org/wiki/Q3121167", "Q3121167")</f>
        <v>0</v>
      </c>
    </row>
    <row r="1604" spans="1:8">
      <c r="A1604" t="s">
        <v>1610</v>
      </c>
      <c r="B1604" t="s">
        <v>6413</v>
      </c>
      <c r="C1604" t="s">
        <v>6895</v>
      </c>
      <c r="D1604" t="s">
        <v>12899</v>
      </c>
      <c r="E1604" s="2">
        <v>1399</v>
      </c>
      <c r="F1604">
        <f>HYPERLINK("https://www2.assemblee-nationale.fr/sycomore/fiche/(num_dept)/2379", "2379.0")</f>
        <v>0</v>
      </c>
      <c r="H1604">
        <f>HYPERLINK("https://www.wikidata.org/wiki/Q16025564", "Q16025564")</f>
        <v>0</v>
      </c>
    </row>
    <row r="1605" spans="1:8">
      <c r="A1605" t="s">
        <v>1611</v>
      </c>
      <c r="B1605" t="s">
        <v>6413</v>
      </c>
      <c r="C1605" t="s">
        <v>10211</v>
      </c>
      <c r="D1605" t="s">
        <v>12900</v>
      </c>
      <c r="E1605" s="2">
        <v>3101</v>
      </c>
      <c r="F1605">
        <f>HYPERLINK("https://www2.assemblee-nationale.fr/sycomore/fiche/(num_dept)/2382", "2382.0")</f>
        <v>0</v>
      </c>
      <c r="H1605">
        <f>HYPERLINK("https://www.wikidata.org/wiki/Q3526409", "Q3526409")</f>
        <v>0</v>
      </c>
    </row>
    <row r="1606" spans="1:8">
      <c r="A1606" t="s">
        <v>1612</v>
      </c>
      <c r="B1606" t="s">
        <v>6413</v>
      </c>
      <c r="C1606" t="s">
        <v>5058</v>
      </c>
      <c r="D1606" t="s">
        <v>12901</v>
      </c>
      <c r="E1606" s="2">
        <v>11343</v>
      </c>
      <c r="F1606">
        <f>HYPERLINK("https://www2.assemblee-nationale.fr/sycomore/fiche/(num_dept)/2374", "2374.0")</f>
        <v>0</v>
      </c>
      <c r="H1606">
        <f>HYPERLINK("https://www.wikidata.org/wiki/Q16025563", "Q16025563")</f>
        <v>0</v>
      </c>
    </row>
    <row r="1607" spans="1:8">
      <c r="A1607" t="s">
        <v>1613</v>
      </c>
      <c r="B1607" t="s">
        <v>6413</v>
      </c>
      <c r="C1607" t="s">
        <v>7001</v>
      </c>
      <c r="D1607" t="s">
        <v>12902</v>
      </c>
      <c r="E1607" s="2">
        <v>20756</v>
      </c>
      <c r="F1607">
        <f>HYPERLINK("https://www2.assemblee-nationale.fr/sycomore/fiche/(num_dept)/2380", "2380.0")</f>
        <v>0</v>
      </c>
      <c r="H1607">
        <f>HYPERLINK("https://www.wikidata.org/wiki/Q3102593", "Q3102593")</f>
        <v>0</v>
      </c>
    </row>
    <row r="1608" spans="1:8">
      <c r="A1608" t="s">
        <v>1614</v>
      </c>
      <c r="B1608" t="s">
        <v>6414</v>
      </c>
      <c r="C1608" t="s">
        <v>9430</v>
      </c>
      <c r="D1608" t="s">
        <v>12903</v>
      </c>
      <c r="E1608" s="2">
        <v>13359</v>
      </c>
      <c r="F1608">
        <f>HYPERLINK("https://www2.assemblee-nationale.fr/sycomore/fiche/(num_dept)/2384", "2384.0")</f>
        <v>0</v>
      </c>
      <c r="H1608">
        <f>HYPERLINK("https://www.wikidata.org/wiki/Q16025565", "Q16025565")</f>
        <v>0</v>
      </c>
    </row>
    <row r="1609" spans="1:8">
      <c r="A1609" t="s">
        <v>1615</v>
      </c>
      <c r="B1609" t="s">
        <v>6415</v>
      </c>
      <c r="C1609" t="s">
        <v>9857</v>
      </c>
      <c r="D1609" t="s">
        <v>12904</v>
      </c>
      <c r="E1609" t="s">
        <v>16026</v>
      </c>
      <c r="F1609">
        <f>HYPERLINK("https://www2.assemblee-nationale.fr/sycomore/fiche/(num_dept)/2385", "2385.0")</f>
        <v>0</v>
      </c>
      <c r="H1609">
        <f>HYPERLINK("https://www.wikidata.org/wiki/Q16025566", "Q16025566")</f>
        <v>0</v>
      </c>
    </row>
    <row r="1610" spans="1:8">
      <c r="A1610" t="s">
        <v>1616</v>
      </c>
      <c r="B1610" t="s">
        <v>6416</v>
      </c>
      <c r="C1610" t="s">
        <v>10212</v>
      </c>
      <c r="D1610" t="s">
        <v>12905</v>
      </c>
      <c r="E1610" s="2">
        <v>6570</v>
      </c>
      <c r="F1610">
        <f>HYPERLINK("https://www2.assemblee-nationale.fr/sycomore/fiche/(num_dept)/2386", "2386.0")</f>
        <v>0</v>
      </c>
      <c r="G1610">
        <f>HYPERLINK("https://www.senat.fr/senateur-3eme-republique/denoix_arnaud0671r3.html", "denoix_arnaud0671r3")</f>
        <v>0</v>
      </c>
      <c r="H1610">
        <f>HYPERLINK("https://www.wikidata.org/wiki/Q2863097", "Q2863097")</f>
        <v>0</v>
      </c>
    </row>
    <row r="1611" spans="1:8">
      <c r="A1611" t="s">
        <v>1617</v>
      </c>
      <c r="B1611" t="s">
        <v>6417</v>
      </c>
      <c r="C1611" t="s">
        <v>9332</v>
      </c>
      <c r="D1611" t="s">
        <v>12906</v>
      </c>
      <c r="E1611" s="2">
        <v>759</v>
      </c>
      <c r="G1611">
        <f>HYPERLINK("https://www.senat.fr/senateur-3eme-republique/denormandie_ernest1461r3.html", "denormandie_ernest1461r3")</f>
        <v>0</v>
      </c>
      <c r="H1611">
        <f>HYPERLINK("https://www.wikidata.org/wiki/Q3056922", "Q3056922")</f>
        <v>0</v>
      </c>
    </row>
    <row r="1612" spans="1:8">
      <c r="A1612" t="s">
        <v>1618</v>
      </c>
      <c r="B1612" t="s">
        <v>6418</v>
      </c>
      <c r="C1612" t="s">
        <v>7001</v>
      </c>
      <c r="D1612" t="s">
        <v>12907</v>
      </c>
      <c r="E1612" s="2">
        <v>18580</v>
      </c>
      <c r="G1612">
        <f>HYPERLINK("https://www.senat.fr/senateur-3eme-republique/dentu_georges0920r3.html", "dentu_georges0920r3")</f>
        <v>0</v>
      </c>
      <c r="H1612">
        <f>HYPERLINK("https://www.wikidata.org/wiki/Q3102594", "Q3102594")</f>
        <v>0</v>
      </c>
    </row>
    <row r="1613" spans="1:8">
      <c r="A1613" t="s">
        <v>1619</v>
      </c>
      <c r="B1613" t="s">
        <v>6419</v>
      </c>
      <c r="C1613" t="s">
        <v>7942</v>
      </c>
      <c r="D1613" t="s">
        <v>12908</v>
      </c>
      <c r="E1613" s="2">
        <v>9615</v>
      </c>
      <c r="F1613">
        <f>HYPERLINK("https://www2.assemblee-nationale.fr/sycomore/fiche/(num_dept)/2367", "2367.0")</f>
        <v>0</v>
      </c>
      <c r="H1613">
        <f>HYPERLINK("https://www.wikidata.org/wiki/Q8334443", "Q8334443")</f>
        <v>0</v>
      </c>
    </row>
    <row r="1614" spans="1:8">
      <c r="A1614" t="s">
        <v>1620</v>
      </c>
      <c r="B1614" t="s">
        <v>6420</v>
      </c>
      <c r="C1614" t="s">
        <v>10213</v>
      </c>
      <c r="D1614" t="s">
        <v>12909</v>
      </c>
      <c r="E1614" s="2">
        <v>4277</v>
      </c>
      <c r="F1614">
        <f>HYPERLINK("https://www2.assemblee-nationale.fr/sycomore/fiche/(num_dept)/2391", "2391.0")</f>
        <v>0</v>
      </c>
      <c r="H1614">
        <f>HYPERLINK("https://www.wikidata.org/wiki/Q16025567", "Q16025567")</f>
        <v>0</v>
      </c>
    </row>
    <row r="1615" spans="1:8">
      <c r="A1615" t="s">
        <v>1621</v>
      </c>
      <c r="B1615" t="s">
        <v>6421</v>
      </c>
      <c r="C1615" t="s">
        <v>9373</v>
      </c>
      <c r="D1615" t="s">
        <v>12910</v>
      </c>
      <c r="E1615" s="2">
        <v>22367</v>
      </c>
      <c r="G1615">
        <f>HYPERLINK("https://www.senat.fr/senateur-3eme-republique/depierre_joseph1152r3.html", "depierre_joseph1152r3")</f>
        <v>0</v>
      </c>
      <c r="H1615">
        <f>HYPERLINK("https://www.wikidata.org/wiki/Q3184836", "Q3184836")</f>
        <v>0</v>
      </c>
    </row>
    <row r="1616" spans="1:8">
      <c r="A1616" t="s">
        <v>1622</v>
      </c>
      <c r="B1616" t="s">
        <v>6422</v>
      </c>
      <c r="C1616" t="s">
        <v>9397</v>
      </c>
      <c r="D1616" t="s">
        <v>12911</v>
      </c>
      <c r="E1616" s="2">
        <v>4532</v>
      </c>
      <c r="G1616">
        <f>HYPERLINK("https://www.senat.fr/senateur-3eme-republique/depreux_theophile1399r3.html", "depreux_theophile1399r3")</f>
        <v>0</v>
      </c>
      <c r="H1616">
        <f>HYPERLINK("https://www.wikidata.org/wiki/Q3526649", "Q3526649")</f>
        <v>0</v>
      </c>
    </row>
    <row r="1617" spans="1:8">
      <c r="A1617" t="s">
        <v>1623</v>
      </c>
      <c r="B1617" t="s">
        <v>6423</v>
      </c>
      <c r="C1617" t="s">
        <v>7754</v>
      </c>
      <c r="D1617" t="s">
        <v>12044</v>
      </c>
      <c r="E1617" s="2">
        <v>74</v>
      </c>
      <c r="G1617">
        <f>HYPERLINK("https://www.senat.fr/senateur-3eme-republique/deprez_louis0925r3.html", "deprez_louis0925r3")</f>
        <v>0</v>
      </c>
      <c r="H1617">
        <f>HYPERLINK("https://www.wikidata.org/wiki/Q2847076", "Q2847076")</f>
        <v>0</v>
      </c>
    </row>
    <row r="1618" spans="1:8">
      <c r="A1618" t="s">
        <v>1624</v>
      </c>
      <c r="B1618" t="s">
        <v>6424</v>
      </c>
      <c r="C1618" t="s">
        <v>7754</v>
      </c>
      <c r="D1618" t="s">
        <v>12912</v>
      </c>
      <c r="E1618" s="2">
        <v>8024</v>
      </c>
      <c r="F1618">
        <f>HYPERLINK("https://www2.assemblee-nationale.fr/sycomore/fiche/(num_dept)/2398", "2398.0")</f>
        <v>0</v>
      </c>
      <c r="H1618">
        <f>HYPERLINK("https://www.wikidata.org/wiki/Q3056924", "Q3056924")</f>
        <v>0</v>
      </c>
    </row>
    <row r="1619" spans="1:8">
      <c r="A1619" t="s">
        <v>1625</v>
      </c>
      <c r="B1619" t="s">
        <v>6425</v>
      </c>
      <c r="C1619" t="s">
        <v>8384</v>
      </c>
      <c r="D1619" t="s">
        <v>12913</v>
      </c>
      <c r="E1619" s="2">
        <v>11010</v>
      </c>
      <c r="F1619">
        <f>HYPERLINK("https://www2.assemblee-nationale.fr/sycomore/fiche/(num_dept)/2401", "2401.0")</f>
        <v>0</v>
      </c>
      <c r="H1619">
        <f>HYPERLINK("https://www.wikidata.org/wiki/Q16025568", "Q16025568")</f>
        <v>0</v>
      </c>
    </row>
    <row r="1620" spans="1:8">
      <c r="A1620" t="s">
        <v>1626</v>
      </c>
      <c r="B1620" t="s">
        <v>6426</v>
      </c>
      <c r="C1620" t="s">
        <v>9430</v>
      </c>
      <c r="D1620" t="s">
        <v>12914</v>
      </c>
      <c r="E1620" s="2">
        <v>9003</v>
      </c>
      <c r="F1620">
        <f>HYPERLINK("https://www2.assemblee-nationale.fr/sycomore/fiche/(num_dept)/2405", "2405.0")</f>
        <v>0</v>
      </c>
      <c r="H1620">
        <f>HYPERLINK("https://www.wikidata.org/wiki/Q3371045", "Q3371045")</f>
        <v>0</v>
      </c>
    </row>
    <row r="1621" spans="1:8">
      <c r="A1621" t="s">
        <v>1627</v>
      </c>
      <c r="B1621" t="s">
        <v>6427</v>
      </c>
      <c r="C1621" t="s">
        <v>10214</v>
      </c>
      <c r="D1621" t="s">
        <v>12915</v>
      </c>
      <c r="E1621" s="2">
        <v>11419</v>
      </c>
      <c r="F1621">
        <f>HYPERLINK("https://www2.assemblee-nationale.fr/sycomore/fiche/(num_dept)/2407", "2407.0")</f>
        <v>0</v>
      </c>
      <c r="H1621">
        <f>HYPERLINK("https://www.wikidata.org/wiki/Q16025570", "Q16025570")</f>
        <v>0</v>
      </c>
    </row>
    <row r="1622" spans="1:8">
      <c r="A1622" t="s">
        <v>1628</v>
      </c>
      <c r="B1622" t="s">
        <v>6428</v>
      </c>
      <c r="C1622" t="s">
        <v>10215</v>
      </c>
      <c r="D1622" t="s">
        <v>12916</v>
      </c>
      <c r="E1622" t="s">
        <v>14901</v>
      </c>
      <c r="F1622">
        <f>HYPERLINK("https://www2.assemblee-nationale.fr/sycomore/fiche/(num_dept)/8106", "8106.0")</f>
        <v>0</v>
      </c>
      <c r="H1622">
        <f>HYPERLINK("https://www.wikidata.org/wiki/Q3184837", "Q3184837")</f>
        <v>0</v>
      </c>
    </row>
    <row r="1623" spans="1:8">
      <c r="A1623" t="s">
        <v>1629</v>
      </c>
      <c r="B1623" t="s">
        <v>6429</v>
      </c>
      <c r="C1623" t="s">
        <v>9324</v>
      </c>
      <c r="D1623" t="s">
        <v>12917</v>
      </c>
      <c r="E1623" s="2">
        <v>1376</v>
      </c>
      <c r="F1623">
        <f>HYPERLINK("https://www2.assemblee-nationale.fr/sycomore/fiche/(num_dept)/2410", "2410.0")</f>
        <v>0</v>
      </c>
      <c r="H1623">
        <f>HYPERLINK("https://www.wikidata.org/wiki/Q3130959", "Q3130959")</f>
        <v>0</v>
      </c>
    </row>
    <row r="1624" spans="1:8">
      <c r="A1624" t="s">
        <v>1630</v>
      </c>
      <c r="B1624" t="s">
        <v>6430</v>
      </c>
      <c r="C1624" t="s">
        <v>9368</v>
      </c>
      <c r="D1624" t="s">
        <v>12918</v>
      </c>
      <c r="E1624" s="2">
        <v>8557</v>
      </c>
      <c r="F1624">
        <f>HYPERLINK("https://www2.assemblee-nationale.fr/sycomore/fiche/(num_dept)/2411", "2411.0")</f>
        <v>0</v>
      </c>
      <c r="H1624">
        <f>HYPERLINK("https://www.wikidata.org/wiki/Q16025569", "Q16025569")</f>
        <v>0</v>
      </c>
    </row>
    <row r="1625" spans="1:8">
      <c r="A1625" t="s">
        <v>1631</v>
      </c>
      <c r="B1625" t="s">
        <v>6431</v>
      </c>
      <c r="C1625" t="s">
        <v>9618</v>
      </c>
      <c r="D1625" t="s">
        <v>12919</v>
      </c>
      <c r="E1625" s="2">
        <v>25784</v>
      </c>
      <c r="G1625">
        <f>HYPERLINK("https://www.senat.fr/senateur-3eme-republique/des_rotours_guillaume1419r3.html", "des_rotours_guillaume1419r3")</f>
        <v>0</v>
      </c>
      <c r="H1625">
        <f>HYPERLINK("https://www.wikidata.org/wiki/Q3120480", "Q3120480")</f>
        <v>0</v>
      </c>
    </row>
    <row r="1626" spans="1:8">
      <c r="A1626" t="s">
        <v>1632</v>
      </c>
      <c r="B1626" t="s">
        <v>6432</v>
      </c>
      <c r="C1626" t="s">
        <v>8384</v>
      </c>
      <c r="D1626" t="s">
        <v>12920</v>
      </c>
      <c r="G1626">
        <f>HYPERLINK("https://www.senat.fr/senateur-3eme-republique/desbassyns_de_richemont_pierre1828r3.html", "desbassyns_de_richemont_pierre1828r3")</f>
        <v>0</v>
      </c>
      <c r="H1626">
        <f>HYPERLINK("https://www.wikidata.org/wiki/Q3384714", "Q3384714")</f>
        <v>0</v>
      </c>
    </row>
    <row r="1627" spans="1:8">
      <c r="A1627" t="s">
        <v>1633</v>
      </c>
      <c r="B1627" t="s">
        <v>6433</v>
      </c>
      <c r="C1627" t="s">
        <v>10216</v>
      </c>
      <c r="D1627" t="s">
        <v>12921</v>
      </c>
      <c r="E1627" s="2">
        <v>24795</v>
      </c>
      <c r="F1627">
        <f>HYPERLINK("https://www2.assemblee-nationale.fr/sycomore/fiche/(num_dept)/2415", "2415.0")</f>
        <v>0</v>
      </c>
      <c r="H1627">
        <f>HYPERLINK("https://www.wikidata.org/wiki/Q3171692", "Q3171692")</f>
        <v>0</v>
      </c>
    </row>
    <row r="1628" spans="1:8">
      <c r="A1628" t="s">
        <v>1634</v>
      </c>
      <c r="B1628" t="s">
        <v>6434</v>
      </c>
      <c r="C1628" t="s">
        <v>5058</v>
      </c>
      <c r="D1628" t="s">
        <v>12922</v>
      </c>
      <c r="E1628" s="2">
        <v>3947</v>
      </c>
      <c r="F1628">
        <f>HYPERLINK("https://www2.assemblee-nationale.fr/sycomore/fiche/(num_dept)/2416", "2416.0")</f>
        <v>0</v>
      </c>
      <c r="H1628">
        <f>HYPERLINK("https://www.wikidata.org/wiki/Q16025572", "Q16025572")</f>
        <v>0</v>
      </c>
    </row>
    <row r="1629" spans="1:8">
      <c r="A1629" t="s">
        <v>1635</v>
      </c>
      <c r="B1629" t="s">
        <v>6435</v>
      </c>
      <c r="C1629" t="s">
        <v>9355</v>
      </c>
      <c r="D1629" t="s">
        <v>12923</v>
      </c>
      <c r="E1629" t="s">
        <v>16027</v>
      </c>
      <c r="F1629">
        <f>HYPERLINK("https://www2.assemblee-nationale.fr/sycomore/fiche/(num_dept)/2418", "2418.0")</f>
        <v>0</v>
      </c>
      <c r="H1629">
        <f>HYPERLINK("https://www.wikidata.org/wiki/Q16025573", "Q16025573")</f>
        <v>0</v>
      </c>
    </row>
    <row r="1630" spans="1:8">
      <c r="A1630" t="s">
        <v>1636</v>
      </c>
      <c r="B1630" t="s">
        <v>6436</v>
      </c>
      <c r="C1630" t="s">
        <v>9512</v>
      </c>
      <c r="D1630" t="s">
        <v>12924</v>
      </c>
      <c r="E1630" s="2">
        <v>11458</v>
      </c>
      <c r="F1630">
        <f>HYPERLINK("https://www2.assemblee-nationale.fr/sycomore/fiche/(num_dept)/2421", "2421.0")</f>
        <v>0</v>
      </c>
      <c r="H1630">
        <f>HYPERLINK("https://www.wikidata.org/wiki/Q3098976", "Q3098976")</f>
        <v>0</v>
      </c>
    </row>
    <row r="1631" spans="1:8">
      <c r="A1631" t="s">
        <v>1637</v>
      </c>
      <c r="B1631" t="s">
        <v>6436</v>
      </c>
      <c r="C1631" t="s">
        <v>7754</v>
      </c>
      <c r="D1631" t="s">
        <v>12925</v>
      </c>
      <c r="E1631" s="2">
        <v>9246</v>
      </c>
      <c r="F1631">
        <f>HYPERLINK("https://www2.assemblee-nationale.fr/sycomore/fiche/(num_dept)/2423", "2423.0")</f>
        <v>0</v>
      </c>
      <c r="H1631">
        <f>HYPERLINK("https://www.wikidata.org/wiki/Q3261711", "Q3261711")</f>
        <v>0</v>
      </c>
    </row>
    <row r="1632" spans="1:8">
      <c r="A1632" t="s">
        <v>1638</v>
      </c>
      <c r="B1632" t="s">
        <v>6437</v>
      </c>
      <c r="C1632" t="s">
        <v>9524</v>
      </c>
      <c r="D1632" t="s">
        <v>12926</v>
      </c>
      <c r="E1632" s="2">
        <v>1487</v>
      </c>
      <c r="G1632">
        <f>HYPERLINK("https://www.senat.fr/senateur-3eme-republique/deschanel_emile1462r3.html", "deschanel_emile1462r3")</f>
        <v>0</v>
      </c>
      <c r="H1632">
        <f>HYPERLINK("https://www.wikidata.org/wiki/Q712756", "Q712756")</f>
        <v>0</v>
      </c>
    </row>
    <row r="1633" spans="1:8">
      <c r="A1633" t="s">
        <v>1639</v>
      </c>
      <c r="B1633" t="s">
        <v>6438</v>
      </c>
      <c r="C1633" t="s">
        <v>9430</v>
      </c>
      <c r="D1633" t="s">
        <v>12927</v>
      </c>
      <c r="E1633" s="2">
        <v>8154</v>
      </c>
      <c r="F1633">
        <f>HYPERLINK("https://www2.assemblee-nationale.fr/sycomore/fiche/(num_dept)/2425", "2425.0")</f>
        <v>0</v>
      </c>
      <c r="G1633">
        <f>HYPERLINK("https://www.senat.fr/senateur-3eme-republique/deschanel_paul0768r3.html", "deschanel_paul0768r3")</f>
        <v>0</v>
      </c>
      <c r="H1633">
        <f>HYPERLINK("https://www.wikidata.org/wiki/Q309995", "Q309995")</f>
        <v>0</v>
      </c>
    </row>
    <row r="1634" spans="1:8">
      <c r="A1634" t="s">
        <v>1640</v>
      </c>
      <c r="B1634" t="s">
        <v>6438</v>
      </c>
      <c r="C1634" t="s">
        <v>10217</v>
      </c>
      <c r="D1634" s="2">
        <v>1706</v>
      </c>
      <c r="E1634" s="2">
        <v>23035</v>
      </c>
      <c r="F1634">
        <f>HYPERLINK("https://www2.assemblee-nationale.fr/sycomore/fiche/(num_dept)/2424", "2424.0")</f>
        <v>0</v>
      </c>
      <c r="H1634">
        <f>HYPERLINK("https://www.wikidata.org/wiki/Q3171703", "Q3171703")</f>
        <v>0</v>
      </c>
    </row>
    <row r="1635" spans="1:8">
      <c r="A1635" t="s">
        <v>1641</v>
      </c>
      <c r="B1635" t="s">
        <v>6439</v>
      </c>
      <c r="C1635" t="s">
        <v>10218</v>
      </c>
      <c r="D1635" t="s">
        <v>12928</v>
      </c>
      <c r="E1635" s="2">
        <v>31961</v>
      </c>
      <c r="F1635">
        <f>HYPERLINK("https://www2.assemblee-nationale.fr/sycomore/fiche/(num_dept)/2428", "2428.0")</f>
        <v>0</v>
      </c>
      <c r="H1635">
        <f>HYPERLINK("https://www.wikidata.org/wiki/Q3261713", "Q3261713")</f>
        <v>0</v>
      </c>
    </row>
    <row r="1636" spans="1:8">
      <c r="A1636" t="s">
        <v>1642</v>
      </c>
      <c r="B1636" t="s">
        <v>6440</v>
      </c>
      <c r="C1636" t="s">
        <v>10064</v>
      </c>
      <c r="D1636" t="s">
        <v>12929</v>
      </c>
      <c r="E1636" s="2">
        <v>13376</v>
      </c>
      <c r="F1636">
        <f>HYPERLINK("https://www2.assemblee-nationale.fr/sycomore/fiche/(num_dept)/2430", "2430.0")</f>
        <v>0</v>
      </c>
      <c r="H1636">
        <f>HYPERLINK("https://www.wikidata.org/wiki/Q16025574", "Q16025574")</f>
        <v>0</v>
      </c>
    </row>
    <row r="1637" spans="1:8">
      <c r="A1637" t="s">
        <v>1643</v>
      </c>
      <c r="B1637" t="s">
        <v>6441</v>
      </c>
      <c r="C1637" t="s">
        <v>7754</v>
      </c>
      <c r="D1637" t="s">
        <v>12930</v>
      </c>
      <c r="E1637" s="2">
        <v>12889</v>
      </c>
      <c r="F1637">
        <f>HYPERLINK("https://www2.assemblee-nationale.fr/sycomore/fiche/(num_dept)/2429", "2429.0")</f>
        <v>0</v>
      </c>
      <c r="H1637">
        <f>HYPERLINK("https://www.wikidata.org/wiki/Q16025575", "Q16025575")</f>
        <v>0</v>
      </c>
    </row>
    <row r="1638" spans="1:8">
      <c r="A1638" t="s">
        <v>1644</v>
      </c>
      <c r="B1638" t="s">
        <v>6442</v>
      </c>
      <c r="C1638" t="s">
        <v>10219</v>
      </c>
      <c r="D1638" t="s">
        <v>12931</v>
      </c>
      <c r="E1638" s="2">
        <v>15315</v>
      </c>
      <c r="F1638">
        <f>HYPERLINK("https://www2.assemblee-nationale.fr/sycomore/fiche/(num_dept)/2431", "2431.0")</f>
        <v>0</v>
      </c>
      <c r="H1638">
        <f>HYPERLINK("https://www.wikidata.org/wiki/Q2857112", "Q2857112")</f>
        <v>0</v>
      </c>
    </row>
    <row r="1639" spans="1:8">
      <c r="A1639" t="s">
        <v>1645</v>
      </c>
      <c r="B1639" t="s">
        <v>6443</v>
      </c>
      <c r="C1639" t="s">
        <v>9314</v>
      </c>
      <c r="D1639" t="s">
        <v>12932</v>
      </c>
      <c r="E1639" t="s">
        <v>16028</v>
      </c>
      <c r="F1639">
        <f>HYPERLINK("https://www2.assemblee-nationale.fr/sycomore/fiche/(num_dept)/2432", "2432.0")</f>
        <v>0</v>
      </c>
      <c r="H1639">
        <f>HYPERLINK("https://www.wikidata.org/wiki/Q16025576", "Q16025576")</f>
        <v>0</v>
      </c>
    </row>
    <row r="1640" spans="1:8">
      <c r="A1640" t="s">
        <v>1646</v>
      </c>
      <c r="B1640" t="s">
        <v>6444</v>
      </c>
      <c r="C1640" t="s">
        <v>6686</v>
      </c>
      <c r="D1640" t="s">
        <v>12933</v>
      </c>
      <c r="E1640" s="2">
        <v>25670</v>
      </c>
      <c r="F1640">
        <f>HYPERLINK("https://www2.assemblee-nationale.fr/sycomore/fiche/(num_dept)/2433", "2433.0")</f>
        <v>0</v>
      </c>
      <c r="H1640">
        <f>HYPERLINK("https://www.wikidata.org/wiki/Q16025577", "Q16025577")</f>
        <v>0</v>
      </c>
    </row>
    <row r="1641" spans="1:8">
      <c r="A1641" t="s">
        <v>1647</v>
      </c>
      <c r="B1641" t="s">
        <v>6445</v>
      </c>
      <c r="C1641" t="s">
        <v>9548</v>
      </c>
      <c r="D1641" t="s">
        <v>12934</v>
      </c>
      <c r="E1641" s="2">
        <v>7742</v>
      </c>
      <c r="G1641">
        <f>HYPERLINK("https://www.senat.fr/senateur-3eme-republique/desgranges_claude1226r3.html", "desgranges_claude1226r3")</f>
        <v>0</v>
      </c>
      <c r="H1641">
        <f>HYPERLINK("https://www.wikidata.org/wiki/Q2977279", "Q2977279")</f>
        <v>0</v>
      </c>
    </row>
    <row r="1642" spans="1:8">
      <c r="A1642" t="s">
        <v>1648</v>
      </c>
      <c r="B1642" t="s">
        <v>6446</v>
      </c>
      <c r="C1642" t="s">
        <v>9511</v>
      </c>
      <c r="D1642" t="s">
        <v>12935</v>
      </c>
      <c r="E1642" s="2">
        <v>21468</v>
      </c>
      <c r="F1642">
        <f>HYPERLINK("https://www2.assemblee-nationale.fr/sycomore/fiche/(num_dept)/2434", "2434.0")</f>
        <v>0</v>
      </c>
      <c r="H1642">
        <f>HYPERLINK("https://www.wikidata.org/wiki/Q3167637", "Q3167637")</f>
        <v>0</v>
      </c>
    </row>
    <row r="1643" spans="1:8">
      <c r="A1643" t="s">
        <v>1649</v>
      </c>
      <c r="B1643" t="s">
        <v>6447</v>
      </c>
      <c r="C1643" t="s">
        <v>9902</v>
      </c>
      <c r="D1643" t="s">
        <v>12936</v>
      </c>
      <c r="E1643" s="2">
        <v>9899</v>
      </c>
      <c r="F1643">
        <f>HYPERLINK("https://www2.assemblee-nationale.fr/sycomore/fiche/(num_dept)/2437", "2437.0")</f>
        <v>0</v>
      </c>
      <c r="H1643">
        <f>HYPERLINK("https://www.wikidata.org/wiki/Q3008874", "Q3008874")</f>
        <v>0</v>
      </c>
    </row>
    <row r="1644" spans="1:8">
      <c r="A1644" t="s">
        <v>1650</v>
      </c>
      <c r="B1644" t="s">
        <v>6448</v>
      </c>
      <c r="C1644" t="s">
        <v>9524</v>
      </c>
      <c r="D1644" t="s">
        <v>12937</v>
      </c>
      <c r="E1644" s="2">
        <v>6691</v>
      </c>
      <c r="G1644">
        <f>HYPERLINK("https://www.senat.fr/senateur-3eme-republique/deshayes_de_marcere_emile1513r3.html", "deshayes_de_marcere_emile1513r3")</f>
        <v>0</v>
      </c>
      <c r="H1644">
        <f>HYPERLINK("https://www.wikidata.org/wiki/Q2793541", "Q2793541")</f>
        <v>0</v>
      </c>
    </row>
    <row r="1645" spans="1:8">
      <c r="A1645" t="s">
        <v>1651</v>
      </c>
      <c r="B1645" t="s">
        <v>6449</v>
      </c>
      <c r="C1645" t="s">
        <v>9356</v>
      </c>
      <c r="D1645" t="s">
        <v>12938</v>
      </c>
      <c r="E1645" s="2">
        <v>2572</v>
      </c>
      <c r="F1645">
        <f>HYPERLINK("https://www2.assemblee-nationale.fr/sycomore/fiche/(num_dept)/2439", "2439.0")</f>
        <v>0</v>
      </c>
      <c r="H1645">
        <f>HYPERLINK("https://www.wikidata.org/wiki/Q3407773", "Q3407773")</f>
        <v>0</v>
      </c>
    </row>
    <row r="1646" spans="1:8">
      <c r="A1646" t="s">
        <v>1652</v>
      </c>
      <c r="B1646" t="s">
        <v>6449</v>
      </c>
      <c r="C1646" t="s">
        <v>7754</v>
      </c>
      <c r="D1646" t="s">
        <v>12939</v>
      </c>
      <c r="E1646" s="2">
        <v>8072</v>
      </c>
      <c r="F1646">
        <f>HYPERLINK("https://www2.assemblee-nationale.fr/sycomore/fiche/(num_dept)/2438", "2438.0")</f>
        <v>0</v>
      </c>
      <c r="H1646">
        <f>HYPERLINK("https://www.wikidata.org/wiki/Q16025578", "Q16025578")</f>
        <v>0</v>
      </c>
    </row>
    <row r="1647" spans="1:8">
      <c r="A1647" t="s">
        <v>1653</v>
      </c>
      <c r="B1647" t="s">
        <v>6450</v>
      </c>
      <c r="C1647" t="s">
        <v>9332</v>
      </c>
      <c r="D1647" t="s">
        <v>12940</v>
      </c>
      <c r="E1647" t="s">
        <v>16029</v>
      </c>
      <c r="F1647">
        <f>HYPERLINK("https://www2.assemblee-nationale.fr/sycomore/fiche/(num_dept)/2442", "2442.0")</f>
        <v>0</v>
      </c>
      <c r="H1647">
        <f>HYPERLINK("https://www.wikidata.org/wiki/Q3056926", "Q3056926")</f>
        <v>0</v>
      </c>
    </row>
    <row r="1648" spans="1:8">
      <c r="A1648" t="s">
        <v>1654</v>
      </c>
      <c r="B1648" t="s">
        <v>6450</v>
      </c>
      <c r="C1648" t="s">
        <v>9471</v>
      </c>
      <c r="D1648" t="s">
        <v>12941</v>
      </c>
      <c r="E1648" s="2">
        <v>6289</v>
      </c>
      <c r="F1648">
        <f>HYPERLINK("https://www2.assemblee-nationale.fr/sycomore/fiche/(num_dept)/2443", "2443.0")</f>
        <v>0</v>
      </c>
      <c r="H1648">
        <f>HYPERLINK("https://www.wikidata.org/wiki/Q3188533", "Q3188533")</f>
        <v>0</v>
      </c>
    </row>
    <row r="1649" spans="1:8">
      <c r="A1649" t="s">
        <v>1655</v>
      </c>
      <c r="B1649" t="s">
        <v>6450</v>
      </c>
      <c r="C1649" t="s">
        <v>9355</v>
      </c>
      <c r="D1649" t="s">
        <v>12942</v>
      </c>
      <c r="E1649" s="2">
        <v>18664</v>
      </c>
      <c r="F1649">
        <f>HYPERLINK("https://www2.assemblee-nationale.fr/sycomore/fiche/(num_dept)/2441", "2441.0")</f>
        <v>0</v>
      </c>
      <c r="G1649">
        <f>HYPERLINK("https://www.senat.fr/senateur-3eme-republique/desjardins_charles0031r3.html", "desjardins_charles0031r3")</f>
        <v>0</v>
      </c>
      <c r="H1649">
        <f>HYPERLINK("https://www.wikidata.org/wiki/Q2958888", "Q2958888")</f>
        <v>0</v>
      </c>
    </row>
    <row r="1650" spans="1:8">
      <c r="A1650" t="s">
        <v>1656</v>
      </c>
      <c r="B1650" t="s">
        <v>6451</v>
      </c>
      <c r="C1650" t="s">
        <v>10220</v>
      </c>
      <c r="D1650" t="s">
        <v>12943</v>
      </c>
      <c r="E1650" t="s">
        <v>16030</v>
      </c>
      <c r="F1650">
        <f>HYPERLINK("https://www2.assemblee-nationale.fr/sycomore/fiche/(num_dept)/2444", "2444.0")</f>
        <v>0</v>
      </c>
      <c r="H1650">
        <f>HYPERLINK("https://www.wikidata.org/wiki/Q3045169", "Q3045169")</f>
        <v>0</v>
      </c>
    </row>
    <row r="1651" spans="1:8">
      <c r="A1651" t="s">
        <v>1657</v>
      </c>
      <c r="B1651" t="s">
        <v>6452</v>
      </c>
      <c r="C1651" t="s">
        <v>9373</v>
      </c>
      <c r="D1651" t="s">
        <v>12944</v>
      </c>
      <c r="E1651" t="s">
        <v>16031</v>
      </c>
      <c r="G1651">
        <f>HYPERLINK("https://www.senat.fr/senateur-3eme-republique/desmazes_joseph0696r3.html", "desmazes_joseph0696r3")</f>
        <v>0</v>
      </c>
      <c r="H1651">
        <f>HYPERLINK("https://www.wikidata.org/wiki/Q3184845", "Q3184845")</f>
        <v>0</v>
      </c>
    </row>
    <row r="1652" spans="1:8">
      <c r="A1652" t="s">
        <v>1658</v>
      </c>
      <c r="B1652" t="s">
        <v>6453</v>
      </c>
      <c r="C1652" t="s">
        <v>9634</v>
      </c>
      <c r="D1652" t="s">
        <v>12945</v>
      </c>
      <c r="E1652" s="2">
        <v>3657</v>
      </c>
      <c r="F1652">
        <f>HYPERLINK("https://www2.assemblee-nationale.fr/sycomore/fiche/(num_dept)/2445", "2445.0")</f>
        <v>0</v>
      </c>
      <c r="G1652">
        <f>HYPERLINK("https://www.senat.fr/senateur-3eme-republique/desmons_frederic0832r3.html", "desmons_frederic0832r3")</f>
        <v>0</v>
      </c>
      <c r="H1652">
        <f>HYPERLINK("https://www.wikidata.org/wiki/Q346783", "Q346783")</f>
        <v>0</v>
      </c>
    </row>
    <row r="1653" spans="1:8">
      <c r="A1653" t="s">
        <v>1659</v>
      </c>
      <c r="B1653" t="s">
        <v>6454</v>
      </c>
      <c r="C1653" t="s">
        <v>9355</v>
      </c>
      <c r="D1653" t="s">
        <v>12946</v>
      </c>
      <c r="E1653" s="2">
        <v>800</v>
      </c>
      <c r="F1653">
        <f>HYPERLINK("https://www2.assemblee-nationale.fr/sycomore/fiche/(num_dept)/8192", "8192.0")</f>
        <v>0</v>
      </c>
      <c r="H1653">
        <f>HYPERLINK("https://www.wikidata.org/wiki/Q16025580", "Q16025580")</f>
        <v>0</v>
      </c>
    </row>
    <row r="1654" spans="1:8">
      <c r="A1654" t="s">
        <v>1660</v>
      </c>
      <c r="B1654" t="s">
        <v>6455</v>
      </c>
      <c r="C1654" t="s">
        <v>10221</v>
      </c>
      <c r="D1654" t="s">
        <v>12947</v>
      </c>
      <c r="E1654" s="2">
        <v>20615</v>
      </c>
      <c r="F1654">
        <f>HYPERLINK("https://www2.assemblee-nationale.fr/sycomore/fiche/(num_dept)/2447", "2447.0")</f>
        <v>0</v>
      </c>
      <c r="H1654">
        <f>HYPERLINK("https://www.wikidata.org/wiki/Q16025581", "Q16025581")</f>
        <v>0</v>
      </c>
    </row>
    <row r="1655" spans="1:8">
      <c r="A1655" t="s">
        <v>1661</v>
      </c>
      <c r="B1655" t="s">
        <v>6456</v>
      </c>
      <c r="C1655" t="s">
        <v>6895</v>
      </c>
      <c r="D1655" t="s">
        <v>11911</v>
      </c>
      <c r="E1655" s="2">
        <v>8165</v>
      </c>
      <c r="F1655">
        <f>HYPERLINK("https://www2.assemblee-nationale.fr/sycomore/fiche/(num_dept)/2449", "2449.0")</f>
        <v>0</v>
      </c>
      <c r="H1655">
        <f>HYPERLINK("https://www.wikidata.org/wiki/Q16025582", "Q16025582")</f>
        <v>0</v>
      </c>
    </row>
    <row r="1656" spans="1:8">
      <c r="A1656" t="s">
        <v>1662</v>
      </c>
      <c r="B1656" t="s">
        <v>6457</v>
      </c>
      <c r="C1656" t="s">
        <v>7001</v>
      </c>
      <c r="D1656" t="s">
        <v>12948</v>
      </c>
      <c r="E1656" s="2">
        <v>8065</v>
      </c>
      <c r="F1656">
        <f>HYPERLINK("https://www2.assemblee-nationale.fr/sycomore/fiche/(num_dept)/2450", "2450.0")</f>
        <v>0</v>
      </c>
      <c r="H1656">
        <f>HYPERLINK("https://www.wikidata.org/wiki/Q3102597", "Q3102597")</f>
        <v>0</v>
      </c>
    </row>
    <row r="1657" spans="1:8">
      <c r="A1657" t="s">
        <v>1663</v>
      </c>
      <c r="B1657" t="s">
        <v>6458</v>
      </c>
      <c r="C1657" t="s">
        <v>9438</v>
      </c>
      <c r="D1657" t="s">
        <v>12949</v>
      </c>
      <c r="E1657" s="2">
        <v>20043</v>
      </c>
      <c r="F1657">
        <f>HYPERLINK("https://www2.assemblee-nationale.fr/sycomore/fiche/(num_dept)/2452", "2452.0")</f>
        <v>0</v>
      </c>
      <c r="H1657">
        <f>HYPERLINK("https://www.wikidata.org/wiki/Q16025583", "Q16025583")</f>
        <v>0</v>
      </c>
    </row>
    <row r="1658" spans="1:8">
      <c r="A1658" t="s">
        <v>1664</v>
      </c>
      <c r="B1658" t="s">
        <v>6459</v>
      </c>
      <c r="C1658" t="s">
        <v>5117</v>
      </c>
      <c r="D1658" t="s">
        <v>12950</v>
      </c>
      <c r="E1658" t="s">
        <v>16032</v>
      </c>
      <c r="F1658">
        <f>HYPERLINK("https://www2.assemblee-nationale.fr/sycomore/fiche/(num_dept)/2451", "2451.0")</f>
        <v>0</v>
      </c>
      <c r="H1658">
        <f>HYPERLINK("https://www.wikidata.org/wiki/Q13077239", "Q13077239")</f>
        <v>0</v>
      </c>
    </row>
    <row r="1659" spans="1:8">
      <c r="A1659" t="s">
        <v>1665</v>
      </c>
      <c r="B1659" t="s">
        <v>6460</v>
      </c>
      <c r="C1659" t="s">
        <v>10070</v>
      </c>
      <c r="D1659" t="s">
        <v>12951</v>
      </c>
      <c r="E1659" s="2">
        <v>26974</v>
      </c>
      <c r="G1659">
        <f>HYPERLINK("https://www.senat.fr/senateur-3eme-republique/despres_marcel1223r3.html", "despres_marcel1223r3")</f>
        <v>0</v>
      </c>
      <c r="H1659">
        <f>HYPERLINK("https://www.wikidata.org/wiki/Q3288890", "Q3288890")</f>
        <v>0</v>
      </c>
    </row>
    <row r="1660" spans="1:8">
      <c r="A1660" t="s">
        <v>1666</v>
      </c>
      <c r="B1660" t="s">
        <v>6461</v>
      </c>
      <c r="C1660" t="s">
        <v>9332</v>
      </c>
      <c r="D1660" t="s">
        <v>12952</v>
      </c>
      <c r="E1660" s="2">
        <v>18279</v>
      </c>
      <c r="F1660">
        <f>HYPERLINK("https://www2.assemblee-nationale.fr/sycomore/fiche/(num_dept)/2453", "2453.0")</f>
        <v>0</v>
      </c>
      <c r="H1660">
        <f>HYPERLINK("https://www.wikidata.org/wiki/Q16025584", "Q16025584")</f>
        <v>0</v>
      </c>
    </row>
    <row r="1661" spans="1:8">
      <c r="A1661" t="s">
        <v>1667</v>
      </c>
      <c r="B1661" t="s">
        <v>6462</v>
      </c>
      <c r="C1661" t="s">
        <v>9346</v>
      </c>
      <c r="D1661" t="s">
        <v>12399</v>
      </c>
      <c r="E1661" s="2">
        <v>22341</v>
      </c>
      <c r="F1661">
        <f>HYPERLINK("https://www2.assemblee-nationale.fr/sycomore/fiche/(num_dept)/2455", "2455.0")</f>
        <v>0</v>
      </c>
      <c r="H1661">
        <f>HYPERLINK("https://www.wikidata.org/wiki/Q16025586", "Q16025586")</f>
        <v>0</v>
      </c>
    </row>
    <row r="1662" spans="1:8">
      <c r="A1662" t="s">
        <v>1668</v>
      </c>
      <c r="B1662" t="s">
        <v>6463</v>
      </c>
      <c r="C1662" t="s">
        <v>10222</v>
      </c>
      <c r="D1662" t="s">
        <v>12953</v>
      </c>
      <c r="E1662" s="2">
        <v>3656</v>
      </c>
      <c r="F1662">
        <f>HYPERLINK("https://www2.assemblee-nationale.fr/sycomore/fiche/(num_dept)/8296", "8296.0")</f>
        <v>0</v>
      </c>
      <c r="H1662">
        <f>HYPERLINK("https://www.wikidata.org/wiki/Q16798452", "Q16798452")</f>
        <v>0</v>
      </c>
    </row>
    <row r="1663" spans="1:8">
      <c r="A1663" t="s">
        <v>1669</v>
      </c>
      <c r="B1663" t="s">
        <v>6464</v>
      </c>
      <c r="C1663" t="s">
        <v>9773</v>
      </c>
      <c r="D1663" t="s">
        <v>12184</v>
      </c>
      <c r="E1663" s="2">
        <v>9982</v>
      </c>
      <c r="F1663">
        <f>HYPERLINK("https://www2.assemblee-nationale.fr/sycomore/fiche/(num_dept)/2457", "2457.0")</f>
        <v>0</v>
      </c>
      <c r="H1663">
        <f>HYPERLINK("https://www.wikidata.org/wiki/Q2865038", "Q2865038")</f>
        <v>0</v>
      </c>
    </row>
    <row r="1664" spans="1:8">
      <c r="A1664" t="s">
        <v>1670</v>
      </c>
      <c r="B1664" t="s">
        <v>6465</v>
      </c>
      <c r="C1664" t="s">
        <v>10223</v>
      </c>
      <c r="D1664" t="s">
        <v>12954</v>
      </c>
      <c r="E1664" t="s">
        <v>16033</v>
      </c>
      <c r="F1664">
        <f>HYPERLINK("https://www2.assemblee-nationale.fr/sycomore/fiche/(num_dept)/7935", "7935.0")</f>
        <v>0</v>
      </c>
      <c r="H1664">
        <f>HYPERLINK("https://www.wikidata.org/wiki/Q16025900", "Q16025900")</f>
        <v>0</v>
      </c>
    </row>
    <row r="1665" spans="1:8">
      <c r="A1665" t="s">
        <v>1671</v>
      </c>
      <c r="B1665" t="s">
        <v>6466</v>
      </c>
      <c r="C1665" t="s">
        <v>9430</v>
      </c>
      <c r="D1665" t="s">
        <v>12955</v>
      </c>
      <c r="E1665" s="2">
        <v>11707</v>
      </c>
      <c r="G1665">
        <f>HYPERLINK("https://www.senat.fr/senateur-3eme-republique/destieux_junca_paul0156r3.html", "destieux_junca_paul0156r3")</f>
        <v>0</v>
      </c>
      <c r="H1665">
        <f>HYPERLINK("https://www.wikidata.org/wiki/Q3371060", "Q3371060")</f>
        <v>0</v>
      </c>
    </row>
    <row r="1666" spans="1:8">
      <c r="A1666" t="s">
        <v>1672</v>
      </c>
      <c r="B1666" t="s">
        <v>6467</v>
      </c>
      <c r="C1666" t="s">
        <v>9352</v>
      </c>
      <c r="D1666" t="s">
        <v>12956</v>
      </c>
      <c r="E1666" s="2">
        <v>926</v>
      </c>
      <c r="G1666">
        <f>HYPERLINK("https://www.senat.fr/senateur-3eme-republique/dethil_camille1725r3.html", "dethil_camille1725r3")</f>
        <v>0</v>
      </c>
      <c r="H1666">
        <f>HYPERLINK("https://www.wikidata.org/wiki/Q1029162", "Q1029162")</f>
        <v>0</v>
      </c>
    </row>
    <row r="1667" spans="1:8">
      <c r="A1667" t="s">
        <v>1673</v>
      </c>
      <c r="B1667" t="s">
        <v>6468</v>
      </c>
      <c r="C1667" t="s">
        <v>10224</v>
      </c>
      <c r="D1667" t="s">
        <v>12957</v>
      </c>
      <c r="E1667" t="s">
        <v>16034</v>
      </c>
      <c r="F1667">
        <f>HYPERLINK("https://www2.assemblee-nationale.fr/sycomore/fiche/(num_dept)/8259", "8259.0")</f>
        <v>0</v>
      </c>
      <c r="H1667">
        <f>HYPERLINK("https://www.wikidata.org/wiki/Q16025589", "Q16025589")</f>
        <v>0</v>
      </c>
    </row>
    <row r="1668" spans="1:8">
      <c r="A1668" t="s">
        <v>1674</v>
      </c>
      <c r="B1668" t="s">
        <v>6469</v>
      </c>
      <c r="C1668" t="s">
        <v>9429</v>
      </c>
      <c r="D1668" t="s">
        <v>12958</v>
      </c>
      <c r="E1668" t="s">
        <v>16035</v>
      </c>
      <c r="F1668">
        <f>HYPERLINK("https://www2.assemblee-nationale.fr/sycomore/fiche/(num_dept)/2463", "2463.0")</f>
        <v>0</v>
      </c>
      <c r="G1668">
        <f>HYPERLINK("https://www.senat.fr/senateur-3eme-republique/dethou_alexandre1848r3.html", "dethou_alexandre1848r3")</f>
        <v>0</v>
      </c>
      <c r="H1668">
        <f>HYPERLINK("https://www.wikidata.org/wiki/Q2833598", "Q2833598")</f>
        <v>0</v>
      </c>
    </row>
    <row r="1669" spans="1:8">
      <c r="A1669" t="s">
        <v>1675</v>
      </c>
      <c r="B1669" t="s">
        <v>6470</v>
      </c>
      <c r="C1669" t="s">
        <v>7942</v>
      </c>
      <c r="D1669" t="s">
        <v>12959</v>
      </c>
      <c r="E1669" s="2">
        <v>24567</v>
      </c>
      <c r="F1669">
        <f>HYPERLINK("https://www2.assemblee-nationale.fr/sycomore/fiche/(num_dept)/2467", "2467.0")</f>
        <v>0</v>
      </c>
      <c r="H1669">
        <f>HYPERLINK("https://www.wikidata.org/wiki/Q3300686", "Q3300686")</f>
        <v>0</v>
      </c>
    </row>
    <row r="1670" spans="1:8">
      <c r="A1670" t="s">
        <v>1676</v>
      </c>
      <c r="B1670" t="s">
        <v>6470</v>
      </c>
      <c r="C1670" t="s">
        <v>9430</v>
      </c>
      <c r="D1670" t="s">
        <v>12960</v>
      </c>
      <c r="E1670" s="2">
        <v>20597</v>
      </c>
      <c r="F1670">
        <f>HYPERLINK("https://www2.assemblee-nationale.fr/sycomore/fiche/(num_dept)/2468", "2468.0")</f>
        <v>0</v>
      </c>
      <c r="H1670">
        <f>HYPERLINK("https://www.wikidata.org/wiki/Q16025591", "Q16025591")</f>
        <v>0</v>
      </c>
    </row>
    <row r="1671" spans="1:8">
      <c r="A1671" t="s">
        <v>1677</v>
      </c>
      <c r="B1671" t="s">
        <v>6471</v>
      </c>
      <c r="C1671" t="s">
        <v>10225</v>
      </c>
      <c r="D1671" t="s">
        <v>12961</v>
      </c>
      <c r="E1671" t="s">
        <v>15886</v>
      </c>
      <c r="F1671">
        <f>HYPERLINK("https://www2.assemblee-nationale.fr/sycomore/fiche/(num_dept)/7936", "7936.0")</f>
        <v>0</v>
      </c>
      <c r="H1671">
        <f>HYPERLINK("https://www.wikidata.org/wiki/Q11984859", "Q11984859")</f>
        <v>0</v>
      </c>
    </row>
    <row r="1672" spans="1:8">
      <c r="A1672" t="s">
        <v>1678</v>
      </c>
      <c r="B1672" t="s">
        <v>6472</v>
      </c>
      <c r="C1672" t="s">
        <v>10154</v>
      </c>
      <c r="D1672" t="s">
        <v>12962</v>
      </c>
      <c r="E1672" s="2">
        <v>23190</v>
      </c>
      <c r="F1672">
        <f>HYPERLINK("https://www2.assemblee-nationale.fr/sycomore/fiche/(num_dept)/2472", "2472.0")</f>
        <v>0</v>
      </c>
      <c r="H1672">
        <f>HYPERLINK("https://www.wikidata.org/wiki/Q3496662", "Q3496662")</f>
        <v>0</v>
      </c>
    </row>
    <row r="1673" spans="1:8">
      <c r="A1673" t="s">
        <v>1679</v>
      </c>
      <c r="B1673" t="s">
        <v>6473</v>
      </c>
      <c r="C1673" t="s">
        <v>10226</v>
      </c>
      <c r="D1673" t="s">
        <v>12963</v>
      </c>
      <c r="E1673" t="s">
        <v>16036</v>
      </c>
      <c r="F1673">
        <f>HYPERLINK("https://www2.assemblee-nationale.fr/sycomore/fiche/(num_dept)/8208", "8208.0")</f>
        <v>0</v>
      </c>
      <c r="G1673">
        <f>HYPERLINK("https://www.senat.fr/senateur-3eme-republique/devaux_louis0955r3.html", "devaux_louis0955r3")</f>
        <v>0</v>
      </c>
      <c r="H1673">
        <f>HYPERLINK("https://www.wikidata.org/wiki/Q3261723", "Q3261723")</f>
        <v>0</v>
      </c>
    </row>
    <row r="1674" spans="1:8">
      <c r="A1674" t="s">
        <v>1680</v>
      </c>
      <c r="B1674" t="s">
        <v>6474</v>
      </c>
      <c r="C1674" t="s">
        <v>10227</v>
      </c>
      <c r="D1674" t="s">
        <v>12964</v>
      </c>
      <c r="E1674" s="2">
        <v>3642</v>
      </c>
      <c r="F1674">
        <f>HYPERLINK("https://www2.assemblee-nationale.fr/sycomore/fiche/(num_dept)/8181", "8181.0")</f>
        <v>0</v>
      </c>
      <c r="G1674">
        <f>HYPERLINK("https://www.senat.fr/senateur-3eme-republique/develle_edmond1012r3.html", "develle_edmond1012r3")</f>
        <v>0</v>
      </c>
      <c r="H1674">
        <f>HYPERLINK("https://www.wikidata.org/wiki/Q3047803", "Q3047803")</f>
        <v>0</v>
      </c>
    </row>
    <row r="1675" spans="1:8">
      <c r="A1675" t="s">
        <v>1681</v>
      </c>
      <c r="B1675" t="s">
        <v>6474</v>
      </c>
      <c r="C1675" t="s">
        <v>9400</v>
      </c>
      <c r="D1675" t="s">
        <v>12965</v>
      </c>
      <c r="E1675" s="2">
        <v>7243</v>
      </c>
      <c r="F1675">
        <f>HYPERLINK("https://www2.assemblee-nationale.fr/sycomore/fiche/(num_dept)/2474", "2474.0")</f>
        <v>0</v>
      </c>
      <c r="H1675">
        <f>HYPERLINK("https://www.wikidata.org/wiki/Q939193", "Q939193")</f>
        <v>0</v>
      </c>
    </row>
    <row r="1676" spans="1:8">
      <c r="A1676" t="s">
        <v>1682</v>
      </c>
      <c r="B1676" t="s">
        <v>6475</v>
      </c>
      <c r="C1676" t="s">
        <v>9471</v>
      </c>
      <c r="D1676" t="s">
        <v>12966</v>
      </c>
      <c r="E1676" s="2">
        <v>7243</v>
      </c>
      <c r="G1676">
        <f>HYPERLINK("https://www.senat.fr/senateur-3eme-republique/develle_jules1013r3.html", "develle_jules1013r3")</f>
        <v>0</v>
      </c>
      <c r="H1676">
        <f>HYPERLINK("https://www.wikidata.org/wiki/Q939193", "Q939193")</f>
        <v>0</v>
      </c>
    </row>
    <row r="1677" spans="1:8">
      <c r="A1677" t="s">
        <v>1683</v>
      </c>
      <c r="B1677" t="s">
        <v>6476</v>
      </c>
      <c r="C1677" t="s">
        <v>9430</v>
      </c>
      <c r="D1677" t="s">
        <v>12967</v>
      </c>
      <c r="E1677" t="s">
        <v>16037</v>
      </c>
      <c r="G1677">
        <f>HYPERLINK("https://www.senat.fr/senateur-3eme-republique/deves_paul0369r3.html", "deves_paul0369r3")</f>
        <v>0</v>
      </c>
      <c r="H1677">
        <f>HYPERLINK("https://www.wikidata.org/wiki/Q572361", "Q572361")</f>
        <v>0</v>
      </c>
    </row>
    <row r="1678" spans="1:8">
      <c r="A1678" t="s">
        <v>1684</v>
      </c>
      <c r="B1678" t="s">
        <v>6477</v>
      </c>
      <c r="C1678" t="s">
        <v>9524</v>
      </c>
      <c r="D1678" t="s">
        <v>12968</v>
      </c>
      <c r="E1678" s="2">
        <v>4764</v>
      </c>
      <c r="F1678">
        <f>HYPERLINK("https://www2.assemblee-nationale.fr/sycomore/fiche/(num_dept)/8073", "8073.0")</f>
        <v>0</v>
      </c>
      <c r="H1678">
        <f>HYPERLINK("https://www.wikidata.org/wiki/Q16025593", "Q16025593")</f>
        <v>0</v>
      </c>
    </row>
    <row r="1679" spans="1:8">
      <c r="A1679" t="s">
        <v>1685</v>
      </c>
      <c r="B1679" t="s">
        <v>6478</v>
      </c>
      <c r="C1679" t="s">
        <v>10228</v>
      </c>
      <c r="D1679" t="s">
        <v>12969</v>
      </c>
      <c r="E1679" t="s">
        <v>16038</v>
      </c>
      <c r="F1679">
        <f>HYPERLINK("https://www2.assemblee-nationale.fr/sycomore/fiche/(num_dept)/2479", "2479.0")</f>
        <v>0</v>
      </c>
      <c r="H1679">
        <f>HYPERLINK("https://www.wikidata.org/wiki/Q8306562", "Q8306562")</f>
        <v>0</v>
      </c>
    </row>
    <row r="1680" spans="1:8">
      <c r="A1680" t="s">
        <v>1686</v>
      </c>
      <c r="B1680" t="s">
        <v>6478</v>
      </c>
      <c r="C1680" t="s">
        <v>6895</v>
      </c>
      <c r="D1680" t="s">
        <v>12970</v>
      </c>
      <c r="E1680" s="2">
        <v>14669</v>
      </c>
      <c r="F1680">
        <f>HYPERLINK("https://www2.assemblee-nationale.fr/sycomore/fiche/(num_dept)/2480", "2480.0")</f>
        <v>0</v>
      </c>
      <c r="H1680">
        <f>HYPERLINK("https://www.wikidata.org/wiki/Q1489558", "Q1489558")</f>
        <v>0</v>
      </c>
    </row>
    <row r="1681" spans="1:8">
      <c r="A1681" t="s">
        <v>1687</v>
      </c>
      <c r="B1681" t="s">
        <v>6479</v>
      </c>
      <c r="C1681" t="s">
        <v>10229</v>
      </c>
      <c r="D1681" t="s">
        <v>12819</v>
      </c>
      <c r="E1681" s="2">
        <v>6252</v>
      </c>
      <c r="F1681">
        <f>HYPERLINK("https://www2.assemblee-nationale.fr/sycomore/fiche/(num_dept)/2482", "2482.0")</f>
        <v>0</v>
      </c>
      <c r="G1681">
        <f>HYPERLINK("https://www.senat.fr/senateur-3eme-republique/devins_louis0521r3.html", "devins_louis0521r3")</f>
        <v>0</v>
      </c>
      <c r="H1681">
        <f>HYPERLINK("https://www.wikidata.org/wiki/Q3261724", "Q3261724")</f>
        <v>0</v>
      </c>
    </row>
    <row r="1682" spans="1:8">
      <c r="A1682" t="s">
        <v>1688</v>
      </c>
      <c r="B1682" t="s">
        <v>6480</v>
      </c>
      <c r="C1682" t="s">
        <v>10230</v>
      </c>
      <c r="D1682" t="s">
        <v>12967</v>
      </c>
      <c r="E1682" t="s">
        <v>16037</v>
      </c>
      <c r="F1682">
        <f>HYPERLINK("https://www2.assemblee-nationale.fr/sycomore/fiche/(num_dept)/8141", "8141.0")</f>
        <v>0</v>
      </c>
      <c r="H1682">
        <f>HYPERLINK("https://www.wikidata.org/wiki/Q572361", "Q572361")</f>
        <v>0</v>
      </c>
    </row>
    <row r="1683" spans="1:8">
      <c r="A1683" t="s">
        <v>1689</v>
      </c>
      <c r="B1683" t="s">
        <v>6481</v>
      </c>
      <c r="C1683" t="s">
        <v>9953</v>
      </c>
      <c r="D1683" t="s">
        <v>12971</v>
      </c>
      <c r="E1683" s="2">
        <v>14821</v>
      </c>
      <c r="F1683">
        <f>HYPERLINK("https://www2.assemblee-nationale.fr/sycomore/fiche/(num_dept)/2477", "2477.0")</f>
        <v>0</v>
      </c>
      <c r="H1683">
        <f>HYPERLINK("https://www.wikidata.org/wiki/Q3293786", "Q3293786")</f>
        <v>0</v>
      </c>
    </row>
    <row r="1684" spans="1:8">
      <c r="A1684" t="s">
        <v>1690</v>
      </c>
      <c r="B1684" t="s">
        <v>6482</v>
      </c>
      <c r="C1684" t="s">
        <v>10231</v>
      </c>
      <c r="D1684" s="2">
        <v>1735</v>
      </c>
      <c r="E1684" s="2">
        <v>27091</v>
      </c>
      <c r="F1684">
        <f>HYPERLINK("https://www2.assemblee-nationale.fr/sycomore/fiche/(num_dept)/2487", "2487.0")</f>
        <v>0</v>
      </c>
      <c r="H1684">
        <f>HYPERLINK("https://www.wikidata.org/wiki/Q3503513", "Q3503513")</f>
        <v>0</v>
      </c>
    </row>
    <row r="1685" spans="1:8">
      <c r="A1685" t="s">
        <v>1691</v>
      </c>
      <c r="B1685" t="s">
        <v>6483</v>
      </c>
      <c r="C1685" t="s">
        <v>8384</v>
      </c>
      <c r="D1685" t="s">
        <v>12972</v>
      </c>
      <c r="E1685" s="2">
        <v>21128</v>
      </c>
      <c r="F1685">
        <f>HYPERLINK("https://www2.assemblee-nationale.fr/sycomore/fiche/(num_dept)/2488", "2488.0")</f>
        <v>0</v>
      </c>
      <c r="H1685">
        <f>HYPERLINK("https://www.wikidata.org/wiki/Q16025596", "Q16025596")</f>
        <v>0</v>
      </c>
    </row>
    <row r="1686" spans="1:8">
      <c r="A1686" t="s">
        <v>1692</v>
      </c>
      <c r="B1686" t="s">
        <v>6484</v>
      </c>
      <c r="C1686" t="s">
        <v>8384</v>
      </c>
      <c r="D1686" t="s">
        <v>12973</v>
      </c>
      <c r="E1686" s="2">
        <v>27652</v>
      </c>
      <c r="F1686">
        <f>HYPERLINK("https://www2.assemblee-nationale.fr/sycomore/fiche/(num_dept)/2490", "2490.0")</f>
        <v>0</v>
      </c>
      <c r="H1686">
        <f>HYPERLINK("https://www.wikidata.org/wiki/Q3384896", "Q3384896")</f>
        <v>0</v>
      </c>
    </row>
    <row r="1687" spans="1:8">
      <c r="A1687" t="s">
        <v>1693</v>
      </c>
      <c r="B1687" t="s">
        <v>6485</v>
      </c>
      <c r="C1687" t="s">
        <v>10064</v>
      </c>
      <c r="D1687" t="s">
        <v>12974</v>
      </c>
      <c r="E1687" s="2">
        <v>13662</v>
      </c>
      <c r="G1687">
        <f>HYPERLINK("https://www.senat.fr/senateur-3eme-republique/dherbecourt_amedee1418r3.html", "dherbecourt_amedee1418r3")</f>
        <v>0</v>
      </c>
      <c r="H1687">
        <f>HYPERLINK("https://www.wikidata.org/wiki/Q2844641", "Q2844641")</f>
        <v>0</v>
      </c>
    </row>
    <row r="1688" spans="1:8">
      <c r="A1688" t="s">
        <v>1694</v>
      </c>
      <c r="B1688" t="s">
        <v>6486</v>
      </c>
      <c r="C1688" t="s">
        <v>10232</v>
      </c>
      <c r="D1688" t="s">
        <v>12975</v>
      </c>
      <c r="E1688" s="2">
        <v>12550</v>
      </c>
      <c r="F1688">
        <f>HYPERLINK("https://www2.assemblee-nationale.fr/sycomore/fiche/(num_dept)/2496", "2496.0")</f>
        <v>0</v>
      </c>
      <c r="H1688">
        <f>HYPERLINK("https://www.wikidata.org/wiki/Q725749", "Q725749")</f>
        <v>0</v>
      </c>
    </row>
    <row r="1689" spans="1:8">
      <c r="A1689" t="s">
        <v>1695</v>
      </c>
      <c r="B1689" t="s">
        <v>6487</v>
      </c>
      <c r="C1689" t="s">
        <v>7754</v>
      </c>
      <c r="D1689" t="s">
        <v>12976</v>
      </c>
      <c r="G1689">
        <f>HYPERLINK("https://www.senat.fr/senateur-3eme-republique/diancourt_louis0634r3.html", "diancourt_louis0634r3")</f>
        <v>0</v>
      </c>
      <c r="H1689">
        <f>HYPERLINK("https://www.wikidata.org/wiki/Q3557266", "Q3557266")</f>
        <v>0</v>
      </c>
    </row>
    <row r="1690" spans="1:8">
      <c r="A1690" t="s">
        <v>1696</v>
      </c>
      <c r="B1690" t="s">
        <v>6488</v>
      </c>
      <c r="C1690" t="s">
        <v>9337</v>
      </c>
      <c r="D1690" t="s">
        <v>12977</v>
      </c>
      <c r="E1690" s="2">
        <v>6650</v>
      </c>
      <c r="G1690">
        <f>HYPERLINK("https://www.senat.fr/senateur-3eme-republique/dide_auguste0831r3.html", "dide_auguste0831r3")</f>
        <v>0</v>
      </c>
      <c r="H1690">
        <f>HYPERLINK("https://www.wikidata.org/wiki/Q766368", "Q766368")</f>
        <v>0</v>
      </c>
    </row>
    <row r="1691" spans="1:8">
      <c r="A1691" t="s">
        <v>1697</v>
      </c>
      <c r="B1691" t="s">
        <v>6489</v>
      </c>
      <c r="C1691" t="s">
        <v>7233</v>
      </c>
      <c r="D1691" t="s">
        <v>12978</v>
      </c>
      <c r="E1691" t="s">
        <v>15687</v>
      </c>
      <c r="G1691">
        <f>HYPERLINK("https://www.senat.fr/senateur-3eme-republique/didier_henry1463r3.html", "didier_henry1463r3")</f>
        <v>0</v>
      </c>
      <c r="H1691">
        <f>HYPERLINK("https://www.wikidata.org/wiki/Q3132555", "Q3132555")</f>
        <v>0</v>
      </c>
    </row>
    <row r="1692" spans="1:8">
      <c r="A1692" t="s">
        <v>1698</v>
      </c>
      <c r="B1692" t="s">
        <v>6490</v>
      </c>
      <c r="C1692" t="s">
        <v>9564</v>
      </c>
      <c r="D1692" t="s">
        <v>12979</v>
      </c>
      <c r="E1692" s="2">
        <v>13680</v>
      </c>
      <c r="F1692">
        <f>HYPERLINK("https://www2.assemblee-nationale.fr/sycomore/fiche/(num_dept)/2505", "2505.0")</f>
        <v>0</v>
      </c>
      <c r="H1692">
        <f>HYPERLINK("https://www.wikidata.org/wiki/Q2835070", "Q2835070")</f>
        <v>0</v>
      </c>
    </row>
    <row r="1693" spans="1:8">
      <c r="A1693" t="s">
        <v>1699</v>
      </c>
      <c r="B1693" t="s">
        <v>6491</v>
      </c>
      <c r="C1693" t="s">
        <v>8006</v>
      </c>
      <c r="D1693" t="s">
        <v>11641</v>
      </c>
      <c r="E1693" s="2">
        <v>13258</v>
      </c>
      <c r="G1693">
        <f>HYPERLINK("https://www.senat.fr/senateur-3eme-republique/diebolt_weber_michel1104r3.html", "diebolt_weber_michel1104r3")</f>
        <v>0</v>
      </c>
      <c r="H1693">
        <f>HYPERLINK("https://www.wikidata.org/wiki/Q3309479", "Q3309479")</f>
        <v>0</v>
      </c>
    </row>
    <row r="1694" spans="1:8">
      <c r="A1694" t="s">
        <v>1700</v>
      </c>
      <c r="B1694" t="s">
        <v>6492</v>
      </c>
      <c r="C1694" t="s">
        <v>7754</v>
      </c>
      <c r="D1694" t="s">
        <v>12586</v>
      </c>
      <c r="E1694" s="2">
        <v>14479</v>
      </c>
      <c r="F1694">
        <f>HYPERLINK("https://www2.assemblee-nationale.fr/sycomore/fiche/(num_dept)/2507", "2507.0")</f>
        <v>0</v>
      </c>
      <c r="H1694">
        <f>HYPERLINK("https://www.wikidata.org/wiki/Q3261730", "Q3261730")</f>
        <v>0</v>
      </c>
    </row>
    <row r="1695" spans="1:8">
      <c r="A1695" t="s">
        <v>1701</v>
      </c>
      <c r="B1695" t="s">
        <v>6493</v>
      </c>
      <c r="C1695" t="s">
        <v>10233</v>
      </c>
      <c r="D1695" t="s">
        <v>12980</v>
      </c>
      <c r="E1695" s="2">
        <v>30157</v>
      </c>
      <c r="F1695">
        <f>HYPERLINK("https://www2.assemblee-nationale.fr/sycomore/fiche/(num_dept)/2510", "2510.0")</f>
        <v>0</v>
      </c>
      <c r="H1695">
        <f>HYPERLINK("https://www.wikidata.org/wiki/Q3263438", "Q3263438")</f>
        <v>0</v>
      </c>
    </row>
    <row r="1696" spans="1:8">
      <c r="A1696" t="s">
        <v>1702</v>
      </c>
      <c r="B1696" t="s">
        <v>6494</v>
      </c>
      <c r="C1696" t="s">
        <v>9355</v>
      </c>
      <c r="D1696" t="s">
        <v>12981</v>
      </c>
      <c r="E1696" t="s">
        <v>16039</v>
      </c>
      <c r="G1696">
        <f>HYPERLINK("https://www.senat.fr/senateur-3eme-republique/dietz_monnin_charles1464r3.html", "dietz_monnin_charles1464r3")</f>
        <v>0</v>
      </c>
      <c r="H1696">
        <f>HYPERLINK("https://www.wikidata.org/wiki/Q2398644", "Q2398644")</f>
        <v>0</v>
      </c>
    </row>
    <row r="1697" spans="1:8">
      <c r="A1697" t="s">
        <v>1703</v>
      </c>
      <c r="B1697" t="s">
        <v>6495</v>
      </c>
      <c r="C1697" t="s">
        <v>9332</v>
      </c>
      <c r="D1697" t="s">
        <v>12982</v>
      </c>
      <c r="F1697">
        <f>HYPERLINK("https://www2.assemblee-nationale.fr/sycomore/fiche/(num_dept)/8270", "8270.0")</f>
        <v>0</v>
      </c>
      <c r="H1697">
        <f>HYPERLINK("https://www.wikidata.org/wiki/Q16025598", "Q16025598")</f>
        <v>0</v>
      </c>
    </row>
    <row r="1698" spans="1:8">
      <c r="A1698" t="s">
        <v>1704</v>
      </c>
      <c r="B1698" t="s">
        <v>6496</v>
      </c>
      <c r="C1698" t="s">
        <v>6864</v>
      </c>
      <c r="D1698" t="s">
        <v>12983</v>
      </c>
      <c r="E1698" t="s">
        <v>13482</v>
      </c>
      <c r="G1698">
        <f>HYPERLINK("https://www.senat.fr/senateur-3eme-republique/dieude_defly_francois0072r3.html", "dieude_defly_francois0072r3")</f>
        <v>0</v>
      </c>
      <c r="H1698">
        <f>HYPERLINK("https://www.wikidata.org/wiki/Q2958914", "Q2958914")</f>
        <v>0</v>
      </c>
    </row>
    <row r="1699" spans="1:8">
      <c r="A1699" t="s">
        <v>1705</v>
      </c>
      <c r="B1699" t="s">
        <v>6497</v>
      </c>
      <c r="C1699" t="s">
        <v>8384</v>
      </c>
      <c r="D1699" t="s">
        <v>12984</v>
      </c>
      <c r="E1699" s="2">
        <v>26958</v>
      </c>
      <c r="F1699">
        <f>HYPERLINK("https://www2.assemblee-nationale.fr/sycomore/fiche/(num_dept)/2514", "2514.0")</f>
        <v>0</v>
      </c>
      <c r="H1699">
        <f>HYPERLINK("https://www.wikidata.org/wiki/Q3384763", "Q3384763")</f>
        <v>0</v>
      </c>
    </row>
    <row r="1700" spans="1:8">
      <c r="A1700" t="s">
        <v>1706</v>
      </c>
      <c r="B1700" t="s">
        <v>6498</v>
      </c>
      <c r="C1700" t="s">
        <v>9773</v>
      </c>
      <c r="D1700" t="s">
        <v>12985</v>
      </c>
      <c r="E1700" s="2">
        <v>8281</v>
      </c>
      <c r="F1700">
        <f>HYPERLINK("https://www2.assemblee-nationale.fr/sycomore/fiche/(num_dept)/2517", "2517.0")</f>
        <v>0</v>
      </c>
      <c r="H1700">
        <f>HYPERLINK("https://www.wikidata.org/wiki/Q2865079", "Q2865079")</f>
        <v>0</v>
      </c>
    </row>
    <row r="1701" spans="1:8">
      <c r="A1701" t="s">
        <v>1707</v>
      </c>
      <c r="B1701" t="s">
        <v>6499</v>
      </c>
      <c r="C1701" t="s">
        <v>10234</v>
      </c>
      <c r="D1701" t="s">
        <v>12986</v>
      </c>
      <c r="E1701" t="s">
        <v>16040</v>
      </c>
      <c r="F1701">
        <f>HYPERLINK("https://www2.assemblee-nationale.fr/sycomore/fiche/(num_dept)/2519", "2519.0")</f>
        <v>0</v>
      </c>
      <c r="H1701">
        <f>HYPERLINK("https://www.wikidata.org/wiki/Q16025599", "Q16025599")</f>
        <v>0</v>
      </c>
    </row>
    <row r="1702" spans="1:8">
      <c r="A1702" t="s">
        <v>1708</v>
      </c>
      <c r="B1702" t="s">
        <v>6500</v>
      </c>
      <c r="C1702" t="s">
        <v>10235</v>
      </c>
      <c r="D1702" t="s">
        <v>12987</v>
      </c>
      <c r="E1702" s="2">
        <v>17033</v>
      </c>
      <c r="F1702">
        <f>HYPERLINK("https://www2.assemblee-nationale.fr/sycomore/fiche/(num_dept)/2521", "2521.0")</f>
        <v>0</v>
      </c>
      <c r="H1702">
        <f>HYPERLINK("https://www.wikidata.org/wiki/Q971548", "Q971548")</f>
        <v>0</v>
      </c>
    </row>
    <row r="1703" spans="1:8">
      <c r="A1703" t="s">
        <v>1709</v>
      </c>
      <c r="B1703" t="s">
        <v>6501</v>
      </c>
      <c r="C1703" t="s">
        <v>9377</v>
      </c>
      <c r="D1703" t="s">
        <v>12988</v>
      </c>
      <c r="E1703" s="2">
        <v>11829</v>
      </c>
      <c r="F1703">
        <f>HYPERLINK("https://www2.assemblee-nationale.fr/sycomore/fiche/(num_dept)/2522", "2522.0")</f>
        <v>0</v>
      </c>
      <c r="H1703">
        <f>HYPERLINK("https://www.wikidata.org/wiki/Q3265475", "Q3265475")</f>
        <v>0</v>
      </c>
    </row>
    <row r="1704" spans="1:8">
      <c r="A1704" t="s">
        <v>1710</v>
      </c>
      <c r="B1704" t="s">
        <v>6502</v>
      </c>
      <c r="C1704" t="s">
        <v>10236</v>
      </c>
      <c r="D1704" t="s">
        <v>12989</v>
      </c>
      <c r="E1704" s="2">
        <v>15194</v>
      </c>
      <c r="F1704">
        <f>HYPERLINK("https://www2.assemblee-nationale.fr/sycomore/fiche/(num_dept)/2523", "2523.0")</f>
        <v>0</v>
      </c>
      <c r="H1704">
        <f>HYPERLINK("https://www.wikidata.org/wiki/Q3094487", "Q3094487")</f>
        <v>0</v>
      </c>
    </row>
    <row r="1705" spans="1:8">
      <c r="A1705" t="s">
        <v>1711</v>
      </c>
      <c r="B1705" t="s">
        <v>6503</v>
      </c>
      <c r="C1705" t="s">
        <v>10237</v>
      </c>
      <c r="D1705" t="s">
        <v>12990</v>
      </c>
      <c r="E1705" s="2">
        <v>5470</v>
      </c>
      <c r="F1705">
        <f>HYPERLINK("https://www2.assemblee-nationale.fr/sycomore/fiche/(num_dept)/2524", "2524.0")</f>
        <v>0</v>
      </c>
      <c r="H1705">
        <f>HYPERLINK("https://www.wikidata.org/wiki/Q16025600", "Q16025600")</f>
        <v>0</v>
      </c>
    </row>
    <row r="1706" spans="1:8">
      <c r="A1706" t="s">
        <v>1712</v>
      </c>
      <c r="B1706" t="s">
        <v>6504</v>
      </c>
      <c r="C1706" t="s">
        <v>7342</v>
      </c>
      <c r="D1706" t="s">
        <v>12991</v>
      </c>
      <c r="E1706" s="2">
        <v>12861</v>
      </c>
      <c r="F1706">
        <f>HYPERLINK("https://www2.assemblee-nationale.fr/sycomore/fiche/(num_dept)/2528", "2528.0")</f>
        <v>0</v>
      </c>
      <c r="H1706">
        <f>HYPERLINK("https://www.wikidata.org/wiki/Q16025601", "Q16025601")</f>
        <v>0</v>
      </c>
    </row>
    <row r="1707" spans="1:8">
      <c r="A1707" t="s">
        <v>1713</v>
      </c>
      <c r="B1707" t="s">
        <v>6505</v>
      </c>
      <c r="C1707" t="s">
        <v>9438</v>
      </c>
      <c r="D1707" t="s">
        <v>12992</v>
      </c>
      <c r="E1707" s="2">
        <v>24647</v>
      </c>
      <c r="F1707">
        <f>HYPERLINK("https://www2.assemblee-nationale.fr/sycomore/fiche/(num_dept)/2529", "2529.0")</f>
        <v>0</v>
      </c>
      <c r="H1707">
        <f>HYPERLINK("https://www.wikidata.org/wiki/Q16025603", "Q16025603")</f>
        <v>0</v>
      </c>
    </row>
    <row r="1708" spans="1:8">
      <c r="A1708" t="s">
        <v>1714</v>
      </c>
      <c r="B1708" t="s">
        <v>6506</v>
      </c>
      <c r="C1708" t="s">
        <v>9324</v>
      </c>
      <c r="D1708" t="s">
        <v>12993</v>
      </c>
      <c r="E1708" s="2">
        <v>19209</v>
      </c>
      <c r="F1708">
        <f>HYPERLINK("https://www2.assemblee-nationale.fr/sycomore/fiche/(num_dept)/2532", "2532.0")</f>
        <v>0</v>
      </c>
      <c r="H1708">
        <f>HYPERLINK("https://www.wikidata.org/wiki/Q15971902", "Q15971902")</f>
        <v>0</v>
      </c>
    </row>
    <row r="1709" spans="1:8">
      <c r="A1709" t="s">
        <v>1715</v>
      </c>
      <c r="B1709" t="s">
        <v>6507</v>
      </c>
      <c r="C1709" t="s">
        <v>7314</v>
      </c>
      <c r="D1709" t="s">
        <v>12994</v>
      </c>
      <c r="E1709" s="2">
        <v>21618</v>
      </c>
      <c r="F1709">
        <f>HYPERLINK("https://www2.assemblee-nationale.fr/sycomore/fiche/(num_dept)/2537", "2537.0")</f>
        <v>0</v>
      </c>
      <c r="H1709">
        <f>HYPERLINK("https://www.wikidata.org/wiki/Q8343163", "Q8343163")</f>
        <v>0</v>
      </c>
    </row>
    <row r="1710" spans="1:8">
      <c r="A1710" t="s">
        <v>1716</v>
      </c>
      <c r="B1710" t="s">
        <v>6508</v>
      </c>
      <c r="C1710" t="s">
        <v>10238</v>
      </c>
      <c r="D1710" t="s">
        <v>12995</v>
      </c>
      <c r="E1710" s="2">
        <v>13898</v>
      </c>
      <c r="F1710">
        <f>HYPERLINK("https://www2.assemblee-nationale.fr/sycomore/fiche/(num_dept)/2533", "2533.0")</f>
        <v>0</v>
      </c>
      <c r="H1710">
        <f>HYPERLINK("https://www.wikidata.org/wiki/Q3158123", "Q3158123")</f>
        <v>0</v>
      </c>
    </row>
    <row r="1711" spans="1:8">
      <c r="A1711" t="s">
        <v>1717</v>
      </c>
      <c r="B1711" t="s">
        <v>6509</v>
      </c>
      <c r="C1711" t="s">
        <v>9320</v>
      </c>
      <c r="D1711" t="s">
        <v>12996</v>
      </c>
      <c r="E1711" s="2">
        <v>28272</v>
      </c>
      <c r="F1711">
        <f>HYPERLINK("https://www2.assemblee-nationale.fr/sycomore/fiche/(num_dept)/2543", "2543.0")</f>
        <v>0</v>
      </c>
      <c r="H1711">
        <f>HYPERLINK("https://www.wikidata.org/wiki/Q3426105", "Q3426105")</f>
        <v>0</v>
      </c>
    </row>
    <row r="1712" spans="1:8">
      <c r="A1712" t="s">
        <v>1718</v>
      </c>
      <c r="B1712" t="s">
        <v>6510</v>
      </c>
      <c r="C1712" t="s">
        <v>9564</v>
      </c>
      <c r="D1712" t="s">
        <v>12997</v>
      </c>
      <c r="E1712" s="2">
        <v>12204</v>
      </c>
      <c r="G1712">
        <f>HYPERLINK("https://www.senat.fr/senateur-3eme-republique/donadei_alfred0125r3.html", "donadei_alfred0125r3")</f>
        <v>0</v>
      </c>
      <c r="H1712">
        <f>HYPERLINK("https://www.wikidata.org/wiki/Q2835074", "Q2835074")</f>
        <v>0</v>
      </c>
    </row>
    <row r="1713" spans="1:8">
      <c r="A1713" t="s">
        <v>1719</v>
      </c>
      <c r="B1713" t="s">
        <v>6511</v>
      </c>
      <c r="C1713" t="s">
        <v>9564</v>
      </c>
      <c r="D1713" t="s">
        <v>12997</v>
      </c>
      <c r="E1713" s="2">
        <v>12204</v>
      </c>
      <c r="F1713">
        <f>HYPERLINK("https://www2.assemblee-nationale.fr/sycomore/fiche/(num_dept)/2546", "2546.0")</f>
        <v>0</v>
      </c>
      <c r="H1713">
        <f>HYPERLINK("https://www.wikidata.org/wiki/Q2835074", "Q2835074")</f>
        <v>0</v>
      </c>
    </row>
    <row r="1714" spans="1:8">
      <c r="A1714" t="s">
        <v>1720</v>
      </c>
      <c r="B1714" t="s">
        <v>6512</v>
      </c>
      <c r="C1714" t="s">
        <v>10239</v>
      </c>
      <c r="D1714" t="s">
        <v>12998</v>
      </c>
      <c r="E1714" t="s">
        <v>16041</v>
      </c>
      <c r="F1714">
        <f>HYPERLINK("https://www2.assemblee-nationale.fr/sycomore/fiche/(num_dept)/8289", "8289.0")</f>
        <v>0</v>
      </c>
      <c r="G1714">
        <f>HYPERLINK("https://www.senat.fr/senateur-3eme-republique/donnet_jules1789r3.html", "donnet_jules1789r3")</f>
        <v>0</v>
      </c>
      <c r="H1714">
        <f>HYPERLINK("https://www.wikidata.org/wiki/Q3188540", "Q3188540")</f>
        <v>0</v>
      </c>
    </row>
    <row r="1715" spans="1:8">
      <c r="A1715" t="s">
        <v>1721</v>
      </c>
      <c r="B1715" t="s">
        <v>6513</v>
      </c>
      <c r="C1715" t="s">
        <v>9429</v>
      </c>
      <c r="D1715" t="s">
        <v>12999</v>
      </c>
      <c r="G1715">
        <f>HYPERLINK("https://www.senat.fr/senateur-3eme-republique/donnot_alexandre0869r3.html", "donnot_alexandre0869r3")</f>
        <v>0</v>
      </c>
      <c r="H1715">
        <f>HYPERLINK("https://www.wikidata.org/wiki/Q2833609", "Q2833609")</f>
        <v>0</v>
      </c>
    </row>
    <row r="1716" spans="1:8">
      <c r="A1716" t="s">
        <v>1722</v>
      </c>
      <c r="B1716" t="s">
        <v>6514</v>
      </c>
      <c r="C1716" t="s">
        <v>10070</v>
      </c>
      <c r="D1716" t="s">
        <v>13000</v>
      </c>
      <c r="E1716" s="2">
        <v>15935</v>
      </c>
      <c r="G1716">
        <f>HYPERLINK("https://www.senat.fr/senateur-3eme-republique/donon_marcel0508r3.html", "donon_marcel0508r3")</f>
        <v>0</v>
      </c>
      <c r="H1716">
        <f>HYPERLINK("https://www.wikidata.org/wiki/Q3288903", "Q3288903")</f>
        <v>0</v>
      </c>
    </row>
    <row r="1717" spans="1:8">
      <c r="A1717" t="s">
        <v>1723</v>
      </c>
      <c r="B1717" t="s">
        <v>6515</v>
      </c>
      <c r="C1717" t="s">
        <v>10079</v>
      </c>
      <c r="D1717" t="s">
        <v>13001</v>
      </c>
      <c r="E1717" s="2">
        <v>895</v>
      </c>
      <c r="F1717">
        <f>HYPERLINK("https://www2.assemblee-nationale.fr/sycomore/fiche/(num_dept)/2554", "2554.0")</f>
        <v>0</v>
      </c>
      <c r="H1717">
        <f>HYPERLINK("https://www.wikidata.org/wiki/Q16025605", "Q16025605")</f>
        <v>0</v>
      </c>
    </row>
    <row r="1718" spans="1:8">
      <c r="A1718" t="s">
        <v>1724</v>
      </c>
      <c r="B1718" t="s">
        <v>6515</v>
      </c>
      <c r="C1718" t="s">
        <v>10240</v>
      </c>
      <c r="D1718" t="s">
        <v>13002</v>
      </c>
      <c r="E1718" s="2">
        <v>1187</v>
      </c>
      <c r="F1718">
        <f>HYPERLINK("https://www2.assemblee-nationale.fr/sycomore/fiche/(num_dept)/2555", "2555.0")</f>
        <v>0</v>
      </c>
      <c r="H1718">
        <f>HYPERLINK("https://www.wikidata.org/wiki/Q16025606", "Q16025606")</f>
        <v>0</v>
      </c>
    </row>
    <row r="1719" spans="1:8">
      <c r="A1719" t="s">
        <v>1725</v>
      </c>
      <c r="B1719" t="s">
        <v>6516</v>
      </c>
      <c r="C1719" t="s">
        <v>7314</v>
      </c>
      <c r="D1719" t="s">
        <v>13003</v>
      </c>
      <c r="E1719" s="2">
        <v>16491</v>
      </c>
      <c r="F1719">
        <f>HYPERLINK("https://www2.assemblee-nationale.fr/sycomore/fiche/(num_dept)/2556", "2556.0")</f>
        <v>0</v>
      </c>
      <c r="H1719">
        <f>HYPERLINK("https://www.wikidata.org/wiki/Q724729", "Q724729")</f>
        <v>0</v>
      </c>
    </row>
    <row r="1720" spans="1:8">
      <c r="A1720" t="s">
        <v>1726</v>
      </c>
      <c r="B1720" t="s">
        <v>6517</v>
      </c>
      <c r="C1720" t="s">
        <v>7001</v>
      </c>
      <c r="D1720" t="s">
        <v>13004</v>
      </c>
      <c r="E1720" s="2">
        <v>18520</v>
      </c>
      <c r="F1720">
        <f>HYPERLINK("https://www2.assemblee-nationale.fr/sycomore/fiche/(num_dept)/2557", "2557.0")</f>
        <v>0</v>
      </c>
      <c r="H1720">
        <f>HYPERLINK("https://www.wikidata.org/wiki/Q3102621", "Q3102621")</f>
        <v>0</v>
      </c>
    </row>
    <row r="1721" spans="1:8">
      <c r="A1721" t="s">
        <v>1727</v>
      </c>
      <c r="B1721" t="s">
        <v>6518</v>
      </c>
      <c r="C1721" t="s">
        <v>7942</v>
      </c>
      <c r="D1721" t="s">
        <v>13005</v>
      </c>
      <c r="E1721" s="2">
        <v>17488</v>
      </c>
      <c r="F1721">
        <f>HYPERLINK("https://www2.assemblee-nationale.fr/sycomore/fiche/(num_dept)/2558", "2558.0")</f>
        <v>0</v>
      </c>
      <c r="G1721">
        <f>HYPERLINK("https://www.senat.fr/senateur-3eme-republique/dormann_maurice1649r3.html", "dormann_maurice1649r3")</f>
        <v>0</v>
      </c>
      <c r="H1721">
        <f>HYPERLINK("https://www.wikidata.org/wiki/Q3300704", "Q3300704")</f>
        <v>0</v>
      </c>
    </row>
    <row r="1722" spans="1:8">
      <c r="A1722" t="s">
        <v>1728</v>
      </c>
      <c r="B1722" t="s">
        <v>6519</v>
      </c>
      <c r="C1722" t="s">
        <v>5058</v>
      </c>
      <c r="D1722" t="s">
        <v>13006</v>
      </c>
      <c r="E1722" s="2">
        <v>15275</v>
      </c>
      <c r="F1722">
        <f>HYPERLINK("https://www2.assemblee-nationale.fr/sycomore/fiche/(num_dept)/2559", "2559.0")</f>
        <v>0</v>
      </c>
      <c r="H1722">
        <f>HYPERLINK("https://www.wikidata.org/wiki/Q16025607", "Q16025607")</f>
        <v>0</v>
      </c>
    </row>
    <row r="1723" spans="1:8">
      <c r="A1723" t="s">
        <v>1729</v>
      </c>
      <c r="B1723" t="s">
        <v>6519</v>
      </c>
      <c r="C1723" t="s">
        <v>10241</v>
      </c>
      <c r="D1723" t="s">
        <v>12541</v>
      </c>
      <c r="E1723" s="2">
        <v>25638</v>
      </c>
      <c r="F1723">
        <f>HYPERLINK("https://www2.assemblee-nationale.fr/sycomore/fiche/(num_dept)/2561", "2561.0")</f>
        <v>0</v>
      </c>
      <c r="H1723">
        <f>HYPERLINK("https://www.wikidata.org/wiki/Q13077241", "Q13077241")</f>
        <v>0</v>
      </c>
    </row>
    <row r="1724" spans="1:8">
      <c r="A1724" t="s">
        <v>1730</v>
      </c>
      <c r="B1724" t="s">
        <v>6519</v>
      </c>
      <c r="C1724" t="s">
        <v>10242</v>
      </c>
      <c r="D1724" t="s">
        <v>13007</v>
      </c>
      <c r="E1724" s="2">
        <v>15183</v>
      </c>
      <c r="F1724">
        <f>HYPERLINK("https://www2.assemblee-nationale.fr/sycomore/fiche/(num_dept)/2560", "2560.0")</f>
        <v>0</v>
      </c>
      <c r="G1724">
        <f>HYPERLINK("https://www.senat.fr/senateur-3eme-republique/dormoy_marx0045r3.html", "dormoy_marx0045r3")</f>
        <v>0</v>
      </c>
      <c r="H1724">
        <f>HYPERLINK("https://www.wikidata.org/wiki/Q255618", "Q255618")</f>
        <v>0</v>
      </c>
    </row>
    <row r="1725" spans="1:8">
      <c r="A1725" t="s">
        <v>1731</v>
      </c>
      <c r="B1725" t="s">
        <v>6520</v>
      </c>
      <c r="C1725" t="s">
        <v>10243</v>
      </c>
      <c r="D1725" t="s">
        <v>13008</v>
      </c>
      <c r="E1725" s="2">
        <v>24063</v>
      </c>
      <c r="F1725">
        <f>HYPERLINK("https://www2.assemblee-nationale.fr/sycomore/fiche/(num_dept)/7567", "7567.0")</f>
        <v>0</v>
      </c>
      <c r="H1725">
        <f>HYPERLINK("https://www.wikidata.org/wiki/Q8335882", "Q8335882")</f>
        <v>0</v>
      </c>
    </row>
    <row r="1726" spans="1:8">
      <c r="A1726" t="s">
        <v>1732</v>
      </c>
      <c r="B1726" t="s">
        <v>6521</v>
      </c>
      <c r="C1726" t="s">
        <v>9430</v>
      </c>
      <c r="D1726" t="s">
        <v>13009</v>
      </c>
      <c r="E1726" s="2">
        <v>11816</v>
      </c>
      <c r="F1726">
        <f>HYPERLINK("https://www2.assemblee-nationale.fr/sycomore/fiche/(num_dept)/2569", "2569.0")</f>
        <v>0</v>
      </c>
      <c r="G1726">
        <f>HYPERLINK("https://www.senat.fr/senateur-3eme-republique/doumer_paul0473r3.html", "doumer_paul0473r3")</f>
        <v>0</v>
      </c>
      <c r="H1726">
        <f>HYPERLINK("https://www.wikidata.org/wiki/Q12680", "Q12680")</f>
        <v>0</v>
      </c>
    </row>
    <row r="1727" spans="1:8">
      <c r="A1727" t="s">
        <v>1733</v>
      </c>
      <c r="B1727" t="s">
        <v>6522</v>
      </c>
      <c r="C1727" t="s">
        <v>9512</v>
      </c>
      <c r="D1727" t="s">
        <v>13010</v>
      </c>
      <c r="E1727" s="2">
        <v>13684</v>
      </c>
      <c r="F1727">
        <f>HYPERLINK("https://www2.assemblee-nationale.fr/sycomore/fiche/(num_dept)/2570", "2570.0")</f>
        <v>0</v>
      </c>
      <c r="G1727">
        <f>HYPERLINK("https://www.senat.fr/senateur-3eme-republique/doumergue_gaston0833r3.html", "doumergue_gaston0833r3")</f>
        <v>0</v>
      </c>
      <c r="H1727">
        <f>HYPERLINK("https://www.wikidata.org/wiki/Q296064", "Q296064")</f>
        <v>0</v>
      </c>
    </row>
    <row r="1728" spans="1:8">
      <c r="A1728" t="s">
        <v>1734</v>
      </c>
      <c r="B1728" t="s">
        <v>6523</v>
      </c>
      <c r="C1728" t="s">
        <v>9503</v>
      </c>
      <c r="D1728" t="s">
        <v>13011</v>
      </c>
      <c r="E1728" s="2">
        <v>16578</v>
      </c>
      <c r="F1728">
        <f>HYPERLINK("https://www2.assemblee-nationale.fr/sycomore/fiche/(num_dept)/2571", "2571.0")</f>
        <v>0</v>
      </c>
      <c r="H1728">
        <f>HYPERLINK("https://www.wikidata.org/wiki/Q3121168", "Q3121168")</f>
        <v>0</v>
      </c>
    </row>
    <row r="1729" spans="1:8">
      <c r="A1729" t="s">
        <v>1735</v>
      </c>
      <c r="B1729" t="s">
        <v>6524</v>
      </c>
      <c r="C1729" t="s">
        <v>10244</v>
      </c>
      <c r="D1729" t="s">
        <v>13012</v>
      </c>
      <c r="E1729" s="2">
        <v>16323</v>
      </c>
      <c r="F1729">
        <f>HYPERLINK("https://www2.assemblee-nationale.fr/sycomore/fiche/(num_dept)/2572", "2572.0")</f>
        <v>0</v>
      </c>
      <c r="H1729">
        <f>HYPERLINK("https://www.wikidata.org/wiki/Q16025609", "Q16025609")</f>
        <v>0</v>
      </c>
    </row>
    <row r="1730" spans="1:8">
      <c r="A1730" t="s">
        <v>1736</v>
      </c>
      <c r="B1730" t="s">
        <v>6525</v>
      </c>
      <c r="C1730" t="s">
        <v>10245</v>
      </c>
      <c r="D1730" t="s">
        <v>13013</v>
      </c>
      <c r="E1730" t="s">
        <v>14052</v>
      </c>
      <c r="F1730">
        <f>HYPERLINK("https://www2.assemblee-nationale.fr/sycomore/fiche/(num_dept)/2577", "2577.0")</f>
        <v>0</v>
      </c>
      <c r="H1730">
        <f>HYPERLINK("https://www.wikidata.org/wiki/Q5624188", "Q5624188")</f>
        <v>0</v>
      </c>
    </row>
    <row r="1731" spans="1:8">
      <c r="A1731" t="s">
        <v>1737</v>
      </c>
      <c r="B1731" t="s">
        <v>6526</v>
      </c>
      <c r="C1731" t="s">
        <v>10246</v>
      </c>
      <c r="D1731" t="s">
        <v>13014</v>
      </c>
      <c r="E1731" s="2">
        <v>12822</v>
      </c>
      <c r="F1731">
        <f>HYPERLINK("https://www2.assemblee-nationale.fr/sycomore/fiche/(num_dept)/2585", "2585.0")</f>
        <v>0</v>
      </c>
      <c r="H1731">
        <f>HYPERLINK("https://www.wikidata.org/wiki/Q16025610", "Q16025610")</f>
        <v>0</v>
      </c>
    </row>
    <row r="1732" spans="1:8">
      <c r="A1732" t="s">
        <v>1738</v>
      </c>
      <c r="B1732" t="s">
        <v>6527</v>
      </c>
      <c r="C1732" t="s">
        <v>10247</v>
      </c>
      <c r="D1732" t="s">
        <v>13015</v>
      </c>
      <c r="E1732" t="s">
        <v>16042</v>
      </c>
      <c r="F1732">
        <f>HYPERLINK("https://www2.assemblee-nationale.fr/sycomore/fiche/(num_dept)/8121", "8121.0")</f>
        <v>0</v>
      </c>
      <c r="H1732">
        <f>HYPERLINK("https://www.wikidata.org/wiki/Q16025612", "Q16025612")</f>
        <v>0</v>
      </c>
    </row>
    <row r="1733" spans="1:8">
      <c r="A1733" t="s">
        <v>1739</v>
      </c>
      <c r="B1733" t="s">
        <v>6528</v>
      </c>
      <c r="C1733" t="s">
        <v>8384</v>
      </c>
      <c r="D1733" t="s">
        <v>13015</v>
      </c>
      <c r="E1733" t="s">
        <v>15836</v>
      </c>
      <c r="G1733">
        <f>HYPERLINK("https://www.senat.fr/senateur-3eme-republique/dreux_pierre0766r3.html", "dreux_pierre0766r3")</f>
        <v>0</v>
      </c>
      <c r="H1733">
        <f>HYPERLINK("https://www.wikidata.org/wiki/Q16025612", "Q16025612")</f>
        <v>0</v>
      </c>
    </row>
    <row r="1734" spans="1:8">
      <c r="A1734" t="s">
        <v>1740</v>
      </c>
      <c r="B1734" t="s">
        <v>6529</v>
      </c>
      <c r="C1734" t="s">
        <v>9414</v>
      </c>
      <c r="D1734" t="s">
        <v>13016</v>
      </c>
      <c r="E1734" s="2">
        <v>5675</v>
      </c>
      <c r="F1734">
        <f>HYPERLINK("https://www2.assemblee-nationale.fr/sycomore/fiche/(num_dept)/8264", "8264.0")</f>
        <v>0</v>
      </c>
      <c r="G1734">
        <f>HYPERLINK("https://www.senat.fr/senateur-3eme-republique/dreyfus_ferdinand1631r3.html", "dreyfus_ferdinand1631r3")</f>
        <v>0</v>
      </c>
      <c r="H1734">
        <f>HYPERLINK("https://www.wikidata.org/wiki/Q2934821", "Q2934821")</f>
        <v>0</v>
      </c>
    </row>
    <row r="1735" spans="1:8">
      <c r="A1735" t="s">
        <v>1741</v>
      </c>
      <c r="B1735" t="s">
        <v>6529</v>
      </c>
      <c r="C1735" t="s">
        <v>9352</v>
      </c>
      <c r="D1735" t="s">
        <v>13017</v>
      </c>
      <c r="E1735" s="2">
        <v>1927</v>
      </c>
      <c r="F1735">
        <f>HYPERLINK("https://www2.assemblee-nationale.fr/sycomore/fiche/(num_dept)/2587", "2587.0")</f>
        <v>0</v>
      </c>
      <c r="H1735">
        <f>HYPERLINK("https://www.wikidata.org/wiki/Q3068492", "Q3068492")</f>
        <v>0</v>
      </c>
    </row>
    <row r="1736" spans="1:8">
      <c r="A1736" t="s">
        <v>1742</v>
      </c>
      <c r="B1736" t="s">
        <v>6530</v>
      </c>
      <c r="C1736" t="s">
        <v>9512</v>
      </c>
      <c r="D1736" t="s">
        <v>13018</v>
      </c>
      <c r="E1736" s="2">
        <v>6950</v>
      </c>
      <c r="F1736">
        <f>HYPERLINK("https://www2.assemblee-nationale.fr/sycomore/fiche/(num_dept)/2591", "2591.0")</f>
        <v>0</v>
      </c>
      <c r="H1736">
        <f>HYPERLINK("https://www.wikidata.org/wiki/Q16025613", "Q16025613")</f>
        <v>0</v>
      </c>
    </row>
    <row r="1737" spans="1:8">
      <c r="A1737" t="s">
        <v>1743</v>
      </c>
      <c r="B1737" t="s">
        <v>6531</v>
      </c>
      <c r="C1737" t="s">
        <v>9524</v>
      </c>
      <c r="D1737" t="s">
        <v>13019</v>
      </c>
      <c r="E1737" s="2">
        <v>5897</v>
      </c>
      <c r="F1737">
        <f>HYPERLINK("https://www2.assemblee-nationale.fr/sycomore/fiche/(num_dept)/2592", "2592.0")</f>
        <v>0</v>
      </c>
      <c r="H1737">
        <f>HYPERLINK("https://www.wikidata.org/wiki/Q275053", "Q275053")</f>
        <v>0</v>
      </c>
    </row>
    <row r="1738" spans="1:8">
      <c r="A1738" t="s">
        <v>1744</v>
      </c>
      <c r="B1738" t="s">
        <v>6532</v>
      </c>
      <c r="C1738" t="s">
        <v>9533</v>
      </c>
      <c r="D1738" t="s">
        <v>12165</v>
      </c>
      <c r="E1738" s="2">
        <v>16959</v>
      </c>
      <c r="F1738">
        <f>HYPERLINK("https://www2.assemblee-nationale.fr/sycomore/fiche/(num_dept)/2593", "2593.0")</f>
        <v>0</v>
      </c>
      <c r="H1738">
        <f>HYPERLINK("https://www.wikidata.org/wiki/Q2853879", "Q2853879")</f>
        <v>0</v>
      </c>
    </row>
    <row r="1739" spans="1:8">
      <c r="A1739" t="s">
        <v>1745</v>
      </c>
      <c r="B1739" t="s">
        <v>6533</v>
      </c>
      <c r="C1739" t="s">
        <v>9533</v>
      </c>
      <c r="D1739" t="s">
        <v>13020</v>
      </c>
      <c r="E1739" s="2">
        <v>16959</v>
      </c>
      <c r="G1739">
        <f>HYPERLINK("https://www.senat.fr/senateur-3eme-republique/drivet_antoine1373r3.html", "drivet_antoine1373r3")</f>
        <v>0</v>
      </c>
      <c r="H1739">
        <f>HYPERLINK("https://www.wikidata.org/wiki/Q2853879", "Q2853879")</f>
        <v>0</v>
      </c>
    </row>
    <row r="1740" spans="1:8">
      <c r="A1740" t="s">
        <v>1746</v>
      </c>
      <c r="B1740" t="s">
        <v>6534</v>
      </c>
      <c r="C1740" t="s">
        <v>9503</v>
      </c>
      <c r="D1740" t="s">
        <v>13021</v>
      </c>
      <c r="E1740" s="2">
        <v>11187</v>
      </c>
      <c r="F1740">
        <f>HYPERLINK("https://www2.assemblee-nationale.fr/sycomore/fiche/(num_dept)/2595", "2595.0")</f>
        <v>0</v>
      </c>
      <c r="G1740">
        <f>HYPERLINK("https://www.senat.fr/senateur-3eme-republique/dron_gustave1388r3.html", "dron_gustave1388r3")</f>
        <v>0</v>
      </c>
      <c r="H1740">
        <f>HYPERLINK("https://www.wikidata.org/wiki/Q3121171", "Q3121171")</f>
        <v>0</v>
      </c>
    </row>
    <row r="1741" spans="1:8">
      <c r="A1741" t="s">
        <v>1747</v>
      </c>
      <c r="B1741" t="s">
        <v>6535</v>
      </c>
      <c r="C1741" t="s">
        <v>10211</v>
      </c>
      <c r="D1741" t="s">
        <v>13022</v>
      </c>
      <c r="E1741" s="2">
        <v>1753</v>
      </c>
      <c r="G1741">
        <f>HYPERLINK("https://www.senat.fr/senateur-3eme-republique/drouhet_theodore0848r3.html", "drouhet_theodore0848r3")</f>
        <v>0</v>
      </c>
      <c r="H1741">
        <f>HYPERLINK("https://www.wikidata.org/wiki/Q3526415", "Q3526415")</f>
        <v>0</v>
      </c>
    </row>
    <row r="1742" spans="1:8">
      <c r="A1742" t="s">
        <v>1748</v>
      </c>
      <c r="B1742" t="s">
        <v>6536</v>
      </c>
      <c r="C1742" t="s">
        <v>8384</v>
      </c>
      <c r="D1742" t="s">
        <v>13023</v>
      </c>
      <c r="E1742" t="s">
        <v>16043</v>
      </c>
      <c r="G1742">
        <f>HYPERLINK("https://www.senat.fr/senateur-3eme-republique/drouillard_pierre0805r3.html", "drouillard_pierre0805r3")</f>
        <v>0</v>
      </c>
      <c r="H1742">
        <f>HYPERLINK("https://www.wikidata.org/wiki/Q3384804", "Q3384804")</f>
        <v>0</v>
      </c>
    </row>
    <row r="1743" spans="1:8">
      <c r="A1743" t="s">
        <v>1749</v>
      </c>
      <c r="B1743" t="s">
        <v>6537</v>
      </c>
      <c r="C1743" t="s">
        <v>7942</v>
      </c>
      <c r="D1743" t="s">
        <v>13024</v>
      </c>
      <c r="E1743" s="2">
        <v>21705</v>
      </c>
      <c r="F1743">
        <f>HYPERLINK("https://www2.assemblee-nationale.fr/sycomore/fiche/(num_dept)/2599", "2599.0")</f>
        <v>0</v>
      </c>
      <c r="H1743">
        <f>HYPERLINK("https://www.wikidata.org/wiki/Q3300712", "Q3300712")</f>
        <v>0</v>
      </c>
    </row>
    <row r="1744" spans="1:8">
      <c r="A1744" t="s">
        <v>1750</v>
      </c>
      <c r="B1744" t="s">
        <v>6538</v>
      </c>
      <c r="C1744" t="s">
        <v>10248</v>
      </c>
      <c r="D1744" t="s">
        <v>13025</v>
      </c>
      <c r="E1744" t="s">
        <v>16044</v>
      </c>
      <c r="F1744">
        <f>HYPERLINK("https://www2.assemblee-nationale.fr/sycomore/fiche/(num_dept)/2601", "2601.0")</f>
        <v>0</v>
      </c>
      <c r="G1744">
        <f>HYPERLINK("https://www.senat.fr/senateur-3eme-republique/drumel_etienne0172r3.html", "drumel_etienne0172r3")</f>
        <v>0</v>
      </c>
      <c r="H1744">
        <f>HYPERLINK("https://www.wikidata.org/wiki/Q3592144", "Q3592144")</f>
        <v>0</v>
      </c>
    </row>
    <row r="1745" spans="1:8">
      <c r="A1745" t="s">
        <v>1751</v>
      </c>
      <c r="B1745" t="s">
        <v>6539</v>
      </c>
      <c r="C1745" t="s">
        <v>9346</v>
      </c>
      <c r="D1745" t="s">
        <v>13026</v>
      </c>
      <c r="E1745" s="2">
        <v>6245</v>
      </c>
      <c r="F1745">
        <f>HYPERLINK("https://www2.assemblee-nationale.fr/sycomore/fiche/(num_dept)/2602", "2602.0")</f>
        <v>0</v>
      </c>
      <c r="H1745">
        <f>HYPERLINK("https://www.wikidata.org/wiki/Q274297", "Q274297")</f>
        <v>0</v>
      </c>
    </row>
    <row r="1746" spans="1:8">
      <c r="A1746" t="s">
        <v>1752</v>
      </c>
      <c r="B1746" t="s">
        <v>6540</v>
      </c>
      <c r="C1746" t="s">
        <v>10249</v>
      </c>
      <c r="D1746" t="s">
        <v>13027</v>
      </c>
      <c r="E1746" t="s">
        <v>16045</v>
      </c>
      <c r="F1746">
        <f>HYPERLINK("https://www2.assemblee-nationale.fr/sycomore/fiche/(num_dept)/8279", "8279.0")</f>
        <v>0</v>
      </c>
      <c r="H1746">
        <f>HYPERLINK("https://www.wikidata.org/wiki/Q16025611", "Q16025611")</f>
        <v>0</v>
      </c>
    </row>
    <row r="1747" spans="1:8">
      <c r="A1747" t="s">
        <v>1753</v>
      </c>
      <c r="B1747" t="s">
        <v>6541</v>
      </c>
      <c r="C1747" t="s">
        <v>10250</v>
      </c>
      <c r="D1747" t="s">
        <v>13028</v>
      </c>
      <c r="E1747" t="s">
        <v>16046</v>
      </c>
      <c r="F1747">
        <f>HYPERLINK("https://www2.assemblee-nationale.fr/sycomore/fiche/(num_dept)/8137", "8137.0")</f>
        <v>0</v>
      </c>
      <c r="H1747">
        <f>HYPERLINK("https://www.wikidata.org/wiki/Q5624537", "Q5624537")</f>
        <v>0</v>
      </c>
    </row>
    <row r="1748" spans="1:8">
      <c r="A1748" t="s">
        <v>1754</v>
      </c>
      <c r="B1748" t="s">
        <v>6542</v>
      </c>
      <c r="C1748" t="s">
        <v>9355</v>
      </c>
      <c r="D1748" t="s">
        <v>13029</v>
      </c>
      <c r="E1748" t="s">
        <v>16047</v>
      </c>
      <c r="G1748">
        <f>HYPERLINK("https://www.senat.fr/senateur-3eme-republique/du_campe_de_rosamel_charles0953r3.html", "du_campe_de_rosamel_charles0953r3")</f>
        <v>0</v>
      </c>
      <c r="H1748">
        <f>HYPERLINK("https://www.wikidata.org/wiki/Q2960734", "Q2960734")</f>
        <v>0</v>
      </c>
    </row>
    <row r="1749" spans="1:8">
      <c r="A1749" t="s">
        <v>1755</v>
      </c>
      <c r="B1749" t="s">
        <v>6543</v>
      </c>
      <c r="C1749" t="s">
        <v>10251</v>
      </c>
      <c r="D1749" t="s">
        <v>13030</v>
      </c>
      <c r="E1749" t="s">
        <v>16048</v>
      </c>
      <c r="G1749">
        <f>HYPERLINK("https://www.senat.fr/senateur-3eme-republique/du_chaffault_cesaire0064r3.html", "du_chaffault_cesaire0064r3")</f>
        <v>0</v>
      </c>
      <c r="H1749">
        <f>HYPERLINK("https://www.wikidata.org/wiki/Q3010382", "Q3010382")</f>
        <v>0</v>
      </c>
    </row>
    <row r="1750" spans="1:8">
      <c r="A1750" t="s">
        <v>1756</v>
      </c>
      <c r="B1750" t="s">
        <v>6544</v>
      </c>
      <c r="C1750" t="s">
        <v>9482</v>
      </c>
      <c r="D1750" t="s">
        <v>12961</v>
      </c>
      <c r="E1750" t="s">
        <v>16049</v>
      </c>
      <c r="G1750">
        <f>HYPERLINK("https://www.senat.fr/senateur-3eme-republique/du_motier_de_la_fayette_edmond0511r3.html", "du_motier_de_la_fayette_edmond0511r3")</f>
        <v>0</v>
      </c>
      <c r="H1750">
        <f>HYPERLINK("https://www.wikidata.org/wiki/Q3048033", "Q3048033")</f>
        <v>0</v>
      </c>
    </row>
    <row r="1751" spans="1:8">
      <c r="A1751" t="s">
        <v>1757</v>
      </c>
      <c r="B1751" t="s">
        <v>6545</v>
      </c>
      <c r="C1751" t="s">
        <v>8691</v>
      </c>
      <c r="D1751" t="s">
        <v>13031</v>
      </c>
      <c r="E1751" s="2">
        <v>5645</v>
      </c>
      <c r="F1751">
        <f>HYPERLINK("https://www2.assemblee-nationale.fr/sycomore/fiche/(num_dept)/2607", "2607.0")</f>
        <v>0</v>
      </c>
      <c r="H1751">
        <f>HYPERLINK("https://www.wikidata.org/wiki/Q16025614", "Q16025614")</f>
        <v>0</v>
      </c>
    </row>
    <row r="1752" spans="1:8">
      <c r="A1752" t="s">
        <v>1758</v>
      </c>
      <c r="B1752" t="s">
        <v>6546</v>
      </c>
      <c r="C1752" t="s">
        <v>10252</v>
      </c>
      <c r="D1752" t="s">
        <v>13032</v>
      </c>
      <c r="E1752" s="2">
        <v>6000</v>
      </c>
      <c r="F1752">
        <f>HYPERLINK("https://www2.assemblee-nationale.fr/sycomore/fiche/(num_dept)/2610", "2610.0")</f>
        <v>0</v>
      </c>
      <c r="H1752">
        <f>HYPERLINK("https://www.wikidata.org/wiki/Q2646670", "Q2646670")</f>
        <v>0</v>
      </c>
    </row>
    <row r="1753" spans="1:8">
      <c r="A1753" t="s">
        <v>1759</v>
      </c>
      <c r="B1753" t="s">
        <v>6547</v>
      </c>
      <c r="C1753" t="s">
        <v>9503</v>
      </c>
      <c r="D1753" t="s">
        <v>13033</v>
      </c>
      <c r="E1753" s="2">
        <v>6080</v>
      </c>
      <c r="F1753">
        <f>HYPERLINK("https://www2.assemblee-nationale.fr/sycomore/fiche/(num_dept)/2611", "2611.0")</f>
        <v>0</v>
      </c>
      <c r="H1753">
        <f>HYPERLINK("https://www.wikidata.org/wiki/Q16025615", "Q16025615")</f>
        <v>0</v>
      </c>
    </row>
    <row r="1754" spans="1:8">
      <c r="A1754" t="s">
        <v>1760</v>
      </c>
      <c r="B1754" t="s">
        <v>6548</v>
      </c>
      <c r="C1754" t="s">
        <v>10253</v>
      </c>
      <c r="D1754" t="s">
        <v>13034</v>
      </c>
      <c r="E1754" s="2">
        <v>6494</v>
      </c>
      <c r="F1754">
        <f>HYPERLINK("https://www2.assemblee-nationale.fr/sycomore/fiche/(num_dept)/2613", "2613.0")</f>
        <v>0</v>
      </c>
      <c r="H1754">
        <f>HYPERLINK("https://www.wikidata.org/wiki/Q8318184", "Q8318184")</f>
        <v>0</v>
      </c>
    </row>
    <row r="1755" spans="1:8">
      <c r="A1755" t="s">
        <v>1761</v>
      </c>
      <c r="B1755" t="s">
        <v>6549</v>
      </c>
      <c r="C1755" t="s">
        <v>7314</v>
      </c>
      <c r="D1755" t="s">
        <v>13035</v>
      </c>
      <c r="E1755" s="2">
        <v>27836</v>
      </c>
      <c r="H1755">
        <f>HYPERLINK("https://www.wikidata.org/wiki/Q2118124", "Q2118124")</f>
        <v>0</v>
      </c>
    </row>
    <row r="1756" spans="1:8">
      <c r="A1756" t="s">
        <v>1762</v>
      </c>
      <c r="B1756" t="s">
        <v>6549</v>
      </c>
      <c r="C1756" t="s">
        <v>7314</v>
      </c>
      <c r="D1756" t="s">
        <v>13036</v>
      </c>
      <c r="E1756" s="2">
        <v>27836</v>
      </c>
      <c r="F1756">
        <f>HYPERLINK("https://www2.assemblee-nationale.fr/sycomore/fiche/(num_dept)/2614", "2614.0")</f>
        <v>0</v>
      </c>
      <c r="H1756">
        <f>HYPERLINK("https://www.wikidata.org/wiki/Q2118124", "Q2118124")</f>
        <v>0</v>
      </c>
    </row>
    <row r="1757" spans="1:8">
      <c r="A1757" t="s">
        <v>1763</v>
      </c>
      <c r="B1757" t="s">
        <v>6550</v>
      </c>
      <c r="C1757" t="s">
        <v>9409</v>
      </c>
      <c r="D1757" t="s">
        <v>13037</v>
      </c>
      <c r="E1757" t="s">
        <v>16050</v>
      </c>
      <c r="F1757">
        <f>HYPERLINK("https://www2.assemblee-nationale.fr/sycomore/fiche/(num_dept)/2620", "2620.0")</f>
        <v>0</v>
      </c>
      <c r="H1757">
        <f>HYPERLINK("https://www.wikidata.org/wiki/Q3083859", "Q3083859")</f>
        <v>0</v>
      </c>
    </row>
    <row r="1758" spans="1:8">
      <c r="A1758" t="s">
        <v>1764</v>
      </c>
      <c r="B1758" t="s">
        <v>6550</v>
      </c>
      <c r="C1758" t="s">
        <v>9580</v>
      </c>
      <c r="D1758" t="s">
        <v>13038</v>
      </c>
      <c r="E1758" s="2">
        <v>5430</v>
      </c>
      <c r="F1758">
        <f>HYPERLINK("https://www2.assemblee-nationale.fr/sycomore/fiche/(num_dept)/2623", "2623.0")</f>
        <v>0</v>
      </c>
      <c r="H1758">
        <f>HYPERLINK("https://www.wikidata.org/wiki/Q8308820", "Q8308820")</f>
        <v>0</v>
      </c>
    </row>
    <row r="1759" spans="1:8">
      <c r="A1759" t="s">
        <v>1765</v>
      </c>
      <c r="B1759" t="s">
        <v>6550</v>
      </c>
      <c r="C1759" t="s">
        <v>10254</v>
      </c>
      <c r="D1759" t="s">
        <v>13039</v>
      </c>
      <c r="E1759" s="2">
        <v>1861</v>
      </c>
      <c r="F1759">
        <f>HYPERLINK("https://www2.assemblee-nationale.fr/sycomore/fiche/(num_dept)/2619", "2619.0")</f>
        <v>0</v>
      </c>
      <c r="G1759">
        <f>HYPERLINK("https://www.senat.fr/senateur-3eme-republique/dubois_emile1393r3.html", "dubois_emile1393r3")</f>
        <v>0</v>
      </c>
      <c r="H1759">
        <f>HYPERLINK("https://www.wikidata.org/wiki/Q3588468", "Q3588468")</f>
        <v>0</v>
      </c>
    </row>
    <row r="1760" spans="1:8">
      <c r="A1760" t="s">
        <v>1766</v>
      </c>
      <c r="B1760" t="s">
        <v>6550</v>
      </c>
      <c r="C1760" t="s">
        <v>10255</v>
      </c>
      <c r="D1760" t="s">
        <v>13040</v>
      </c>
      <c r="E1760" s="2">
        <v>6994</v>
      </c>
      <c r="F1760">
        <f>HYPERLINK("https://www2.assemblee-nationale.fr/sycomore/fiche/(num_dept)/2616", "2616.0")</f>
        <v>0</v>
      </c>
      <c r="H1760">
        <f>HYPERLINK("https://www.wikidata.org/wiki/Q16025616", "Q16025616")</f>
        <v>0</v>
      </c>
    </row>
    <row r="1761" spans="1:8">
      <c r="A1761" t="s">
        <v>1767</v>
      </c>
      <c r="B1761" t="s">
        <v>6550</v>
      </c>
      <c r="C1761" t="s">
        <v>10256</v>
      </c>
      <c r="D1761" t="s">
        <v>13041</v>
      </c>
      <c r="E1761" s="2">
        <v>8236</v>
      </c>
      <c r="F1761">
        <f>HYPERLINK("https://www2.assemblee-nationale.fr/sycomore/fiche/(num_dept)/2615", "2615.0")</f>
        <v>0</v>
      </c>
      <c r="H1761">
        <f>HYPERLINK("https://www.wikidata.org/wiki/Q13080807", "Q13080807")</f>
        <v>0</v>
      </c>
    </row>
    <row r="1762" spans="1:8">
      <c r="A1762" t="s">
        <v>1768</v>
      </c>
      <c r="B1762" t="s">
        <v>6550</v>
      </c>
      <c r="C1762" t="s">
        <v>10257</v>
      </c>
      <c r="D1762" t="s">
        <v>13042</v>
      </c>
      <c r="E1762" s="2">
        <v>1681</v>
      </c>
      <c r="F1762">
        <f>HYPERLINK("https://www2.assemblee-nationale.fr/sycomore/fiche/(num_dept)/2618", "2618.0")</f>
        <v>0</v>
      </c>
      <c r="H1762">
        <f>HYPERLINK("https://www.wikidata.org/wiki/Q16030971", "Q16030971")</f>
        <v>0</v>
      </c>
    </row>
    <row r="1763" spans="1:8">
      <c r="A1763" t="s">
        <v>1769</v>
      </c>
      <c r="B1763" t="s">
        <v>6550</v>
      </c>
      <c r="C1763" t="s">
        <v>10258</v>
      </c>
      <c r="D1763" t="s">
        <v>13043</v>
      </c>
      <c r="E1763" s="2">
        <v>16822</v>
      </c>
      <c r="F1763">
        <f>HYPERLINK("https://www2.assemblee-nationale.fr/sycomore/fiche/(num_dept)/2622", "2622.0")</f>
        <v>0</v>
      </c>
      <c r="H1763">
        <f>HYPERLINK("https://www.wikidata.org/wiki/Q3261768", "Q3261768")</f>
        <v>0</v>
      </c>
    </row>
    <row r="1764" spans="1:8">
      <c r="A1764" t="s">
        <v>1770</v>
      </c>
      <c r="B1764" t="s">
        <v>6550</v>
      </c>
      <c r="C1764" t="s">
        <v>10259</v>
      </c>
      <c r="D1764" t="s">
        <v>13044</v>
      </c>
      <c r="E1764" s="2">
        <v>15691</v>
      </c>
      <c r="F1764">
        <f>HYPERLINK("https://www2.assemblee-nationale.fr/sycomore/fiche/(num_dept)/2625", "2625.0")</f>
        <v>0</v>
      </c>
      <c r="H1764">
        <f>HYPERLINK("https://www.wikidata.org/wiki/Q16025617", "Q16025617")</f>
        <v>0</v>
      </c>
    </row>
    <row r="1765" spans="1:8">
      <c r="A1765" t="s">
        <v>1771</v>
      </c>
      <c r="B1765" t="s">
        <v>6551</v>
      </c>
      <c r="C1765" t="s">
        <v>9533</v>
      </c>
      <c r="D1765" t="s">
        <v>13045</v>
      </c>
      <c r="E1765" s="2">
        <v>17751</v>
      </c>
      <c r="F1765">
        <f>HYPERLINK("https://www2.assemblee-nationale.fr/sycomore/fiche/(num_dept)/2628", "2628.0")</f>
        <v>0</v>
      </c>
      <c r="H1765">
        <f>HYPERLINK("https://www.wikidata.org/wiki/Q2853883", "Q2853883")</f>
        <v>0</v>
      </c>
    </row>
    <row r="1766" spans="1:8">
      <c r="A1766" t="s">
        <v>1772</v>
      </c>
      <c r="B1766" t="s">
        <v>6552</v>
      </c>
      <c r="C1766" t="s">
        <v>5058</v>
      </c>
      <c r="D1766" t="s">
        <v>13046</v>
      </c>
      <c r="E1766" s="2">
        <v>20781</v>
      </c>
      <c r="F1766">
        <f>HYPERLINK("https://www2.assemblee-nationale.fr/sycomore/fiche/(num_dept)/2629", "2629.0")</f>
        <v>0</v>
      </c>
      <c r="H1766">
        <f>HYPERLINK("https://www.wikidata.org/wiki/Q2831127", "Q2831127")</f>
        <v>0</v>
      </c>
    </row>
    <row r="1767" spans="1:8">
      <c r="A1767" t="s">
        <v>1773</v>
      </c>
      <c r="B1767" t="s">
        <v>6553</v>
      </c>
      <c r="C1767" t="s">
        <v>10260</v>
      </c>
      <c r="D1767" t="s">
        <v>13047</v>
      </c>
      <c r="E1767" s="2">
        <v>7777</v>
      </c>
      <c r="F1767">
        <f>HYPERLINK("https://www2.assemblee-nationale.fr/sycomore/fiche/(num_dept)/2632", "2632.0")</f>
        <v>0</v>
      </c>
      <c r="H1767">
        <f>HYPERLINK("https://www.wikidata.org/wiki/Q2857118", "Q2857118")</f>
        <v>0</v>
      </c>
    </row>
    <row r="1768" spans="1:8">
      <c r="A1768" t="s">
        <v>1774</v>
      </c>
      <c r="B1768" t="s">
        <v>6553</v>
      </c>
      <c r="C1768" t="s">
        <v>10219</v>
      </c>
      <c r="D1768" t="s">
        <v>13048</v>
      </c>
      <c r="E1768" s="2">
        <v>7776</v>
      </c>
      <c r="G1768">
        <f>HYPERLINK("https://www.senat.fr/senateur-3eme-republique/dubost_antonin1187r3.html", "dubost_antonin1187r3")</f>
        <v>0</v>
      </c>
      <c r="H1768">
        <f>HYPERLINK("https://www.wikidata.org/wiki/Q2857118", "Q2857118")</f>
        <v>0</v>
      </c>
    </row>
    <row r="1769" spans="1:8">
      <c r="A1769" t="s">
        <v>1775</v>
      </c>
      <c r="B1769" t="s">
        <v>6554</v>
      </c>
      <c r="C1769" t="s">
        <v>6686</v>
      </c>
      <c r="D1769" t="s">
        <v>13049</v>
      </c>
      <c r="E1769" t="s">
        <v>16051</v>
      </c>
      <c r="G1769">
        <f>HYPERLINK("https://www.senat.fr/senateur-3eme-republique/duboys_fresney_etienne0952r3.html", "duboys_fresney_etienne0952r3")</f>
        <v>0</v>
      </c>
      <c r="H1769">
        <f>HYPERLINK("https://www.wikidata.org/wiki/Q3592145", "Q3592145")</f>
        <v>0</v>
      </c>
    </row>
    <row r="1770" spans="1:8">
      <c r="A1770" t="s">
        <v>1776</v>
      </c>
      <c r="B1770" t="s">
        <v>6554</v>
      </c>
      <c r="C1770" t="s">
        <v>6686</v>
      </c>
      <c r="D1770" t="s">
        <v>13050</v>
      </c>
      <c r="E1770" s="2">
        <v>2761</v>
      </c>
      <c r="G1770">
        <f>HYPERLINK("https://www.senat.fr/senateur-3eme-republique/duboys_fresney_etienne0969r3.html", "duboys_fresney_etienne0969r3")</f>
        <v>0</v>
      </c>
      <c r="H1770">
        <f>HYPERLINK("https://www.wikidata.org/wiki/Q3592145", "Q3592145")</f>
        <v>0</v>
      </c>
    </row>
    <row r="1771" spans="1:8">
      <c r="A1771" t="s">
        <v>1777</v>
      </c>
      <c r="B1771" t="s">
        <v>6555</v>
      </c>
      <c r="C1771" t="s">
        <v>10261</v>
      </c>
      <c r="D1771" t="s">
        <v>13051</v>
      </c>
      <c r="E1771" s="2">
        <v>20623</v>
      </c>
      <c r="F1771">
        <f>HYPERLINK("https://www2.assemblee-nationale.fr/sycomore/fiche/(num_dept)/2634", "2634.0")</f>
        <v>0</v>
      </c>
      <c r="H1771">
        <f>HYPERLINK("https://www.wikidata.org/wiki/Q3158781", "Q3158781")</f>
        <v>0</v>
      </c>
    </row>
    <row r="1772" spans="1:8">
      <c r="A1772" t="s">
        <v>1778</v>
      </c>
      <c r="B1772" t="s">
        <v>6556</v>
      </c>
      <c r="C1772" t="s">
        <v>10262</v>
      </c>
      <c r="D1772" t="s">
        <v>13052</v>
      </c>
      <c r="E1772" s="2">
        <v>16037</v>
      </c>
      <c r="F1772">
        <f>HYPERLINK("https://www2.assemblee-nationale.fr/sycomore/fiche/(num_dept)/2635", "2635.0")</f>
        <v>0</v>
      </c>
      <c r="H1772">
        <f>HYPERLINK("https://www.wikidata.org/wiki/Q3261774", "Q3261774")</f>
        <v>0</v>
      </c>
    </row>
    <row r="1773" spans="1:8">
      <c r="A1773" t="s">
        <v>1779</v>
      </c>
      <c r="B1773" t="s">
        <v>6557</v>
      </c>
      <c r="C1773" t="s">
        <v>7754</v>
      </c>
      <c r="D1773" t="s">
        <v>13053</v>
      </c>
      <c r="E1773" t="s">
        <v>16052</v>
      </c>
      <c r="G1773">
        <f>HYPERLINK("https://www.senat.fr/senateur-3eme-republique/dubrulle_louis0937r3.html", "dubrulle_louis0937r3")</f>
        <v>0</v>
      </c>
      <c r="H1773">
        <f>HYPERLINK("https://www.wikidata.org/wiki/Q3261776", "Q3261776")</f>
        <v>0</v>
      </c>
    </row>
    <row r="1774" spans="1:8">
      <c r="A1774" t="s">
        <v>1780</v>
      </c>
      <c r="B1774" t="s">
        <v>6558</v>
      </c>
      <c r="C1774" t="s">
        <v>7754</v>
      </c>
      <c r="D1774" t="s">
        <v>11668</v>
      </c>
      <c r="E1774" s="2">
        <v>5206</v>
      </c>
      <c r="F1774">
        <f>HYPERLINK("https://www2.assemblee-nationale.fr/sycomore/fiche/(num_dept)/2638", "2638.0")</f>
        <v>0</v>
      </c>
      <c r="H1774">
        <f>HYPERLINK("https://www.wikidata.org/wiki/Q3260420", "Q3260420")</f>
        <v>0</v>
      </c>
    </row>
    <row r="1775" spans="1:8">
      <c r="A1775" t="s">
        <v>1781</v>
      </c>
      <c r="B1775" t="s">
        <v>6559</v>
      </c>
      <c r="C1775" t="s">
        <v>6864</v>
      </c>
      <c r="D1775" t="s">
        <v>13054</v>
      </c>
      <c r="E1775" s="2">
        <v>4877</v>
      </c>
      <c r="F1775">
        <f>HYPERLINK("https://www2.assemblee-nationale.fr/sycomore/fiche/(num_dept)/2640", "2640.0")</f>
        <v>0</v>
      </c>
      <c r="H1775">
        <f>HYPERLINK("https://www.wikidata.org/wiki/Q16025618", "Q16025618")</f>
        <v>0</v>
      </c>
    </row>
    <row r="1776" spans="1:8">
      <c r="A1776" t="s">
        <v>1782</v>
      </c>
      <c r="B1776" t="s">
        <v>6560</v>
      </c>
      <c r="C1776" t="s">
        <v>9373</v>
      </c>
      <c r="D1776" t="s">
        <v>13055</v>
      </c>
      <c r="E1776" s="2">
        <v>26049</v>
      </c>
      <c r="F1776">
        <f>HYPERLINK("https://www2.assemblee-nationale.fr/sycomore/fiche/(num_dept)/2641", "2641.0")</f>
        <v>0</v>
      </c>
      <c r="H1776">
        <f>HYPERLINK("https://www.wikidata.org/wiki/Q16025619", "Q16025619")</f>
        <v>0</v>
      </c>
    </row>
    <row r="1777" spans="1:8">
      <c r="A1777" t="s">
        <v>1783</v>
      </c>
      <c r="B1777" t="s">
        <v>6561</v>
      </c>
      <c r="C1777" t="s">
        <v>9312</v>
      </c>
      <c r="D1777" t="s">
        <v>13056</v>
      </c>
      <c r="E1777" t="s">
        <v>16053</v>
      </c>
      <c r="F1777">
        <f>HYPERLINK("https://www2.assemblee-nationale.fr/sycomore/fiche/(num_dept)/2643", "2643.0")</f>
        <v>0</v>
      </c>
      <c r="H1777">
        <f>HYPERLINK("https://www.wikidata.org/wiki/Q3164037", "Q3164037")</f>
        <v>0</v>
      </c>
    </row>
    <row r="1778" spans="1:8">
      <c r="A1778" t="s">
        <v>1784</v>
      </c>
      <c r="B1778" t="s">
        <v>6562</v>
      </c>
      <c r="C1778" t="s">
        <v>10263</v>
      </c>
      <c r="D1778" t="s">
        <v>13057</v>
      </c>
      <c r="E1778" s="2">
        <v>2702</v>
      </c>
      <c r="F1778">
        <f>HYPERLINK("https://www2.assemblee-nationale.fr/sycomore/fiche/(num_dept)/2645", "2645.0")</f>
        <v>0</v>
      </c>
      <c r="H1778">
        <f>HYPERLINK("https://www.wikidata.org/wiki/Q16025620", "Q16025620")</f>
        <v>0</v>
      </c>
    </row>
    <row r="1779" spans="1:8">
      <c r="A1779" t="s">
        <v>1785</v>
      </c>
      <c r="B1779" t="s">
        <v>6563</v>
      </c>
      <c r="C1779" t="s">
        <v>10264</v>
      </c>
      <c r="D1779" t="s">
        <v>11863</v>
      </c>
      <c r="E1779" s="2">
        <v>13304</v>
      </c>
      <c r="G1779">
        <f>HYPERLINK("https://www.senat.fr/senateur-3eme-republique/duchein_fabien0088r3.html", "duchein_fabien0088r3")</f>
        <v>0</v>
      </c>
      <c r="H1779">
        <f>HYPERLINK("https://www.wikidata.org/wiki/Q3063581", "Q3063581")</f>
        <v>0</v>
      </c>
    </row>
    <row r="1780" spans="1:8">
      <c r="A1780" t="s">
        <v>1786</v>
      </c>
      <c r="B1780" t="s">
        <v>6564</v>
      </c>
      <c r="C1780" t="s">
        <v>9548</v>
      </c>
      <c r="D1780" t="s">
        <v>13058</v>
      </c>
      <c r="E1780" s="2">
        <v>3521</v>
      </c>
      <c r="F1780">
        <f>HYPERLINK("https://www2.assemblee-nationale.fr/sycomore/fiche/(num_dept)/2648", "2648.0")</f>
        <v>0</v>
      </c>
      <c r="H1780">
        <f>HYPERLINK("https://www.wikidata.org/wiki/Q16025622", "Q16025622")</f>
        <v>0</v>
      </c>
    </row>
    <row r="1781" spans="1:8">
      <c r="A1781" t="s">
        <v>1787</v>
      </c>
      <c r="B1781" t="s">
        <v>6565</v>
      </c>
      <c r="C1781" t="s">
        <v>9430</v>
      </c>
      <c r="D1781" t="s">
        <v>13059</v>
      </c>
      <c r="E1781" s="2">
        <v>2526</v>
      </c>
      <c r="F1781">
        <f>HYPERLINK("https://www2.assemblee-nationale.fr/sycomore/fiche/(num_dept)/8081", "8081.0")</f>
        <v>0</v>
      </c>
      <c r="G1781">
        <f>HYPERLINK("https://www.senat.fr/senateur-3eme-republique/duchesne_fournet_paul0346r3.html", "duchesne_fournet_paul0346r3")</f>
        <v>0</v>
      </c>
      <c r="H1781">
        <f>HYPERLINK("https://www.wikidata.org/wiki/Q3371115", "Q3371115")</f>
        <v>0</v>
      </c>
    </row>
    <row r="1782" spans="1:8">
      <c r="A1782" t="s">
        <v>1788</v>
      </c>
      <c r="B1782" t="s">
        <v>6565</v>
      </c>
      <c r="C1782" t="s">
        <v>10265</v>
      </c>
      <c r="D1782" t="s">
        <v>13060</v>
      </c>
      <c r="E1782" s="2">
        <v>23840</v>
      </c>
      <c r="F1782">
        <f>HYPERLINK("https://www2.assemblee-nationale.fr/sycomore/fiche/(num_dept)/2647", "2647.0")</f>
        <v>0</v>
      </c>
      <c r="H1782">
        <f>HYPERLINK("https://www.wikidata.org/wiki/Q3384828", "Q3384828")</f>
        <v>0</v>
      </c>
    </row>
    <row r="1783" spans="1:8">
      <c r="A1783" t="s">
        <v>1789</v>
      </c>
      <c r="B1783" t="s">
        <v>6566</v>
      </c>
      <c r="C1783" t="s">
        <v>5058</v>
      </c>
      <c r="D1783" t="s">
        <v>13061</v>
      </c>
      <c r="E1783" s="2">
        <v>8019</v>
      </c>
      <c r="F1783">
        <f>HYPERLINK("https://www2.assemblee-nationale.fr/sycomore/fiche/(num_dept)/7938", "7938.0")</f>
        <v>0</v>
      </c>
      <c r="H1783">
        <f>HYPERLINK("https://www.wikidata.org/wiki/Q8324451", "Q8324451")</f>
        <v>0</v>
      </c>
    </row>
    <row r="1784" spans="1:8">
      <c r="A1784" t="s">
        <v>1790</v>
      </c>
      <c r="B1784" t="s">
        <v>6567</v>
      </c>
      <c r="C1784" t="s">
        <v>10266</v>
      </c>
      <c r="D1784" t="s">
        <v>13062</v>
      </c>
      <c r="E1784" t="s">
        <v>16054</v>
      </c>
      <c r="F1784">
        <f>HYPERLINK("https://www2.assemblee-nationale.fr/sycomore/fiche/(num_dept)/7937", "7937.0")</f>
        <v>0</v>
      </c>
      <c r="H1784">
        <f>HYPERLINK("https://www.wikidata.org/wiki/Q16025621", "Q16025621")</f>
        <v>0</v>
      </c>
    </row>
    <row r="1785" spans="1:8">
      <c r="A1785" t="s">
        <v>1791</v>
      </c>
      <c r="B1785" t="s">
        <v>6568</v>
      </c>
      <c r="C1785" t="s">
        <v>5096</v>
      </c>
      <c r="D1785" t="s">
        <v>13063</v>
      </c>
      <c r="E1785" t="s">
        <v>16055</v>
      </c>
      <c r="F1785">
        <f>HYPERLINK("https://www2.assemblee-nationale.fr/sycomore/fiche/(num_dept)/2650", "2650.0")</f>
        <v>0</v>
      </c>
      <c r="H1785">
        <f>HYPERLINK("https://www.wikidata.org/wiki/Q16025623", "Q16025623")</f>
        <v>0</v>
      </c>
    </row>
    <row r="1786" spans="1:8">
      <c r="A1786" t="s">
        <v>1792</v>
      </c>
      <c r="B1786" t="s">
        <v>6569</v>
      </c>
      <c r="C1786" t="s">
        <v>9471</v>
      </c>
      <c r="D1786" t="s">
        <v>13064</v>
      </c>
      <c r="E1786" s="2">
        <v>14337</v>
      </c>
      <c r="F1786">
        <f>HYPERLINK("https://www2.assemblee-nationale.fr/sycomore/fiche/(num_dept)/2651", "2651.0")</f>
        <v>0</v>
      </c>
      <c r="H1786">
        <f>HYPERLINK("https://www.wikidata.org/wiki/Q3188550", "Q3188550")</f>
        <v>0</v>
      </c>
    </row>
    <row r="1787" spans="1:8">
      <c r="A1787" t="s">
        <v>1793</v>
      </c>
      <c r="B1787" t="s">
        <v>6570</v>
      </c>
      <c r="C1787" t="s">
        <v>9471</v>
      </c>
      <c r="D1787" t="s">
        <v>13065</v>
      </c>
      <c r="E1787" s="2">
        <v>14337</v>
      </c>
      <c r="G1787">
        <f>HYPERLINK("https://www.senat.fr/senateur-3eme-republique/duclaux_monteil_jules0135r3.html", "duclaux_monteil_jules0135r3")</f>
        <v>0</v>
      </c>
      <c r="H1787">
        <f>HYPERLINK("https://www.wikidata.org/wiki/Q3188550", "Q3188550")</f>
        <v>0</v>
      </c>
    </row>
    <row r="1788" spans="1:8">
      <c r="A1788" t="s">
        <v>1794</v>
      </c>
      <c r="B1788" t="s">
        <v>6571</v>
      </c>
      <c r="C1788" t="s">
        <v>9355</v>
      </c>
      <c r="D1788" t="s">
        <v>13066</v>
      </c>
      <c r="E1788" t="s">
        <v>16056</v>
      </c>
      <c r="G1788">
        <f>HYPERLINK("https://www.senat.fr/senateur-3eme-republique/duclerc_eugene1466r3.html", "duclerc_eugene1466r3")</f>
        <v>0</v>
      </c>
      <c r="H1788">
        <f>HYPERLINK("https://www.wikidata.org/wiki/Q551572", "Q551572")</f>
        <v>0</v>
      </c>
    </row>
    <row r="1789" spans="1:8">
      <c r="A1789" t="s">
        <v>1795</v>
      </c>
      <c r="B1789" t="s">
        <v>6572</v>
      </c>
      <c r="C1789" t="s">
        <v>7314</v>
      </c>
      <c r="D1789" t="s">
        <v>13067</v>
      </c>
      <c r="E1789" s="2">
        <v>27509</v>
      </c>
      <c r="F1789">
        <f>HYPERLINK("https://www2.assemblee-nationale.fr/sycomore/fiche/(num_dept)/2652", "2652.0")</f>
        <v>0</v>
      </c>
      <c r="H1789">
        <f>HYPERLINK("https://www.wikidata.org/wiki/Q377790", "Q377790")</f>
        <v>0</v>
      </c>
    </row>
    <row r="1790" spans="1:8">
      <c r="A1790" t="s">
        <v>1796</v>
      </c>
      <c r="B1790" t="s">
        <v>6573</v>
      </c>
      <c r="C1790" t="s">
        <v>10267</v>
      </c>
      <c r="D1790" t="s">
        <v>13068</v>
      </c>
      <c r="E1790" s="2">
        <v>3855</v>
      </c>
      <c r="F1790">
        <f>HYPERLINK("https://www2.assemblee-nationale.fr/sycomore/fiche/(num_dept)/2656", "2656.0")</f>
        <v>0</v>
      </c>
      <c r="H1790">
        <f>HYPERLINK("https://www.wikidata.org/wiki/Q3184878", "Q3184878")</f>
        <v>0</v>
      </c>
    </row>
    <row r="1791" spans="1:8">
      <c r="A1791" t="s">
        <v>1797</v>
      </c>
      <c r="B1791" t="s">
        <v>6573</v>
      </c>
      <c r="C1791" t="s">
        <v>10268</v>
      </c>
      <c r="D1791" t="s">
        <v>13069</v>
      </c>
      <c r="E1791" s="2">
        <v>25886</v>
      </c>
      <c r="F1791">
        <f>HYPERLINK("https://www2.assemblee-nationale.fr/sycomore/fiche/(num_dept)/2655", "2655.0")</f>
        <v>0</v>
      </c>
      <c r="H1791">
        <f>HYPERLINK("https://www.wikidata.org/wiki/Q3136053", "Q3136053")</f>
        <v>0</v>
      </c>
    </row>
    <row r="1792" spans="1:8">
      <c r="A1792" t="s">
        <v>1798</v>
      </c>
      <c r="B1792" t="s">
        <v>6574</v>
      </c>
      <c r="C1792" t="s">
        <v>6864</v>
      </c>
      <c r="D1792" t="s">
        <v>13070</v>
      </c>
      <c r="E1792" t="s">
        <v>16057</v>
      </c>
      <c r="F1792">
        <f>HYPERLINK("https://www2.assemblee-nationale.fr/sycomore/fiche/(num_dept)/2657", "2657.0")</f>
        <v>0</v>
      </c>
      <c r="G1792">
        <f>HYPERLINK("https://www.senat.fr/senateur-3eme-republique/ducoudray_felix1262r3.html", "ducoudray_felix1262r3")</f>
        <v>0</v>
      </c>
      <c r="H1792">
        <f>HYPERLINK("https://www.wikidata.org/wiki/Q3092431", "Q3092431")</f>
        <v>0</v>
      </c>
    </row>
    <row r="1793" spans="1:8">
      <c r="A1793" t="s">
        <v>1799</v>
      </c>
      <c r="B1793" t="s">
        <v>6575</v>
      </c>
      <c r="C1793" t="s">
        <v>5058</v>
      </c>
      <c r="D1793" t="s">
        <v>13071</v>
      </c>
      <c r="E1793" t="s">
        <v>16058</v>
      </c>
      <c r="F1793">
        <f>HYPERLINK("https://www2.assemblee-nationale.fr/sycomore/fiche/(num_dept)/2661", "2661.0")</f>
        <v>0</v>
      </c>
      <c r="H1793">
        <f>HYPERLINK("https://www.wikidata.org/wiki/Q2831135", "Q2831135")</f>
        <v>0</v>
      </c>
    </row>
    <row r="1794" spans="1:8">
      <c r="A1794" t="s">
        <v>1800</v>
      </c>
      <c r="B1794" t="s">
        <v>6576</v>
      </c>
      <c r="C1794" t="s">
        <v>8384</v>
      </c>
      <c r="D1794" t="s">
        <v>13072</v>
      </c>
      <c r="E1794" s="2">
        <v>13420</v>
      </c>
      <c r="F1794">
        <f>HYPERLINK("https://www2.assemblee-nationale.fr/sycomore/fiche/(num_dept)/2662", "2662.0")</f>
        <v>0</v>
      </c>
      <c r="G1794">
        <f>HYPERLINK("https://www.senat.fr/senateur-3eme-republique/dudouyt_pierre1037r3.html", "dudouyt_pierre1037r3")</f>
        <v>0</v>
      </c>
      <c r="H1794">
        <f>HYPERLINK("https://www.wikidata.org/wiki/Q3384838", "Q3384838")</f>
        <v>0</v>
      </c>
    </row>
    <row r="1795" spans="1:8">
      <c r="A1795" t="s">
        <v>1801</v>
      </c>
      <c r="B1795" t="s">
        <v>6577</v>
      </c>
      <c r="C1795" t="s">
        <v>10269</v>
      </c>
      <c r="D1795" t="s">
        <v>11903</v>
      </c>
      <c r="E1795" s="2">
        <v>15931</v>
      </c>
      <c r="F1795">
        <f>HYPERLINK("https://www2.assemblee-nationale.fr/sycomore/fiche/(num_dept)/2663", "2663.0")</f>
        <v>0</v>
      </c>
      <c r="H1795">
        <f>HYPERLINK("https://www.wikidata.org/wiki/Q16025626", "Q16025626")</f>
        <v>0</v>
      </c>
    </row>
    <row r="1796" spans="1:8">
      <c r="A1796" t="s">
        <v>1802</v>
      </c>
      <c r="B1796" t="s">
        <v>6578</v>
      </c>
      <c r="C1796" t="s">
        <v>6895</v>
      </c>
      <c r="D1796" t="s">
        <v>13073</v>
      </c>
      <c r="E1796" s="2">
        <v>5205</v>
      </c>
      <c r="F1796">
        <f>HYPERLINK("https://www2.assemblee-nationale.fr/sycomore/fiche/(num_dept)/2666", "2666.0")</f>
        <v>0</v>
      </c>
      <c r="H1796">
        <f>HYPERLINK("https://www.wikidata.org/wiki/Q3093717", "Q3093717")</f>
        <v>0</v>
      </c>
    </row>
    <row r="1797" spans="1:8">
      <c r="A1797" t="s">
        <v>1803</v>
      </c>
      <c r="B1797" t="s">
        <v>6578</v>
      </c>
      <c r="C1797" t="s">
        <v>10064</v>
      </c>
      <c r="D1797" t="s">
        <v>13074</v>
      </c>
      <c r="E1797" s="2">
        <v>5642</v>
      </c>
      <c r="F1797">
        <f>HYPERLINK("https://www2.assemblee-nationale.fr/sycomore/fiche/(num_dept)/2665", "2665.0")</f>
        <v>0</v>
      </c>
      <c r="H1797">
        <f>HYPERLINK("https://www.wikidata.org/wiki/Q8323785", "Q8323785")</f>
        <v>0</v>
      </c>
    </row>
    <row r="1798" spans="1:8">
      <c r="A1798" t="s">
        <v>1804</v>
      </c>
      <c r="B1798" t="s">
        <v>6579</v>
      </c>
      <c r="C1798" t="s">
        <v>7342</v>
      </c>
      <c r="D1798" t="s">
        <v>13075</v>
      </c>
      <c r="E1798" t="s">
        <v>16059</v>
      </c>
      <c r="G1798">
        <f>HYPERLINK("https://www.senat.fr/senateur-3eme-republique/dufay_jean0382r3.html", "dufay_jean0382r3")</f>
        <v>0</v>
      </c>
      <c r="H1798">
        <f>HYPERLINK("https://www.wikidata.org/wiki/Q8302436", "Q8302436")</f>
        <v>0</v>
      </c>
    </row>
    <row r="1799" spans="1:8">
      <c r="A1799" t="s">
        <v>1805</v>
      </c>
      <c r="B1799" t="s">
        <v>6580</v>
      </c>
      <c r="C1799" t="s">
        <v>10270</v>
      </c>
      <c r="D1799" t="s">
        <v>13076</v>
      </c>
      <c r="E1799" s="2">
        <v>14389</v>
      </c>
      <c r="F1799">
        <f>HYPERLINK("https://www2.assemblee-nationale.fr/sycomore/fiche/(num_dept)/2668", "2668.0")</f>
        <v>0</v>
      </c>
      <c r="H1799">
        <f>HYPERLINK("https://www.wikidata.org/wiki/Q16025628", "Q16025628")</f>
        <v>0</v>
      </c>
    </row>
    <row r="1800" spans="1:8">
      <c r="A1800" t="s">
        <v>1806</v>
      </c>
      <c r="B1800" t="s">
        <v>6581</v>
      </c>
      <c r="C1800" t="s">
        <v>10271</v>
      </c>
      <c r="D1800" t="s">
        <v>13077</v>
      </c>
      <c r="E1800" t="s">
        <v>16060</v>
      </c>
      <c r="F1800">
        <f>HYPERLINK("https://www2.assemblee-nationale.fr/sycomore/fiche/(num_dept)/7939", "7939.0")</f>
        <v>0</v>
      </c>
      <c r="H1800">
        <f>HYPERLINK("https://www.wikidata.org/wiki/Q16025629", "Q16025629")</f>
        <v>0</v>
      </c>
    </row>
    <row r="1801" spans="1:8">
      <c r="A1801" t="s">
        <v>1807</v>
      </c>
      <c r="B1801" t="s">
        <v>6581</v>
      </c>
      <c r="C1801" t="s">
        <v>10272</v>
      </c>
      <c r="D1801" t="s">
        <v>13078</v>
      </c>
      <c r="E1801" s="2">
        <v>9331</v>
      </c>
      <c r="F1801">
        <f>HYPERLINK("https://www2.assemblee-nationale.fr/sycomore/fiche/(num_dept)/2674", "2674.0")</f>
        <v>0</v>
      </c>
      <c r="H1801">
        <f>HYPERLINK("https://www.wikidata.org/wiki/Q3059835", "Q3059835")</f>
        <v>0</v>
      </c>
    </row>
    <row r="1802" spans="1:8">
      <c r="A1802" t="s">
        <v>1808</v>
      </c>
      <c r="B1802" t="s">
        <v>6581</v>
      </c>
      <c r="C1802" t="s">
        <v>10273</v>
      </c>
      <c r="D1802" t="s">
        <v>13079</v>
      </c>
      <c r="E1802" s="2">
        <v>960</v>
      </c>
      <c r="F1802">
        <f>HYPERLINK("https://www2.assemblee-nationale.fr/sycomore/fiche/(num_dept)/2676", "2676.0")</f>
        <v>0</v>
      </c>
      <c r="H1802">
        <f>HYPERLINK("https://www.wikidata.org/wiki/Q8324496", "Q8324496")</f>
        <v>0</v>
      </c>
    </row>
    <row r="1803" spans="1:8">
      <c r="A1803" t="s">
        <v>1809</v>
      </c>
      <c r="B1803" t="s">
        <v>6581</v>
      </c>
      <c r="C1803" t="s">
        <v>7314</v>
      </c>
      <c r="D1803" t="s">
        <v>13080</v>
      </c>
      <c r="E1803" s="2">
        <v>4866</v>
      </c>
      <c r="F1803">
        <f>HYPERLINK("https://www2.assemblee-nationale.fr/sycomore/fiche/(num_dept)/2675", "2675.0")</f>
        <v>0</v>
      </c>
      <c r="H1803">
        <f>HYPERLINK("https://www.wikidata.org/wiki/Q16025627", "Q16025627")</f>
        <v>0</v>
      </c>
    </row>
    <row r="1804" spans="1:8">
      <c r="A1804" t="s">
        <v>1810</v>
      </c>
      <c r="B1804" t="s">
        <v>6582</v>
      </c>
      <c r="C1804" t="s">
        <v>6864</v>
      </c>
      <c r="D1804" t="s">
        <v>13081</v>
      </c>
      <c r="E1804" t="s">
        <v>16061</v>
      </c>
      <c r="G1804">
        <f>HYPERLINK("https://www.senat.fr/senateur-3eme-republique/dufournel_francois1165r3.html", "dufournel_francois1165r3")</f>
        <v>0</v>
      </c>
      <c r="H1804">
        <f>HYPERLINK("https://www.wikidata.org/wiki/Q3084505", "Q3084505")</f>
        <v>0</v>
      </c>
    </row>
    <row r="1805" spans="1:8">
      <c r="A1805" t="s">
        <v>1811</v>
      </c>
      <c r="B1805" t="s">
        <v>6583</v>
      </c>
      <c r="C1805" t="s">
        <v>9312</v>
      </c>
      <c r="D1805" t="s">
        <v>13082</v>
      </c>
      <c r="E1805" s="2">
        <v>5381</v>
      </c>
      <c r="G1805">
        <f>HYPERLINK("https://www.senat.fr/senateur-3eme-republique/dufoussat_jean_baptiste0624r3.html", "dufoussat_jean_baptiste0624r3")</f>
        <v>0</v>
      </c>
      <c r="H1805">
        <f>HYPERLINK("https://www.wikidata.org/wiki/Q3164042", "Q3164042")</f>
        <v>0</v>
      </c>
    </row>
    <row r="1806" spans="1:8">
      <c r="A1806" t="s">
        <v>1812</v>
      </c>
      <c r="B1806" t="s">
        <v>6584</v>
      </c>
      <c r="C1806" t="s">
        <v>6864</v>
      </c>
      <c r="D1806" t="s">
        <v>13083</v>
      </c>
      <c r="E1806" s="2">
        <v>436</v>
      </c>
      <c r="G1806">
        <f>HYPERLINK("https://www.senat.fr/senateur-3eme-republique/dufraigne_francois1597r3.html", "dufraigne_francois1597r3")</f>
        <v>0</v>
      </c>
      <c r="H1806">
        <f>HYPERLINK("https://www.wikidata.org/wiki/Q3084509", "Q3084509")</f>
        <v>0</v>
      </c>
    </row>
    <row r="1807" spans="1:8">
      <c r="A1807" t="s">
        <v>1813</v>
      </c>
      <c r="B1807" t="s">
        <v>6585</v>
      </c>
      <c r="C1807" t="s">
        <v>9471</v>
      </c>
      <c r="D1807" t="s">
        <v>13084</v>
      </c>
      <c r="E1807" t="s">
        <v>16062</v>
      </c>
      <c r="G1807">
        <f>HYPERLINK("https://www.senat.fr/senateur-3eme-republique/dufresne_jules1034r3.html", "dufresne_jules1034r3")</f>
        <v>0</v>
      </c>
      <c r="H1807">
        <f>HYPERLINK("https://www.wikidata.org/wiki/Q3188556", "Q3188556")</f>
        <v>0</v>
      </c>
    </row>
    <row r="1808" spans="1:8">
      <c r="A1808" t="s">
        <v>1814</v>
      </c>
      <c r="B1808" t="s">
        <v>6586</v>
      </c>
      <c r="C1808" t="s">
        <v>9429</v>
      </c>
      <c r="D1808" t="s">
        <v>13085</v>
      </c>
      <c r="E1808" s="2">
        <v>7095</v>
      </c>
      <c r="F1808">
        <f>HYPERLINK("https://www2.assemblee-nationale.fr/sycomore/fiche/(num_dept)/2678", "2678.0")</f>
        <v>0</v>
      </c>
      <c r="H1808">
        <f>HYPERLINK("https://www.wikidata.org/wiki/Q16025630", "Q16025630")</f>
        <v>0</v>
      </c>
    </row>
    <row r="1809" spans="1:8">
      <c r="A1809" t="s">
        <v>1815</v>
      </c>
      <c r="B1809" t="s">
        <v>6587</v>
      </c>
      <c r="C1809" t="s">
        <v>10274</v>
      </c>
      <c r="D1809" t="s">
        <v>13086</v>
      </c>
      <c r="E1809" s="2">
        <v>15800</v>
      </c>
      <c r="F1809">
        <f>HYPERLINK("https://www2.assemblee-nationale.fr/sycomore/fiche/(num_dept)/2682", "2682.0")</f>
        <v>0</v>
      </c>
      <c r="H1809">
        <f>HYPERLINK("https://www.wikidata.org/wiki/Q16025631", "Q16025631")</f>
        <v>0</v>
      </c>
    </row>
    <row r="1810" spans="1:8">
      <c r="A1810" t="s">
        <v>1816</v>
      </c>
      <c r="B1810" t="s">
        <v>6588</v>
      </c>
      <c r="C1810" t="s">
        <v>9309</v>
      </c>
      <c r="D1810" t="s">
        <v>13087</v>
      </c>
      <c r="E1810" s="2">
        <v>5019</v>
      </c>
      <c r="G1810">
        <f>HYPERLINK("https://www.senat.fr/senateur-3eme-republique/dujardin_beaumetz_henri0274r3.html", "dujardin_beaumetz_henri0274r3")</f>
        <v>0</v>
      </c>
      <c r="H1810">
        <f>HYPERLINK("https://www.wikidata.org/wiki/Q289596", "Q289596")</f>
        <v>0</v>
      </c>
    </row>
    <row r="1811" spans="1:8">
      <c r="A1811" t="s">
        <v>1817</v>
      </c>
      <c r="B1811" t="s">
        <v>6588</v>
      </c>
      <c r="C1811" t="s">
        <v>10275</v>
      </c>
      <c r="D1811" t="s">
        <v>13088</v>
      </c>
      <c r="E1811" s="2">
        <v>5019</v>
      </c>
      <c r="F1811">
        <f>HYPERLINK("https://www2.assemblee-nationale.fr/sycomore/fiche/(num_dept)/2685", "2685.0")</f>
        <v>0</v>
      </c>
      <c r="H1811">
        <f>HYPERLINK("https://www.wikidata.org/wiki/Q289596", "Q289596")</f>
        <v>0</v>
      </c>
    </row>
    <row r="1812" spans="1:8">
      <c r="A1812" t="s">
        <v>1818</v>
      </c>
      <c r="B1812" t="s">
        <v>6589</v>
      </c>
      <c r="C1812" t="s">
        <v>6864</v>
      </c>
      <c r="D1812" t="s">
        <v>13089</v>
      </c>
      <c r="E1812" s="2">
        <v>659</v>
      </c>
      <c r="G1812">
        <f>HYPERLINK("https://www.senat.fr/senateur-3eme-republique/dulac_francois1210r3.html", "dulac_francois1210r3")</f>
        <v>0</v>
      </c>
      <c r="H1812">
        <f>HYPERLINK("https://www.wikidata.org/wiki/Q3084510", "Q3084510")</f>
        <v>0</v>
      </c>
    </row>
    <row r="1813" spans="1:8">
      <c r="A1813" t="s">
        <v>1819</v>
      </c>
      <c r="B1813" t="s">
        <v>6590</v>
      </c>
      <c r="C1813" t="s">
        <v>6006</v>
      </c>
      <c r="D1813" t="s">
        <v>13090</v>
      </c>
      <c r="E1813" s="2">
        <v>4133</v>
      </c>
      <c r="F1813">
        <f>HYPERLINK("https://www2.assemblee-nationale.fr/sycomore/fiche/(num_dept)/2686", "2686.0")</f>
        <v>0</v>
      </c>
      <c r="H1813">
        <f>HYPERLINK("https://www.wikidata.org/wiki/Q16025633", "Q16025633")</f>
        <v>0</v>
      </c>
    </row>
    <row r="1814" spans="1:8">
      <c r="A1814" t="s">
        <v>1820</v>
      </c>
      <c r="B1814" t="s">
        <v>6591</v>
      </c>
      <c r="C1814" t="s">
        <v>10276</v>
      </c>
      <c r="D1814" t="s">
        <v>13091</v>
      </c>
      <c r="E1814" s="2">
        <v>18338</v>
      </c>
      <c r="F1814">
        <f>HYPERLINK("https://www2.assemblee-nationale.fr/sycomore/fiche/(num_dept)/2687", "2687.0")</f>
        <v>0</v>
      </c>
      <c r="H1814">
        <f>HYPERLINK("https://www.wikidata.org/wiki/Q16025634", "Q16025634")</f>
        <v>0</v>
      </c>
    </row>
    <row r="1815" spans="1:8">
      <c r="A1815" t="s">
        <v>1821</v>
      </c>
      <c r="B1815" t="s">
        <v>6592</v>
      </c>
      <c r="C1815" t="s">
        <v>10277</v>
      </c>
      <c r="D1815" t="s">
        <v>13092</v>
      </c>
      <c r="E1815" s="2">
        <v>15276</v>
      </c>
      <c r="F1815">
        <f>HYPERLINK("https://www2.assemblee-nationale.fr/sycomore/fiche/(num_dept)/2688", "2688.0")</f>
        <v>0</v>
      </c>
      <c r="H1815">
        <f>HYPERLINK("https://www.wikidata.org/wiki/Q16025636", "Q16025636")</f>
        <v>0</v>
      </c>
    </row>
    <row r="1816" spans="1:8">
      <c r="A1816" t="s">
        <v>1822</v>
      </c>
      <c r="B1816" t="s">
        <v>6592</v>
      </c>
      <c r="C1816" t="s">
        <v>10278</v>
      </c>
      <c r="D1816" t="s">
        <v>13093</v>
      </c>
      <c r="F1816">
        <f>HYPERLINK("https://www2.assemblee-nationale.fr/sycomore/fiche/(num_dept)/2692", "2692.0")</f>
        <v>0</v>
      </c>
      <c r="H1816">
        <f>HYPERLINK("https://www.wikidata.org/wiki/Q16025637", "Q16025637")</f>
        <v>0</v>
      </c>
    </row>
    <row r="1817" spans="1:8">
      <c r="A1817" t="s">
        <v>1823</v>
      </c>
      <c r="B1817" t="s">
        <v>6592</v>
      </c>
      <c r="C1817" t="s">
        <v>10279</v>
      </c>
      <c r="D1817" t="s">
        <v>13094</v>
      </c>
      <c r="E1817" s="2">
        <v>11824</v>
      </c>
      <c r="F1817">
        <f>HYPERLINK("https://www2.assemblee-nationale.fr/sycomore/fiche/(num_dept)/2690", "2690.0")</f>
        <v>0</v>
      </c>
      <c r="H1817">
        <f>HYPERLINK("https://www.wikidata.org/wiki/Q3588476", "Q3588476")</f>
        <v>0</v>
      </c>
    </row>
    <row r="1818" spans="1:8">
      <c r="A1818" t="s">
        <v>1824</v>
      </c>
      <c r="B1818" t="s">
        <v>6592</v>
      </c>
      <c r="C1818" t="s">
        <v>10280</v>
      </c>
      <c r="D1818" t="s">
        <v>12628</v>
      </c>
      <c r="E1818" s="2">
        <v>20213</v>
      </c>
      <c r="F1818">
        <f>HYPERLINK("https://www2.assemblee-nationale.fr/sycomore/fiche/(num_dept)/2689", "2689.0")</f>
        <v>0</v>
      </c>
      <c r="H1818">
        <f>HYPERLINK("https://www.wikidata.org/wiki/Q8307247", "Q8307247")</f>
        <v>0</v>
      </c>
    </row>
    <row r="1819" spans="1:8">
      <c r="A1819" t="s">
        <v>1825</v>
      </c>
      <c r="B1819" t="s">
        <v>6593</v>
      </c>
      <c r="C1819" t="s">
        <v>10281</v>
      </c>
      <c r="D1819" s="2">
        <v>724</v>
      </c>
      <c r="E1819" s="2">
        <v>27453</v>
      </c>
      <c r="F1819">
        <f>HYPERLINK("https://www2.assemblee-nationale.fr/sycomore/fiche/(num_dept)/2696", "2696.0")</f>
        <v>0</v>
      </c>
      <c r="H1819">
        <f>HYPERLINK("https://www.wikidata.org/wiki/Q16025638", "Q16025638")</f>
        <v>0</v>
      </c>
    </row>
    <row r="1820" spans="1:8">
      <c r="A1820" t="s">
        <v>1826</v>
      </c>
      <c r="B1820" t="s">
        <v>6594</v>
      </c>
      <c r="C1820" t="s">
        <v>9312</v>
      </c>
      <c r="D1820" t="s">
        <v>13095</v>
      </c>
      <c r="E1820" s="2">
        <v>9614</v>
      </c>
      <c r="F1820">
        <f>HYPERLINK("https://www2.assemblee-nationale.fr/sycomore/fiche/(num_dept)/2697", "2697.0")</f>
        <v>0</v>
      </c>
      <c r="H1820">
        <f>HYPERLINK("https://www.wikidata.org/wiki/Q3164044", "Q3164044")</f>
        <v>0</v>
      </c>
    </row>
    <row r="1821" spans="1:8">
      <c r="A1821" t="s">
        <v>1827</v>
      </c>
      <c r="B1821" t="s">
        <v>6595</v>
      </c>
      <c r="C1821" t="s">
        <v>9533</v>
      </c>
      <c r="D1821" t="s">
        <v>11680</v>
      </c>
      <c r="G1821">
        <f>HYPERLINK("https://www.senat.fr/senateur-3eme-republique/dumesnil_antoine0497r3.html", "dumesnil_antoine0497r3")</f>
        <v>0</v>
      </c>
      <c r="H1821">
        <f>HYPERLINK("https://www.wikidata.org/wiki/Q2853900", "Q2853900")</f>
        <v>0</v>
      </c>
    </row>
    <row r="1822" spans="1:8">
      <c r="A1822" t="s">
        <v>1828</v>
      </c>
      <c r="B1822" t="s">
        <v>6596</v>
      </c>
      <c r="C1822" t="s">
        <v>9512</v>
      </c>
      <c r="D1822" t="s">
        <v>13096</v>
      </c>
      <c r="E1822" s="2">
        <v>6826</v>
      </c>
      <c r="F1822">
        <f>HYPERLINK("https://www2.assemblee-nationale.fr/sycomore/fiche/(num_dept)/2698", "2698.0")</f>
        <v>0</v>
      </c>
      <c r="H1822">
        <f>HYPERLINK("https://www.wikidata.org/wiki/Q8299853", "Q8299853")</f>
        <v>0</v>
      </c>
    </row>
    <row r="1823" spans="1:8">
      <c r="A1823" t="s">
        <v>1829</v>
      </c>
      <c r="B1823" t="s">
        <v>6596</v>
      </c>
      <c r="C1823" t="s">
        <v>10282</v>
      </c>
      <c r="D1823" t="s">
        <v>12608</v>
      </c>
      <c r="E1823" s="2">
        <v>20621</v>
      </c>
      <c r="F1823">
        <f>HYPERLINK("https://www2.assemblee-nationale.fr/sycomore/fiche/(num_dept)/2699", "2699.0")</f>
        <v>0</v>
      </c>
      <c r="G1823">
        <f>HYPERLINK("https://www.senat.fr/senateur-3eme-republique/dumesnil_jacques1613r3.html", "dumesnil_jacques1613r3")</f>
        <v>0</v>
      </c>
      <c r="H1823">
        <f>HYPERLINK("https://www.wikidata.org/wiki/Q3157989", "Q3157989")</f>
        <v>0</v>
      </c>
    </row>
    <row r="1824" spans="1:8">
      <c r="A1824" t="s">
        <v>1830</v>
      </c>
      <c r="B1824" t="s">
        <v>6597</v>
      </c>
      <c r="C1824" t="s">
        <v>9312</v>
      </c>
      <c r="D1824" t="s">
        <v>13097</v>
      </c>
      <c r="E1824" s="2">
        <v>309</v>
      </c>
      <c r="G1824">
        <f>HYPERLINK("https://www.senat.fr/senateur-3eme-republique/dumon_jean_baptiste1468r3.html", "dumon_jean_baptiste1468r3")</f>
        <v>0</v>
      </c>
      <c r="H1824">
        <f>HYPERLINK("https://www.wikidata.org/wiki/Q3164043", "Q3164043")</f>
        <v>0</v>
      </c>
    </row>
    <row r="1825" spans="1:8">
      <c r="A1825" t="s">
        <v>1831</v>
      </c>
      <c r="B1825" t="s">
        <v>6598</v>
      </c>
      <c r="C1825" t="s">
        <v>9987</v>
      </c>
      <c r="D1825" t="s">
        <v>11640</v>
      </c>
      <c r="E1825" s="2">
        <v>5687</v>
      </c>
      <c r="F1825">
        <f>HYPERLINK("https://www2.assemblee-nationale.fr/sycomore/fiche/(num_dept)/2701", "2701.0")</f>
        <v>0</v>
      </c>
      <c r="H1825">
        <f>HYPERLINK("https://www.wikidata.org/wiki/Q16025639", "Q16025639")</f>
        <v>0</v>
      </c>
    </row>
    <row r="1826" spans="1:8">
      <c r="A1826" t="s">
        <v>1832</v>
      </c>
      <c r="B1826" t="s">
        <v>6598</v>
      </c>
      <c r="C1826" t="s">
        <v>10283</v>
      </c>
      <c r="D1826" t="s">
        <v>13098</v>
      </c>
      <c r="E1826" s="2">
        <v>16579</v>
      </c>
      <c r="F1826">
        <f>HYPERLINK("https://www2.assemblee-nationale.fr/sycomore/fiche/(num_dept)/2706", "2706.0")</f>
        <v>0</v>
      </c>
      <c r="H1826">
        <f>HYPERLINK("https://www.wikidata.org/wiki/Q16025641", "Q16025641")</f>
        <v>0</v>
      </c>
    </row>
    <row r="1827" spans="1:8">
      <c r="A1827" t="s">
        <v>1833</v>
      </c>
      <c r="B1827" t="s">
        <v>6598</v>
      </c>
      <c r="C1827" t="s">
        <v>9355</v>
      </c>
      <c r="D1827" t="s">
        <v>13099</v>
      </c>
      <c r="E1827" s="2">
        <v>14357</v>
      </c>
      <c r="F1827">
        <f>HYPERLINK("https://www2.assemblee-nationale.fr/sycomore/fiche/(num_dept)/2702", "2702.0")</f>
        <v>0</v>
      </c>
      <c r="G1827">
        <f>HYPERLINK("https://www.senat.fr/senateur-3eme-republique/dumont_charles0432r3.html", "dumont_charles0432r3")</f>
        <v>0</v>
      </c>
      <c r="H1827">
        <f>HYPERLINK("https://www.wikidata.org/wiki/Q2958960", "Q2958960")</f>
        <v>0</v>
      </c>
    </row>
    <row r="1828" spans="1:8">
      <c r="A1828" t="s">
        <v>1834</v>
      </c>
      <c r="B1828" t="s">
        <v>6598</v>
      </c>
      <c r="C1828" t="s">
        <v>9353</v>
      </c>
      <c r="D1828" t="s">
        <v>13100</v>
      </c>
      <c r="E1828" s="2">
        <v>13202</v>
      </c>
      <c r="F1828">
        <f>HYPERLINK("https://www2.assemblee-nationale.fr/sycomore/fiche/(num_dept)/2705", "2705.0")</f>
        <v>0</v>
      </c>
      <c r="H1828">
        <f>HYPERLINK("https://www.wikidata.org/wiki/Q16025640", "Q16025640")</f>
        <v>0</v>
      </c>
    </row>
    <row r="1829" spans="1:8">
      <c r="A1829" t="s">
        <v>1835</v>
      </c>
      <c r="B1829" t="s">
        <v>6599</v>
      </c>
      <c r="C1829" t="s">
        <v>10284</v>
      </c>
      <c r="D1829" t="s">
        <v>13101</v>
      </c>
      <c r="E1829" s="2">
        <v>12339</v>
      </c>
      <c r="F1829">
        <f>HYPERLINK("https://www2.assemblee-nationale.fr/sycomore/fiche/(num_dept)/2707", "2707.0")</f>
        <v>0</v>
      </c>
      <c r="H1829">
        <f>HYPERLINK("https://www.wikidata.org/wiki/Q8311788", "Q8311788")</f>
        <v>0</v>
      </c>
    </row>
    <row r="1830" spans="1:8">
      <c r="A1830" t="s">
        <v>1836</v>
      </c>
      <c r="B1830" t="s">
        <v>6600</v>
      </c>
      <c r="C1830" t="s">
        <v>10285</v>
      </c>
      <c r="D1830" t="s">
        <v>13102</v>
      </c>
      <c r="E1830" s="2">
        <v>28965</v>
      </c>
      <c r="F1830">
        <f>HYPERLINK("https://www2.assemblee-nationale.fr/sycomore/fiche/(num_dept)/2708", "2708.0")</f>
        <v>0</v>
      </c>
      <c r="H1830">
        <f>HYPERLINK("https://www.wikidata.org/wiki/Q16025642", "Q16025642")</f>
        <v>0</v>
      </c>
    </row>
    <row r="1831" spans="1:8">
      <c r="A1831" t="s">
        <v>1837</v>
      </c>
      <c r="B1831" t="s">
        <v>6601</v>
      </c>
      <c r="C1831" t="s">
        <v>10286</v>
      </c>
      <c r="D1831" t="s">
        <v>13103</v>
      </c>
      <c r="E1831" s="2">
        <v>9848</v>
      </c>
      <c r="F1831">
        <f>HYPERLINK("https://www2.assemblee-nationale.fr/sycomore/fiche/(num_dept)/2711", "2711.0")</f>
        <v>0</v>
      </c>
      <c r="H1831">
        <f>HYPERLINK("https://www.wikidata.org/wiki/Q15971901", "Q15971901")</f>
        <v>0</v>
      </c>
    </row>
    <row r="1832" spans="1:8">
      <c r="A1832" t="s">
        <v>1838</v>
      </c>
      <c r="B1832" t="s">
        <v>6602</v>
      </c>
      <c r="C1832" t="s">
        <v>10287</v>
      </c>
      <c r="D1832" t="s">
        <v>13104</v>
      </c>
      <c r="E1832" s="2">
        <v>18990</v>
      </c>
      <c r="F1832">
        <f>HYPERLINK("https://www2.assemblee-nationale.fr/sycomore/fiche/(num_dept)/2714", "2714.0")</f>
        <v>0</v>
      </c>
      <c r="H1832">
        <f>HYPERLINK("https://www.wikidata.org/wiki/Q16025645", "Q16025645")</f>
        <v>0</v>
      </c>
    </row>
    <row r="1833" spans="1:8">
      <c r="A1833" t="s">
        <v>1839</v>
      </c>
      <c r="B1833" t="s">
        <v>6603</v>
      </c>
      <c r="C1833" t="s">
        <v>9386</v>
      </c>
      <c r="D1833" t="s">
        <v>13105</v>
      </c>
      <c r="E1833" s="2">
        <v>19856</v>
      </c>
      <c r="G1833">
        <f>HYPERLINK("https://www.senat.fr/senateur-3eme-republique/duplantier_raymond1761r3.html", "duplantier_raymond1761r3")</f>
        <v>0</v>
      </c>
      <c r="H1833">
        <f>HYPERLINK("https://www.wikidata.org/wiki/Q3420820", "Q3420820")</f>
        <v>0</v>
      </c>
    </row>
    <row r="1834" spans="1:8">
      <c r="A1834" t="s">
        <v>1840</v>
      </c>
      <c r="B1834" t="s">
        <v>6604</v>
      </c>
      <c r="C1834" t="s">
        <v>10288</v>
      </c>
      <c r="D1834" t="s">
        <v>13106</v>
      </c>
      <c r="E1834" t="s">
        <v>16063</v>
      </c>
      <c r="F1834">
        <f>HYPERLINK("https://www2.assemblee-nationale.fr/sycomore/fiche/(num_dept)/2715", "2715.0")</f>
        <v>0</v>
      </c>
      <c r="H1834">
        <f>HYPERLINK("https://www.wikidata.org/wiki/Q16025646", "Q16025646")</f>
        <v>0</v>
      </c>
    </row>
    <row r="1835" spans="1:8">
      <c r="A1835" t="s">
        <v>1841</v>
      </c>
      <c r="B1835" t="s">
        <v>6605</v>
      </c>
      <c r="C1835" t="s">
        <v>10289</v>
      </c>
      <c r="D1835" t="s">
        <v>13107</v>
      </c>
      <c r="E1835" t="s">
        <v>15285</v>
      </c>
      <c r="F1835">
        <f>HYPERLINK("https://www2.assemblee-nationale.fr/sycomore/fiche/(num_dept)/8245", "8245.0")</f>
        <v>0</v>
      </c>
      <c r="H1835">
        <f>HYPERLINK("https://www.wikidata.org/wiki/Q3526338", "Q3526338")</f>
        <v>0</v>
      </c>
    </row>
    <row r="1836" spans="1:8">
      <c r="A1836" t="s">
        <v>1842</v>
      </c>
      <c r="B1836" t="s">
        <v>6606</v>
      </c>
      <c r="C1836" t="s">
        <v>9524</v>
      </c>
      <c r="D1836" t="s">
        <v>13108</v>
      </c>
      <c r="E1836" s="2">
        <v>8355</v>
      </c>
      <c r="G1836">
        <f>HYPERLINK("https://www.senat.fr/senateur-3eme-republique/dupont_emile0890r3.html", "dupont_emile0890r3")</f>
        <v>0</v>
      </c>
      <c r="H1836">
        <f>HYPERLINK("https://www.wikidata.org/wiki/Q3588477", "Q3588477")</f>
        <v>0</v>
      </c>
    </row>
    <row r="1837" spans="1:8">
      <c r="A1837" t="s">
        <v>1843</v>
      </c>
      <c r="B1837" t="s">
        <v>6605</v>
      </c>
      <c r="C1837" t="s">
        <v>10290</v>
      </c>
      <c r="D1837" t="s">
        <v>13109</v>
      </c>
      <c r="E1837" s="2">
        <v>19404</v>
      </c>
      <c r="F1837">
        <f>HYPERLINK("https://www2.assemblee-nationale.fr/sycomore/fiche/(num_dept)/2718", "2718.0")</f>
        <v>0</v>
      </c>
      <c r="H1837">
        <f>HYPERLINK("https://www.wikidata.org/wiki/Q16025648", "Q16025648")</f>
        <v>0</v>
      </c>
    </row>
    <row r="1838" spans="1:8">
      <c r="A1838" t="s">
        <v>1844</v>
      </c>
      <c r="B1838" t="s">
        <v>6607</v>
      </c>
      <c r="C1838" t="s">
        <v>10291</v>
      </c>
      <c r="D1838" t="s">
        <v>13110</v>
      </c>
      <c r="E1838" t="s">
        <v>16064</v>
      </c>
      <c r="F1838">
        <f>HYPERLINK("https://www2.assemblee-nationale.fr/sycomore/fiche/(num_dept)/2723", "2723.0")</f>
        <v>0</v>
      </c>
      <c r="H1838">
        <f>HYPERLINK("https://www.wikidata.org/wiki/Q16025649", "Q16025649")</f>
        <v>0</v>
      </c>
    </row>
    <row r="1839" spans="1:8">
      <c r="A1839" t="s">
        <v>1845</v>
      </c>
      <c r="B1839" t="s">
        <v>6608</v>
      </c>
      <c r="C1839" t="s">
        <v>5117</v>
      </c>
      <c r="D1839" t="s">
        <v>13111</v>
      </c>
      <c r="E1839" t="s">
        <v>16065</v>
      </c>
      <c r="F1839">
        <f>HYPERLINK("https://www2.assemblee-nationale.fr/sycomore/fiche/(num_dept)/2724", "2724.0")</f>
        <v>0</v>
      </c>
      <c r="H1839">
        <f>HYPERLINK("https://www.wikidata.org/wiki/Q2861835", "Q2861835")</f>
        <v>0</v>
      </c>
    </row>
    <row r="1840" spans="1:8">
      <c r="A1840" t="s">
        <v>1846</v>
      </c>
      <c r="B1840" t="s">
        <v>6608</v>
      </c>
      <c r="C1840" t="s">
        <v>10292</v>
      </c>
      <c r="D1840" t="s">
        <v>13112</v>
      </c>
      <c r="E1840" s="2">
        <v>3894</v>
      </c>
      <c r="F1840">
        <f>HYPERLINK("https://www2.assemblee-nationale.fr/sycomore/fiche/(num_dept)/2725", "2725.0")</f>
        <v>0</v>
      </c>
      <c r="H1840">
        <f>HYPERLINK("https://www.wikidata.org/wiki/Q16025651", "Q16025651")</f>
        <v>0</v>
      </c>
    </row>
    <row r="1841" spans="1:8">
      <c r="A1841" t="s">
        <v>1847</v>
      </c>
      <c r="B1841" t="s">
        <v>6609</v>
      </c>
      <c r="C1841" t="s">
        <v>10293</v>
      </c>
      <c r="D1841" t="s">
        <v>13113</v>
      </c>
      <c r="E1841" s="2">
        <v>14494</v>
      </c>
      <c r="F1841">
        <f>HYPERLINK("https://www2.assemblee-nationale.fr/sycomore/fiche/(num_dept)/2726", "2726.0")</f>
        <v>0</v>
      </c>
      <c r="H1841">
        <f>HYPERLINK("https://www.wikidata.org/wiki/Q16025825", "Q16025825")</f>
        <v>0</v>
      </c>
    </row>
    <row r="1842" spans="1:8">
      <c r="A1842" t="s">
        <v>1848</v>
      </c>
      <c r="B1842" t="s">
        <v>6610</v>
      </c>
      <c r="C1842" t="s">
        <v>5330</v>
      </c>
      <c r="D1842" t="s">
        <v>13114</v>
      </c>
      <c r="E1842" s="2">
        <v>358</v>
      </c>
      <c r="G1842">
        <f>HYPERLINK("https://www.senat.fr/senateur-3eme-republique/dupouy_bernard0198r3.html", "dupouy_bernard0198r3")</f>
        <v>0</v>
      </c>
      <c r="H1842">
        <f>HYPERLINK("https://www.wikidata.org/wiki/Q2897836", "Q2897836")</f>
        <v>0</v>
      </c>
    </row>
    <row r="1843" spans="1:8">
      <c r="A1843" t="s">
        <v>1849</v>
      </c>
      <c r="B1843" t="s">
        <v>6611</v>
      </c>
      <c r="C1843" t="s">
        <v>7008</v>
      </c>
      <c r="D1843" t="s">
        <v>13115</v>
      </c>
      <c r="E1843" t="s">
        <v>16066</v>
      </c>
      <c r="G1843">
        <f>HYPERLINK("https://www.senat.fr/senateur-3eme-republique/dupre_germain1083r3.html", "dupre_germain1083r3")</f>
        <v>0</v>
      </c>
      <c r="H1843">
        <f>HYPERLINK("https://www.wikidata.org/wiki/Q3104108", "Q3104108")</f>
        <v>0</v>
      </c>
    </row>
    <row r="1844" spans="1:8">
      <c r="A1844" t="s">
        <v>1850</v>
      </c>
      <c r="B1844" t="s">
        <v>6612</v>
      </c>
      <c r="C1844" t="s">
        <v>7001</v>
      </c>
      <c r="D1844" t="s">
        <v>13116</v>
      </c>
      <c r="E1844" s="2">
        <v>17204</v>
      </c>
      <c r="G1844">
        <f>HYPERLINK("https://www.senat.fr/senateur-3eme-republique/duprey_georges1215r3.html", "duprey_georges1215r3")</f>
        <v>0</v>
      </c>
      <c r="H1844">
        <f>HYPERLINK("https://www.wikidata.org/wiki/Q3102656", "Q3102656")</f>
        <v>0</v>
      </c>
    </row>
    <row r="1845" spans="1:8">
      <c r="A1845" t="s">
        <v>1851</v>
      </c>
      <c r="B1845" t="s">
        <v>6613</v>
      </c>
      <c r="C1845" t="s">
        <v>10294</v>
      </c>
      <c r="D1845" t="s">
        <v>13117</v>
      </c>
      <c r="E1845" s="2">
        <v>18760</v>
      </c>
      <c r="F1845">
        <f>HYPERLINK("https://www2.assemblee-nationale.fr/sycomore/fiche/(num_dept)/2732", "2732.0")</f>
        <v>0</v>
      </c>
      <c r="H1845">
        <f>HYPERLINK("https://www.wikidata.org/wiki/Q3270049", "Q3270049")</f>
        <v>0</v>
      </c>
    </row>
    <row r="1846" spans="1:8">
      <c r="A1846" t="s">
        <v>1852</v>
      </c>
      <c r="B1846" t="s">
        <v>6614</v>
      </c>
      <c r="C1846" t="s">
        <v>10295</v>
      </c>
      <c r="D1846" t="s">
        <v>13118</v>
      </c>
      <c r="E1846" s="2">
        <v>34272</v>
      </c>
      <c r="F1846">
        <f>HYPERLINK("https://www2.assemblee-nationale.fr/sycomore/fiche/(num_dept)/2733", "2733.0")</f>
        <v>0</v>
      </c>
      <c r="H1846">
        <f>HYPERLINK("https://www.wikidata.org/wiki/Q2861831", "Q2861831")</f>
        <v>0</v>
      </c>
    </row>
    <row r="1847" spans="1:8">
      <c r="A1847" t="s">
        <v>1853</v>
      </c>
      <c r="B1847" t="s">
        <v>6615</v>
      </c>
      <c r="C1847" t="s">
        <v>10296</v>
      </c>
      <c r="D1847" t="s">
        <v>13119</v>
      </c>
      <c r="E1847" s="2">
        <v>8605</v>
      </c>
      <c r="G1847">
        <f>HYPERLINK("https://www.senat.fr/senateur-3eme-republique/dupuy_charles0513r3.html", "dupuy_charles0513r3")</f>
        <v>0</v>
      </c>
      <c r="H1847">
        <f>HYPERLINK("https://www.wikidata.org/wiki/Q356032", "Q356032")</f>
        <v>0</v>
      </c>
    </row>
    <row r="1848" spans="1:8">
      <c r="A1848" t="s">
        <v>1854</v>
      </c>
      <c r="B1848" t="s">
        <v>6616</v>
      </c>
      <c r="C1848" t="s">
        <v>7233</v>
      </c>
      <c r="D1848" t="s">
        <v>13120</v>
      </c>
      <c r="E1848" t="s">
        <v>12347</v>
      </c>
      <c r="G1848">
        <f>HYPERLINK("https://www.senat.fr/senateur-3eme-republique/dupuy_de_lome_henry1470r3.html", "dupuy_de_lome_henry1470r3")</f>
        <v>0</v>
      </c>
      <c r="H1848">
        <f>HYPERLINK("https://www.wikidata.org/wiki/Q723678", "Q723678")</f>
        <v>0</v>
      </c>
    </row>
    <row r="1849" spans="1:8">
      <c r="A1849" t="s">
        <v>1855</v>
      </c>
      <c r="B1849" t="s">
        <v>6617</v>
      </c>
      <c r="C1849" t="s">
        <v>10297</v>
      </c>
      <c r="D1849" t="s">
        <v>13121</v>
      </c>
      <c r="E1849" s="2">
        <v>10579</v>
      </c>
      <c r="F1849">
        <f>HYPERLINK("https://www2.assemblee-nationale.fr/sycomore/fiche/(num_dept)/2744", "2744.0")</f>
        <v>0</v>
      </c>
      <c r="H1849">
        <f>HYPERLINK("https://www.wikidata.org/wiki/Q3266121", "Q3266121")</f>
        <v>0</v>
      </c>
    </row>
    <row r="1850" spans="1:8">
      <c r="A1850" t="s">
        <v>1856</v>
      </c>
      <c r="B1850" t="s">
        <v>6618</v>
      </c>
      <c r="C1850" t="s">
        <v>7342</v>
      </c>
      <c r="D1850" t="s">
        <v>13122</v>
      </c>
      <c r="E1850" s="2">
        <v>7305</v>
      </c>
      <c r="G1850">
        <f>HYPERLINK("https://www.senat.fr/senateur-3eme-republique/dupuy_jean1084r3.html", "dupuy_jean1084r3")</f>
        <v>0</v>
      </c>
      <c r="H1850">
        <f>HYPERLINK("https://www.wikidata.org/wiki/Q3171879", "Q3171879")</f>
        <v>0</v>
      </c>
    </row>
    <row r="1851" spans="1:8">
      <c r="A1851" t="s">
        <v>1857</v>
      </c>
      <c r="B1851" t="s">
        <v>6618</v>
      </c>
      <c r="C1851" t="s">
        <v>10298</v>
      </c>
      <c r="D1851" t="s">
        <v>13123</v>
      </c>
      <c r="E1851" s="2">
        <v>7715</v>
      </c>
      <c r="F1851">
        <f>HYPERLINK("https://www2.assemblee-nationale.fr/sycomore/fiche/(num_dept)/2742", "2742.0")</f>
        <v>0</v>
      </c>
      <c r="H1851">
        <f>HYPERLINK("https://www.wikidata.org/wiki/Q16025653", "Q16025653")</f>
        <v>0</v>
      </c>
    </row>
    <row r="1852" spans="1:8">
      <c r="A1852" t="s">
        <v>1858</v>
      </c>
      <c r="B1852" t="s">
        <v>6618</v>
      </c>
      <c r="C1852" t="s">
        <v>10299</v>
      </c>
      <c r="D1852" t="s">
        <v>13124</v>
      </c>
      <c r="E1852" s="2">
        <v>2565</v>
      </c>
      <c r="F1852">
        <f>HYPERLINK("https://www2.assemblee-nationale.fr/sycomore/fiche/(num_dept)/2736", "2736.0")</f>
        <v>0</v>
      </c>
      <c r="H1852">
        <f>HYPERLINK("https://www.wikidata.org/wiki/Q16025652", "Q16025652")</f>
        <v>0</v>
      </c>
    </row>
    <row r="1853" spans="1:8">
      <c r="A1853" t="s">
        <v>1859</v>
      </c>
      <c r="B1853" t="s">
        <v>6618</v>
      </c>
      <c r="C1853" t="s">
        <v>10300</v>
      </c>
      <c r="D1853" t="s">
        <v>13119</v>
      </c>
      <c r="E1853" s="2">
        <v>8605</v>
      </c>
      <c r="F1853">
        <f>HYPERLINK("https://www2.assemblee-nationale.fr/sycomore/fiche/(num_dept)/10133", "10133.0")</f>
        <v>0</v>
      </c>
      <c r="H1853">
        <f>HYPERLINK("https://www.wikidata.org/wiki/Q356032", "Q356032")</f>
        <v>0</v>
      </c>
    </row>
    <row r="1854" spans="1:8">
      <c r="A1854" t="s">
        <v>1860</v>
      </c>
      <c r="B1854" t="s">
        <v>6618</v>
      </c>
      <c r="C1854" t="s">
        <v>8384</v>
      </c>
      <c r="D1854" t="s">
        <v>12303</v>
      </c>
      <c r="E1854" s="2">
        <v>25018</v>
      </c>
      <c r="F1854">
        <f>HYPERLINK("https://www2.assemblee-nationale.fr/sycomore/fiche/(num_dept)/2743", "2743.0")</f>
        <v>0</v>
      </c>
      <c r="H1854">
        <f>HYPERLINK("https://www.wikidata.org/wiki/Q3384871", "Q3384871")</f>
        <v>0</v>
      </c>
    </row>
    <row r="1855" spans="1:8">
      <c r="A1855" t="s">
        <v>1861</v>
      </c>
      <c r="B1855" t="s">
        <v>6618</v>
      </c>
      <c r="C1855" t="s">
        <v>10301</v>
      </c>
      <c r="D1855" t="s">
        <v>13125</v>
      </c>
      <c r="E1855" s="2">
        <v>10053</v>
      </c>
      <c r="F1855">
        <f>HYPERLINK("https://www2.assemblee-nationale.fr/sycomore/fiche/(num_dept)/2741", "2741.0")</f>
        <v>0</v>
      </c>
      <c r="G1855">
        <f>HYPERLINK("https://www.senat.fr/senateur-3eme-republique/dupuy_paul1085r3.html", "dupuy_paul1085r3")</f>
        <v>0</v>
      </c>
      <c r="H1855">
        <f>HYPERLINK("https://www.wikidata.org/wiki/Q3371141", "Q3371141")</f>
        <v>0</v>
      </c>
    </row>
    <row r="1856" spans="1:8">
      <c r="A1856" t="s">
        <v>1862</v>
      </c>
      <c r="B1856" t="s">
        <v>6619</v>
      </c>
      <c r="C1856" t="s">
        <v>9386</v>
      </c>
      <c r="D1856" t="s">
        <v>13126</v>
      </c>
      <c r="E1856" s="2">
        <v>9875</v>
      </c>
      <c r="F1856">
        <f>HYPERLINK("https://www2.assemblee-nationale.fr/sycomore/fiche/(num_dept)/2745", "2745.0")</f>
        <v>0</v>
      </c>
      <c r="H1856">
        <f>HYPERLINK("https://www.wikidata.org/wiki/Q3420824", "Q3420824")</f>
        <v>0</v>
      </c>
    </row>
    <row r="1857" spans="1:8">
      <c r="A1857" t="s">
        <v>1863</v>
      </c>
      <c r="B1857" t="s">
        <v>6620</v>
      </c>
      <c r="C1857" t="s">
        <v>9430</v>
      </c>
      <c r="D1857" t="s">
        <v>13127</v>
      </c>
      <c r="E1857" s="2">
        <v>11762</v>
      </c>
      <c r="G1857">
        <f>HYPERLINK("https://www.senat.fr/senateur-3eme-republique/duquaire_paul1130r3.html", "duquaire_paul1130r3")</f>
        <v>0</v>
      </c>
      <c r="H1857">
        <f>HYPERLINK("https://www.wikidata.org/wiki/Q3371139", "Q3371139")</f>
        <v>0</v>
      </c>
    </row>
    <row r="1858" spans="1:8">
      <c r="A1858" t="s">
        <v>1864</v>
      </c>
      <c r="B1858" t="s">
        <v>6621</v>
      </c>
      <c r="C1858" t="s">
        <v>10302</v>
      </c>
      <c r="D1858" t="s">
        <v>13128</v>
      </c>
      <c r="E1858" s="2">
        <v>8743</v>
      </c>
      <c r="F1858">
        <f>HYPERLINK("https://www2.assemblee-nationale.fr/sycomore/fiche/(num_dept)/2746", "2746.0")</f>
        <v>0</v>
      </c>
      <c r="H1858">
        <f>HYPERLINK("https://www.wikidata.org/wiki/Q3357269", "Q3357269")</f>
        <v>0</v>
      </c>
    </row>
    <row r="1859" spans="1:8">
      <c r="A1859" t="s">
        <v>1865</v>
      </c>
      <c r="B1859" t="s">
        <v>6622</v>
      </c>
      <c r="C1859" t="s">
        <v>10303</v>
      </c>
      <c r="D1859" t="s">
        <v>13129</v>
      </c>
      <c r="E1859" s="2">
        <v>17778</v>
      </c>
      <c r="F1859">
        <f>HYPERLINK("https://www2.assemblee-nationale.fr/sycomore/fiche/(num_dept)/2748", "2748.0")</f>
        <v>0</v>
      </c>
      <c r="H1859">
        <f>HYPERLINK("https://www.wikidata.org/wiki/Q3371138", "Q3371138")</f>
        <v>0</v>
      </c>
    </row>
    <row r="1860" spans="1:8">
      <c r="A1860" t="s">
        <v>1866</v>
      </c>
      <c r="B1860" t="s">
        <v>6623</v>
      </c>
      <c r="C1860" t="s">
        <v>9533</v>
      </c>
      <c r="D1860" t="s">
        <v>13130</v>
      </c>
      <c r="E1860" s="2">
        <v>11804</v>
      </c>
      <c r="F1860">
        <f>HYPERLINK("https://www2.assemblee-nationale.fr/sycomore/fiche/(num_dept)/2750", "2750.0")</f>
        <v>0</v>
      </c>
      <c r="H1860">
        <f>HYPERLINK("https://www.wikidata.org/wiki/Q2853905", "Q2853905")</f>
        <v>0</v>
      </c>
    </row>
    <row r="1861" spans="1:8">
      <c r="A1861" t="s">
        <v>1867</v>
      </c>
      <c r="B1861" t="s">
        <v>6624</v>
      </c>
      <c r="C1861" t="s">
        <v>10304</v>
      </c>
      <c r="D1861" t="s">
        <v>13131</v>
      </c>
      <c r="E1861" s="2">
        <v>21758</v>
      </c>
      <c r="F1861">
        <f>HYPERLINK("https://www2.assemblee-nationale.fr/sycomore/fiche/(num_dept)/2761", "2761.0")</f>
        <v>0</v>
      </c>
      <c r="H1861">
        <f>HYPERLINK("https://www.wikidata.org/wiki/Q8317056", "Q8317056")</f>
        <v>0</v>
      </c>
    </row>
    <row r="1862" spans="1:8">
      <c r="A1862" t="s">
        <v>1868</v>
      </c>
      <c r="B1862" t="s">
        <v>6625</v>
      </c>
      <c r="C1862" t="s">
        <v>10305</v>
      </c>
      <c r="D1862" t="s">
        <v>13132</v>
      </c>
      <c r="E1862" s="2">
        <v>1233</v>
      </c>
      <c r="F1862">
        <f>HYPERLINK("https://www2.assemblee-nationale.fr/sycomore/fiche/(num_dept)/2762", "2762.0")</f>
        <v>0</v>
      </c>
      <c r="G1862">
        <f>HYPERLINK("https://www.senat.fr/senateur-3eme-republique/durand_savoyat_leonce1197r3.html", "durand_savoyat_leonce1197r3")</f>
        <v>0</v>
      </c>
      <c r="H1862">
        <f>HYPERLINK("https://www.wikidata.org/wiki/Q3271559", "Q3271559")</f>
        <v>0</v>
      </c>
    </row>
    <row r="1863" spans="1:8">
      <c r="A1863" t="s">
        <v>1869</v>
      </c>
      <c r="B1863" t="s">
        <v>6625</v>
      </c>
      <c r="C1863" t="s">
        <v>10306</v>
      </c>
      <c r="D1863" t="s">
        <v>13133</v>
      </c>
      <c r="E1863" s="2">
        <v>5154</v>
      </c>
      <c r="F1863">
        <f>HYPERLINK("https://www2.assemblee-nationale.fr/sycomore/fiche/(num_dept)/2763", "2763.0")</f>
        <v>0</v>
      </c>
      <c r="H1863">
        <f>HYPERLINK("https://www.wikidata.org/wiki/Q3161040", "Q3161040")</f>
        <v>0</v>
      </c>
    </row>
    <row r="1864" spans="1:8">
      <c r="A1864" t="s">
        <v>1870</v>
      </c>
      <c r="B1864" t="s">
        <v>6626</v>
      </c>
      <c r="C1864" t="s">
        <v>10307</v>
      </c>
      <c r="D1864" t="s">
        <v>13134</v>
      </c>
      <c r="E1864" s="2">
        <v>6244</v>
      </c>
      <c r="F1864">
        <f>HYPERLINK("https://www2.assemblee-nationale.fr/sycomore/fiche/(num_dept)/2754", "2754.0")</f>
        <v>0</v>
      </c>
      <c r="H1864">
        <f>HYPERLINK("https://www.wikidata.org/wiki/Q3059841", "Q3059841")</f>
        <v>0</v>
      </c>
    </row>
    <row r="1865" spans="1:8">
      <c r="A1865" t="s">
        <v>1871</v>
      </c>
      <c r="B1865" t="s">
        <v>6627</v>
      </c>
      <c r="C1865" t="s">
        <v>9312</v>
      </c>
      <c r="D1865" t="s">
        <v>13135</v>
      </c>
      <c r="G1865">
        <f>HYPERLINK("https://www.senat.fr/senateur-3eme-republique/durand_jean_baptiste0746r3.html", "durand_jean_baptiste0746r3")</f>
        <v>0</v>
      </c>
      <c r="H1865">
        <f>HYPERLINK("https://www.wikidata.org/wiki/Q3164056", "Q3164056")</f>
        <v>0</v>
      </c>
    </row>
    <row r="1866" spans="1:8">
      <c r="A1866" t="s">
        <v>1872</v>
      </c>
      <c r="B1866" t="s">
        <v>6626</v>
      </c>
      <c r="C1866" t="s">
        <v>10308</v>
      </c>
      <c r="D1866" t="s">
        <v>13136</v>
      </c>
      <c r="E1866" s="2">
        <v>9422</v>
      </c>
      <c r="F1866">
        <f>HYPERLINK("https://www2.assemblee-nationale.fr/sycomore/fiche/(num_dept)/2758", "2758.0")</f>
        <v>0</v>
      </c>
      <c r="H1866">
        <f>HYPERLINK("https://www.wikidata.org/wiki/Q16025655", "Q16025655")</f>
        <v>0</v>
      </c>
    </row>
    <row r="1867" spans="1:8">
      <c r="A1867" t="s">
        <v>1873</v>
      </c>
      <c r="B1867" t="s">
        <v>6626</v>
      </c>
      <c r="C1867" t="s">
        <v>7342</v>
      </c>
      <c r="D1867" t="s">
        <v>13137</v>
      </c>
      <c r="E1867" s="2">
        <v>13434</v>
      </c>
      <c r="F1867">
        <f>HYPERLINK("https://www2.assemblee-nationale.fr/sycomore/fiche/(num_dept)/2757", "2757.0")</f>
        <v>0</v>
      </c>
      <c r="G1867">
        <f>HYPERLINK("https://www.senat.fr/senateur-3eme-republique/durand_jean0270r3.html", "durand_jean0270r3")</f>
        <v>0</v>
      </c>
      <c r="H1867">
        <f>HYPERLINK("https://www.wikidata.org/wiki/Q3171885", "Q3171885")</f>
        <v>0</v>
      </c>
    </row>
    <row r="1868" spans="1:8">
      <c r="A1868" t="s">
        <v>1874</v>
      </c>
      <c r="B1868" t="s">
        <v>6626</v>
      </c>
      <c r="C1868" t="s">
        <v>10309</v>
      </c>
      <c r="D1868" t="s">
        <v>13138</v>
      </c>
      <c r="E1868" s="2">
        <v>25242</v>
      </c>
      <c r="F1868">
        <f>HYPERLINK("https://www2.assemblee-nationale.fr/sycomore/fiche/(num_dept)/2753", "2753.0")</f>
        <v>0</v>
      </c>
      <c r="H1868">
        <f>HYPERLINK("https://www.wikidata.org/wiki/Q16025654", "Q16025654")</f>
        <v>0</v>
      </c>
    </row>
    <row r="1869" spans="1:8">
      <c r="A1869" t="s">
        <v>1875</v>
      </c>
      <c r="B1869" t="s">
        <v>6626</v>
      </c>
      <c r="C1869" t="s">
        <v>10310</v>
      </c>
      <c r="D1869" t="s">
        <v>13139</v>
      </c>
      <c r="E1869" s="2">
        <v>26917</v>
      </c>
      <c r="F1869">
        <f>HYPERLINK("https://www2.assemblee-nationale.fr/sycomore/fiche/(num_dept)/2759", "2759.0")</f>
        <v>0</v>
      </c>
      <c r="H1869">
        <f>HYPERLINK("https://www.wikidata.org/wiki/Q3189483", "Q3189483")</f>
        <v>0</v>
      </c>
    </row>
    <row r="1870" spans="1:8">
      <c r="A1870" t="s">
        <v>1876</v>
      </c>
      <c r="B1870" t="s">
        <v>6628</v>
      </c>
      <c r="C1870" t="s">
        <v>9429</v>
      </c>
      <c r="D1870" t="s">
        <v>13140</v>
      </c>
      <c r="E1870" s="2">
        <v>7697</v>
      </c>
      <c r="F1870">
        <f>HYPERLINK("https://www2.assemblee-nationale.fr/sycomore/fiche/(num_dept)/2765", "2765.0")</f>
        <v>0</v>
      </c>
      <c r="H1870">
        <f>HYPERLINK("https://www.wikidata.org/wiki/Q2833642", "Q2833642")</f>
        <v>0</v>
      </c>
    </row>
    <row r="1871" spans="1:8">
      <c r="A1871" t="s">
        <v>1877</v>
      </c>
      <c r="B1871" t="s">
        <v>6629</v>
      </c>
      <c r="C1871" t="s">
        <v>7314</v>
      </c>
      <c r="D1871" t="s">
        <v>13141</v>
      </c>
      <c r="E1871" s="2">
        <v>16324</v>
      </c>
      <c r="G1871">
        <f>HYPERLINK("https://www.senat.fr/senateur-3eme-republique/duroux_jacques0840r3.html", "duroux_jacques0840r3")</f>
        <v>0</v>
      </c>
      <c r="H1871">
        <f>HYPERLINK("https://www.wikidata.org/wiki/Q20027700", "Q20027700")</f>
        <v>0</v>
      </c>
    </row>
    <row r="1872" spans="1:8">
      <c r="A1872" t="s">
        <v>1878</v>
      </c>
      <c r="B1872" t="s">
        <v>6630</v>
      </c>
      <c r="C1872" t="s">
        <v>9324</v>
      </c>
      <c r="D1872" t="s">
        <v>13142</v>
      </c>
      <c r="E1872" s="2">
        <v>6876</v>
      </c>
      <c r="F1872">
        <f>HYPERLINK("https://www2.assemblee-nationale.fr/sycomore/fiche/(num_dept)/2779", "2779.0")</f>
        <v>0</v>
      </c>
      <c r="H1872">
        <f>HYPERLINK("https://www.wikidata.org/wiki/Q3131027", "Q3131027")</f>
        <v>0</v>
      </c>
    </row>
    <row r="1873" spans="1:8">
      <c r="A1873" t="s">
        <v>1879</v>
      </c>
      <c r="B1873" t="s">
        <v>6631</v>
      </c>
      <c r="C1873" t="s">
        <v>10311</v>
      </c>
      <c r="D1873" t="s">
        <v>13143</v>
      </c>
      <c r="E1873" t="s">
        <v>16067</v>
      </c>
      <c r="F1873">
        <f>HYPERLINK("https://www2.assemblee-nationale.fr/sycomore/fiche/(num_dept)/2783", "2783.0")</f>
        <v>0</v>
      </c>
      <c r="H1873">
        <f>HYPERLINK("https://www.wikidata.org/wiki/Q16025660", "Q16025660")</f>
        <v>0</v>
      </c>
    </row>
    <row r="1874" spans="1:8">
      <c r="A1874" t="s">
        <v>1880</v>
      </c>
      <c r="B1874" t="s">
        <v>6631</v>
      </c>
      <c r="C1874" t="s">
        <v>10312</v>
      </c>
      <c r="D1874" t="s">
        <v>13144</v>
      </c>
      <c r="E1874" s="2">
        <v>18578</v>
      </c>
      <c r="F1874">
        <f>HYPERLINK("https://www2.assemblee-nationale.fr/sycomore/fiche/(num_dept)/2782", "2782.0")</f>
        <v>0</v>
      </c>
      <c r="H1874">
        <f>HYPERLINK("https://www.wikidata.org/wiki/Q3592311", "Q3592311")</f>
        <v>0</v>
      </c>
    </row>
    <row r="1875" spans="1:8">
      <c r="A1875" t="s">
        <v>1881</v>
      </c>
      <c r="B1875" t="s">
        <v>6632</v>
      </c>
      <c r="C1875" t="s">
        <v>10313</v>
      </c>
      <c r="D1875" t="s">
        <v>13145</v>
      </c>
      <c r="E1875" s="2">
        <v>6706</v>
      </c>
      <c r="F1875">
        <f>HYPERLINK("https://www2.assemblee-nationale.fr/sycomore/fiche/(num_dept)/8113", "8113.0")</f>
        <v>0</v>
      </c>
      <c r="G1875">
        <f>HYPERLINK("https://www.senat.fr/senateur-3eme-republique/dusolier_alcide0667r3.html", "dusolier_alcide0667r3")</f>
        <v>0</v>
      </c>
      <c r="H1875">
        <f>HYPERLINK("https://www.wikidata.org/wiki/Q765905", "Q765905")</f>
        <v>0</v>
      </c>
    </row>
    <row r="1876" spans="1:8">
      <c r="A1876" t="s">
        <v>1882</v>
      </c>
      <c r="B1876" t="s">
        <v>6633</v>
      </c>
      <c r="C1876" t="s">
        <v>10314</v>
      </c>
      <c r="D1876" t="s">
        <v>13146</v>
      </c>
      <c r="E1876" t="s">
        <v>16068</v>
      </c>
      <c r="F1876">
        <f>HYPERLINK("https://www2.assemblee-nationale.fr/sycomore/fiche/(num_dept)/7941", "7941.0")</f>
        <v>0</v>
      </c>
      <c r="H1876">
        <f>HYPERLINK("https://www.wikidata.org/wiki/Q16025661", "Q16025661")</f>
        <v>0</v>
      </c>
    </row>
    <row r="1877" spans="1:8">
      <c r="A1877" t="s">
        <v>1883</v>
      </c>
      <c r="B1877" t="s">
        <v>6634</v>
      </c>
      <c r="C1877" t="s">
        <v>9430</v>
      </c>
      <c r="D1877" t="s">
        <v>13147</v>
      </c>
      <c r="E1877" s="2">
        <v>3362</v>
      </c>
      <c r="F1877">
        <f>HYPERLINK("https://www2.assemblee-nationale.fr/sycomore/fiche/(num_dept)/2785", "2785.0")</f>
        <v>0</v>
      </c>
      <c r="H1877">
        <f>HYPERLINK("https://www.wikidata.org/wiki/Q2406994", "Q2406994")</f>
        <v>0</v>
      </c>
    </row>
    <row r="1878" spans="1:8">
      <c r="A1878" t="s">
        <v>1884</v>
      </c>
      <c r="B1878" t="s">
        <v>6635</v>
      </c>
      <c r="C1878" t="s">
        <v>9345</v>
      </c>
      <c r="D1878" t="s">
        <v>13148</v>
      </c>
      <c r="E1878" s="2">
        <v>12742</v>
      </c>
      <c r="F1878">
        <f>HYPERLINK("https://www2.assemblee-nationale.fr/sycomore/fiche/(num_dept)/2787", "2787.0")</f>
        <v>0</v>
      </c>
      <c r="H1878">
        <f>HYPERLINK("https://www.wikidata.org/wiki/Q8298461", "Q8298461")</f>
        <v>0</v>
      </c>
    </row>
    <row r="1879" spans="1:8">
      <c r="A1879" t="s">
        <v>1885</v>
      </c>
      <c r="B1879" t="s">
        <v>6636</v>
      </c>
      <c r="C1879" t="s">
        <v>9503</v>
      </c>
      <c r="D1879" t="s">
        <v>13149</v>
      </c>
      <c r="E1879" s="2">
        <v>2227</v>
      </c>
      <c r="F1879">
        <f>HYPERLINK("https://www2.assemblee-nationale.fr/sycomore/fiche/(num_dept)/2788", "2788.0")</f>
        <v>0</v>
      </c>
      <c r="H1879">
        <f>HYPERLINK("https://www.wikidata.org/wiki/Q3121176", "Q3121176")</f>
        <v>0</v>
      </c>
    </row>
    <row r="1880" spans="1:8">
      <c r="A1880" t="s">
        <v>1886</v>
      </c>
      <c r="B1880" t="s">
        <v>6637</v>
      </c>
      <c r="C1880" t="s">
        <v>7754</v>
      </c>
      <c r="D1880" t="s">
        <v>13150</v>
      </c>
      <c r="G1880">
        <f>HYPERLINK("https://www.senat.fr/senateur-3eme-republique/dutaud_louis1640r3.html", "dutaud_louis1640r3")</f>
        <v>0</v>
      </c>
      <c r="H1880">
        <f>HYPERLINK("https://www.wikidata.org/wiki/Q3261823", "Q3261823")</f>
        <v>0</v>
      </c>
    </row>
    <row r="1881" spans="1:8">
      <c r="A1881" t="s">
        <v>1887</v>
      </c>
      <c r="B1881" t="s">
        <v>6638</v>
      </c>
      <c r="C1881" t="s">
        <v>9471</v>
      </c>
      <c r="D1881" t="s">
        <v>13151</v>
      </c>
      <c r="E1881" t="s">
        <v>16069</v>
      </c>
      <c r="G1881">
        <f>HYPERLINK("https://www.senat.fr/senateur-3eme-republique/dutilleul_jules1376r3.html", "dutilleul_jules1376r3")</f>
        <v>0</v>
      </c>
      <c r="H1881">
        <f>HYPERLINK("https://www.wikidata.org/wiki/Q3188563", "Q3188563")</f>
        <v>0</v>
      </c>
    </row>
    <row r="1882" spans="1:8">
      <c r="A1882" t="s">
        <v>1888</v>
      </c>
      <c r="B1882" t="s">
        <v>6639</v>
      </c>
      <c r="C1882" t="s">
        <v>7942</v>
      </c>
      <c r="D1882" t="s">
        <v>13152</v>
      </c>
      <c r="E1882" s="2">
        <v>14780</v>
      </c>
      <c r="F1882">
        <f>HYPERLINK("https://www2.assemblee-nationale.fr/sycomore/fiche/(num_dept)/2795", "2795.0")</f>
        <v>0</v>
      </c>
      <c r="H1882">
        <f>HYPERLINK("https://www.wikidata.org/wiki/Q3300740", "Q3300740")</f>
        <v>0</v>
      </c>
    </row>
    <row r="1883" spans="1:8">
      <c r="A1883" t="s">
        <v>1889</v>
      </c>
      <c r="B1883" t="s">
        <v>6640</v>
      </c>
      <c r="C1883" t="s">
        <v>9355</v>
      </c>
      <c r="D1883" t="s">
        <v>13153</v>
      </c>
      <c r="E1883" t="s">
        <v>16070</v>
      </c>
      <c r="F1883">
        <f>HYPERLINK("https://www2.assemblee-nationale.fr/sycomore/fiche/(num_dept)/2797", "2797.0")</f>
        <v>0</v>
      </c>
      <c r="H1883">
        <f>HYPERLINK("https://www.wikidata.org/wiki/Q16025662", "Q16025662")</f>
        <v>0</v>
      </c>
    </row>
    <row r="1884" spans="1:8">
      <c r="A1884" t="s">
        <v>1890</v>
      </c>
      <c r="B1884" t="s">
        <v>6641</v>
      </c>
      <c r="C1884" t="s">
        <v>10315</v>
      </c>
      <c r="D1884" t="s">
        <v>13154</v>
      </c>
      <c r="E1884" s="2">
        <v>15390</v>
      </c>
      <c r="F1884">
        <f>HYPERLINK("https://www2.assemblee-nationale.fr/sycomore/fiche/(num_dept)/2801", "2801.0")</f>
        <v>0</v>
      </c>
      <c r="H1884">
        <f>HYPERLINK("https://www.wikidata.org/wiki/Q3261828", "Q3261828")</f>
        <v>0</v>
      </c>
    </row>
    <row r="1885" spans="1:8">
      <c r="A1885" t="s">
        <v>1891</v>
      </c>
      <c r="B1885" t="s">
        <v>6642</v>
      </c>
      <c r="C1885" t="s">
        <v>10316</v>
      </c>
      <c r="D1885" t="s">
        <v>13155</v>
      </c>
      <c r="E1885" t="s">
        <v>16071</v>
      </c>
      <c r="G1885">
        <f>HYPERLINK("https://www.senat.fr/senateur-3eme-republique/duval_silvain0582r3.html", "duval_silvain0582r3")</f>
        <v>0</v>
      </c>
      <c r="H1885">
        <f>HYPERLINK("https://www.wikidata.org/wiki/Q3483947", "Q3483947")</f>
        <v>0</v>
      </c>
    </row>
    <row r="1886" spans="1:8">
      <c r="A1886" t="s">
        <v>1892</v>
      </c>
      <c r="B1886" t="s">
        <v>6643</v>
      </c>
      <c r="C1886" t="s">
        <v>10317</v>
      </c>
      <c r="D1886" t="s">
        <v>13156</v>
      </c>
      <c r="E1886" s="2">
        <v>3764</v>
      </c>
      <c r="F1886">
        <f>HYPERLINK("https://www2.assemblee-nationale.fr/sycomore/fiche/(num_dept)/2799", "2799.0")</f>
        <v>0</v>
      </c>
      <c r="G1886">
        <f>HYPERLINK("https://www.senat.fr/senateur-3eme-republique/duval_cesar1318r3.html", "duval_cesar1318r3")</f>
        <v>0</v>
      </c>
      <c r="H1886">
        <f>HYPERLINK("https://www.wikidata.org/wiki/Q3010446", "Q3010446")</f>
        <v>0</v>
      </c>
    </row>
    <row r="1887" spans="1:8">
      <c r="A1887" t="s">
        <v>1893</v>
      </c>
      <c r="B1887" t="s">
        <v>6643</v>
      </c>
      <c r="C1887" t="s">
        <v>10318</v>
      </c>
      <c r="D1887" t="s">
        <v>13157</v>
      </c>
      <c r="E1887" s="2">
        <v>15876</v>
      </c>
      <c r="F1887">
        <f>HYPERLINK("https://www2.assemblee-nationale.fr/sycomore/fiche/(num_dept)/2798", "2798.0")</f>
        <v>0</v>
      </c>
      <c r="H1887">
        <f>HYPERLINK("https://www.wikidata.org/wiki/Q2833647", "Q2833647")</f>
        <v>0</v>
      </c>
    </row>
    <row r="1888" spans="1:8">
      <c r="A1888" t="s">
        <v>1894</v>
      </c>
      <c r="B1888" t="s">
        <v>6644</v>
      </c>
      <c r="C1888" t="s">
        <v>9471</v>
      </c>
      <c r="D1888" t="s">
        <v>13158</v>
      </c>
      <c r="E1888" s="2">
        <v>10330</v>
      </c>
      <c r="F1888">
        <f>HYPERLINK("https://www2.assemblee-nationale.fr/sycomore/fiche/(num_dept)/2803", "2803.0")</f>
        <v>0</v>
      </c>
      <c r="H1888">
        <f>HYPERLINK("https://www.wikidata.org/wiki/Q16025663", "Q16025663")</f>
        <v>0</v>
      </c>
    </row>
    <row r="1889" spans="1:8">
      <c r="A1889" t="s">
        <v>1895</v>
      </c>
      <c r="B1889" t="s">
        <v>6645</v>
      </c>
      <c r="C1889" t="s">
        <v>10319</v>
      </c>
      <c r="D1889" t="s">
        <v>13159</v>
      </c>
      <c r="E1889" s="2">
        <v>519</v>
      </c>
      <c r="F1889">
        <f>HYPERLINK("https://www2.assemblee-nationale.fr/sycomore/fiche/(num_dept)/7943", "7943.0")</f>
        <v>0</v>
      </c>
      <c r="H1889">
        <f>HYPERLINK("https://www.wikidata.org/wiki/Q3188566", "Q3188566")</f>
        <v>0</v>
      </c>
    </row>
    <row r="1890" spans="1:8">
      <c r="A1890" t="s">
        <v>1896</v>
      </c>
      <c r="B1890" t="s">
        <v>6646</v>
      </c>
      <c r="C1890" t="s">
        <v>7314</v>
      </c>
      <c r="D1890" t="s">
        <v>13160</v>
      </c>
      <c r="E1890" s="2">
        <v>804</v>
      </c>
      <c r="F1890">
        <f>HYPERLINK("https://www2.assemblee-nationale.fr/sycomore/fiche/(num_dept)/2806", "2806.0")</f>
        <v>0</v>
      </c>
      <c r="H1890">
        <f>HYPERLINK("https://www.wikidata.org/wiki/Q3158835", "Q3158835")</f>
        <v>0</v>
      </c>
    </row>
    <row r="1891" spans="1:8">
      <c r="A1891" t="s">
        <v>1897</v>
      </c>
      <c r="B1891" t="s">
        <v>6647</v>
      </c>
      <c r="C1891" t="s">
        <v>10320</v>
      </c>
      <c r="D1891" t="s">
        <v>13161</v>
      </c>
      <c r="E1891" t="s">
        <v>13978</v>
      </c>
      <c r="F1891">
        <f>HYPERLINK("https://www2.assemblee-nationale.fr/sycomore/fiche/(num_dept)/2808", "2808.0")</f>
        <v>0</v>
      </c>
      <c r="H1891">
        <f>HYPERLINK("https://www.wikidata.org/wiki/Q16025664", "Q16025664")</f>
        <v>0</v>
      </c>
    </row>
    <row r="1892" spans="1:8">
      <c r="A1892" t="s">
        <v>1898</v>
      </c>
      <c r="B1892" t="s">
        <v>6648</v>
      </c>
      <c r="C1892" t="s">
        <v>7342</v>
      </c>
      <c r="D1892" t="s">
        <v>13162</v>
      </c>
      <c r="E1892" s="2">
        <v>14885</v>
      </c>
      <c r="F1892">
        <f>HYPERLINK("https://www2.assemblee-nationale.fr/sycomore/fiche/(num_dept)/2205", "2205.0")</f>
        <v>0</v>
      </c>
      <c r="H1892">
        <f>HYPERLINK("https://www.wikidata.org/wiki/Q16025531", "Q16025531")</f>
        <v>0</v>
      </c>
    </row>
    <row r="1893" spans="1:8">
      <c r="A1893" t="s">
        <v>1899</v>
      </c>
      <c r="B1893" t="s">
        <v>6649</v>
      </c>
      <c r="C1893" t="s">
        <v>10070</v>
      </c>
      <c r="D1893" t="s">
        <v>13163</v>
      </c>
      <c r="E1893" s="2">
        <v>20094</v>
      </c>
      <c r="F1893">
        <f>HYPERLINK("https://www2.assemblee-nationale.fr/sycomore/fiche/(num_dept)/2184", "2184.0")</f>
        <v>0</v>
      </c>
      <c r="H1893">
        <f>HYPERLINK("https://www.wikidata.org/wiki/Q686084", "Q686084")</f>
        <v>0</v>
      </c>
    </row>
    <row r="1894" spans="1:8">
      <c r="A1894" t="s">
        <v>1900</v>
      </c>
      <c r="B1894" t="s">
        <v>6650</v>
      </c>
      <c r="C1894" t="s">
        <v>10321</v>
      </c>
      <c r="D1894" t="s">
        <v>13164</v>
      </c>
      <c r="E1894" s="2">
        <v>12609</v>
      </c>
      <c r="F1894">
        <f>HYPERLINK("https://www2.assemblee-nationale.fr/sycomore/fiche/(num_dept)/2206", "2206.0")</f>
        <v>0</v>
      </c>
      <c r="H1894">
        <f>HYPERLINK("https://www.wikidata.org/wiki/Q16025532", "Q16025532")</f>
        <v>0</v>
      </c>
    </row>
    <row r="1895" spans="1:8">
      <c r="A1895" t="s">
        <v>1901</v>
      </c>
      <c r="B1895" t="s">
        <v>6651</v>
      </c>
      <c r="C1895" t="s">
        <v>9332</v>
      </c>
      <c r="D1895" t="s">
        <v>13165</v>
      </c>
      <c r="E1895" s="2">
        <v>14095</v>
      </c>
      <c r="F1895">
        <f>HYPERLINK("https://www2.assemblee-nationale.fr/sycomore/fiche/(num_dept)/2209", "2209.0")</f>
        <v>0</v>
      </c>
      <c r="H1895">
        <f>HYPERLINK("https://www.wikidata.org/wiki/Q16025533", "Q16025533")</f>
        <v>0</v>
      </c>
    </row>
    <row r="1896" spans="1:8">
      <c r="A1896" t="s">
        <v>1902</v>
      </c>
      <c r="B1896" t="s">
        <v>6652</v>
      </c>
      <c r="C1896" t="s">
        <v>5096</v>
      </c>
      <c r="D1896" t="s">
        <v>13166</v>
      </c>
      <c r="E1896" s="2">
        <v>10717</v>
      </c>
      <c r="F1896">
        <f>HYPERLINK("https://www2.assemblee-nationale.fr/sycomore/fiche/(num_dept)/2302", "2302.0")</f>
        <v>0</v>
      </c>
      <c r="H1896">
        <f>HYPERLINK("https://www.wikidata.org/wiki/Q16025551", "Q16025551")</f>
        <v>0</v>
      </c>
    </row>
    <row r="1897" spans="1:8">
      <c r="A1897" t="s">
        <v>1903</v>
      </c>
      <c r="B1897" t="s">
        <v>6653</v>
      </c>
      <c r="C1897" t="s">
        <v>10322</v>
      </c>
      <c r="D1897" t="s">
        <v>12044</v>
      </c>
      <c r="E1897" s="2">
        <v>75</v>
      </c>
      <c r="F1897">
        <f>HYPERLINK("https://www2.assemblee-nationale.fr/sycomore/fiche/(num_dept)/8209", "8209.0")</f>
        <v>0</v>
      </c>
      <c r="H1897">
        <f>HYPERLINK("https://www.wikidata.org/wiki/Q2847076", "Q2847076")</f>
        <v>0</v>
      </c>
    </row>
    <row r="1898" spans="1:8">
      <c r="A1898" t="s">
        <v>1904</v>
      </c>
      <c r="B1898" t="s">
        <v>6654</v>
      </c>
      <c r="C1898" t="s">
        <v>9430</v>
      </c>
      <c r="D1898" t="s">
        <v>13167</v>
      </c>
      <c r="E1898" s="2">
        <v>5144</v>
      </c>
      <c r="F1898">
        <f>HYPERLINK("https://www2.assemblee-nationale.fr/sycomore/fiche/(num_dept)/2409", "2409.0")</f>
        <v>0</v>
      </c>
      <c r="H1898">
        <f>HYPERLINK("https://www.wikidata.org/wiki/Q1094964", "Q1094964")</f>
        <v>0</v>
      </c>
    </row>
    <row r="1899" spans="1:8">
      <c r="A1899" t="s">
        <v>1905</v>
      </c>
      <c r="B1899" t="s">
        <v>6655</v>
      </c>
      <c r="C1899" t="s">
        <v>9324</v>
      </c>
      <c r="D1899" t="s">
        <v>12715</v>
      </c>
      <c r="E1899" s="2">
        <v>21403</v>
      </c>
      <c r="F1899">
        <f>HYPERLINK("https://www2.assemblee-nationale.fr/sycomore/fiche/(num_dept)/2462", "2462.0")</f>
        <v>0</v>
      </c>
      <c r="H1899">
        <f>HYPERLINK("https://www.wikidata.org/wiki/Q16025588", "Q16025588")</f>
        <v>0</v>
      </c>
    </row>
    <row r="1900" spans="1:8">
      <c r="A1900" t="s">
        <v>1906</v>
      </c>
      <c r="B1900" t="s">
        <v>6656</v>
      </c>
      <c r="C1900" t="s">
        <v>8384</v>
      </c>
      <c r="D1900" t="s">
        <v>12973</v>
      </c>
      <c r="E1900" s="2">
        <v>27652</v>
      </c>
      <c r="H1900">
        <f>HYPERLINK("https://www.wikidata.org/wiki/Q3384896", "Q3384896")</f>
        <v>0</v>
      </c>
    </row>
    <row r="1901" spans="1:8">
      <c r="A1901" t="s">
        <v>1907</v>
      </c>
      <c r="B1901" t="s">
        <v>6657</v>
      </c>
      <c r="C1901" t="s">
        <v>9634</v>
      </c>
      <c r="D1901" t="s">
        <v>13168</v>
      </c>
      <c r="E1901" s="2">
        <v>19288</v>
      </c>
      <c r="G1901">
        <f>HYPERLINK("https://www.senat.fr/senateur-3eme-republique/eccard_frederic1102r3.html", "eccard_frederic1102r3")</f>
        <v>0</v>
      </c>
      <c r="H1901">
        <f>HYPERLINK("https://www.wikidata.org/wiki/Q3089792", "Q3089792")</f>
        <v>0</v>
      </c>
    </row>
    <row r="1902" spans="1:8">
      <c r="A1902" t="s">
        <v>1908</v>
      </c>
      <c r="B1902" t="s">
        <v>6658</v>
      </c>
      <c r="C1902" t="s">
        <v>10323</v>
      </c>
      <c r="D1902" t="s">
        <v>13169</v>
      </c>
      <c r="E1902" s="2">
        <v>14710</v>
      </c>
      <c r="F1902">
        <f>HYPERLINK("https://www2.assemblee-nationale.fr/sycomore/fiche/(num_dept)/2816", "2816.0")</f>
        <v>0</v>
      </c>
      <c r="H1902">
        <f>HYPERLINK("https://www.wikidata.org/wiki/Q3371159", "Q3371159")</f>
        <v>0</v>
      </c>
    </row>
    <row r="1903" spans="1:8">
      <c r="A1903" t="s">
        <v>1909</v>
      </c>
      <c r="B1903" t="s">
        <v>6659</v>
      </c>
      <c r="C1903" t="s">
        <v>9471</v>
      </c>
      <c r="D1903" t="s">
        <v>13170</v>
      </c>
      <c r="E1903" s="2">
        <v>12247</v>
      </c>
      <c r="G1903">
        <f>HYPERLINK("https://www.senat.fr/senateur-3eme-republique/elby_jules0935r3.html", "elby_jules0935r3")</f>
        <v>0</v>
      </c>
      <c r="H1903">
        <f>HYPERLINK("https://www.wikidata.org/wiki/Q3188567", "Q3188567")</f>
        <v>0</v>
      </c>
    </row>
    <row r="1904" spans="1:8">
      <c r="A1904" t="s">
        <v>1910</v>
      </c>
      <c r="B1904" t="s">
        <v>6659</v>
      </c>
      <c r="C1904" t="s">
        <v>9324</v>
      </c>
      <c r="D1904" t="s">
        <v>13171</v>
      </c>
      <c r="E1904" s="2">
        <v>27373</v>
      </c>
      <c r="G1904">
        <f>HYPERLINK("https://www.senat.fr/senateur-3eme-republique/elby_henri0978r3.html", "elby_henri0978r3")</f>
        <v>0</v>
      </c>
      <c r="H1904">
        <f>HYPERLINK("https://www.wikidata.org/wiki/Q3131043", "Q3131043")</f>
        <v>0</v>
      </c>
    </row>
    <row r="1905" spans="1:8">
      <c r="A1905" t="s">
        <v>1911</v>
      </c>
      <c r="B1905" t="s">
        <v>6660</v>
      </c>
      <c r="C1905" t="s">
        <v>10324</v>
      </c>
      <c r="D1905" t="s">
        <v>13172</v>
      </c>
      <c r="E1905" s="2">
        <v>14761</v>
      </c>
      <c r="F1905">
        <f>HYPERLINK("https://www2.assemblee-nationale.fr/sycomore/fiche/(num_dept)/2817", "2817.0")</f>
        <v>0</v>
      </c>
      <c r="H1905">
        <f>HYPERLINK("https://www.wikidata.org/wiki/Q16025666", "Q16025666")</f>
        <v>0</v>
      </c>
    </row>
    <row r="1906" spans="1:8">
      <c r="A1906" t="s">
        <v>1912</v>
      </c>
      <c r="B1906" t="s">
        <v>6661</v>
      </c>
      <c r="C1906" t="s">
        <v>6691</v>
      </c>
      <c r="D1906" t="s">
        <v>13173</v>
      </c>
      <c r="E1906" s="2">
        <v>11764</v>
      </c>
      <c r="F1906">
        <f>HYPERLINK("https://www2.assemblee-nationale.fr/sycomore/fiche/(num_dept)/2818", "2818.0")</f>
        <v>0</v>
      </c>
      <c r="G1906">
        <f>HYPERLINK("https://www.senat.fr/senateur-3eme-republique/eliez_evrard_evrard1386r3.html", "eliez_evrard_evrard1386r3")</f>
        <v>0</v>
      </c>
      <c r="H1906">
        <f>HYPERLINK("https://www.wikidata.org/wiki/Q3061659", "Q3061659")</f>
        <v>0</v>
      </c>
    </row>
    <row r="1907" spans="1:8">
      <c r="A1907" t="s">
        <v>1913</v>
      </c>
      <c r="B1907" t="s">
        <v>6662</v>
      </c>
      <c r="C1907" t="s">
        <v>10325</v>
      </c>
      <c r="D1907" t="s">
        <v>13174</v>
      </c>
      <c r="E1907" s="2">
        <v>19150</v>
      </c>
      <c r="F1907">
        <f>HYPERLINK("https://www2.assemblee-nationale.fr/sycomore/fiche/(num_dept)/6498", "6498.0")</f>
        <v>0</v>
      </c>
      <c r="H1907">
        <f>HYPERLINK("https://www.wikidata.org/wiki/Q2853915", "Q2853915")</f>
        <v>0</v>
      </c>
    </row>
    <row r="1908" spans="1:8">
      <c r="A1908" t="s">
        <v>1914</v>
      </c>
      <c r="B1908" t="s">
        <v>6663</v>
      </c>
      <c r="C1908" t="s">
        <v>9564</v>
      </c>
      <c r="D1908" t="s">
        <v>13175</v>
      </c>
      <c r="E1908" s="2">
        <v>21522</v>
      </c>
      <c r="F1908">
        <f>HYPERLINK("https://www2.assemblee-nationale.fr/sycomore/fiche/(num_dept)/2820", "2820.0")</f>
        <v>0</v>
      </c>
      <c r="H1908">
        <f>HYPERLINK("https://www.wikidata.org/wiki/Q2366227", "Q2366227")</f>
        <v>0</v>
      </c>
    </row>
    <row r="1909" spans="1:8">
      <c r="A1909" t="s">
        <v>1915</v>
      </c>
      <c r="B1909" t="s">
        <v>6664</v>
      </c>
      <c r="C1909" t="s">
        <v>9355</v>
      </c>
      <c r="D1909" t="s">
        <v>13176</v>
      </c>
      <c r="E1909" s="2">
        <v>24074</v>
      </c>
      <c r="F1909">
        <f>HYPERLINK("https://www2.assemblee-nationale.fr/sycomore/fiche/(num_dept)/2822", "2822.0")</f>
        <v>0</v>
      </c>
      <c r="H1909">
        <f>HYPERLINK("https://www.wikidata.org/wiki/Q2959014", "Q2959014")</f>
        <v>0</v>
      </c>
    </row>
    <row r="1910" spans="1:8">
      <c r="A1910" t="s">
        <v>1916</v>
      </c>
      <c r="B1910" t="s">
        <v>6665</v>
      </c>
      <c r="C1910" t="s">
        <v>10326</v>
      </c>
      <c r="D1910" t="s">
        <v>11561</v>
      </c>
      <c r="E1910" s="2">
        <v>9196</v>
      </c>
      <c r="G1910">
        <f>HYPERLINK("https://www.senat.fr/senateur-3eme-republique/elva_christian0958r3.html", "elva_christian0958r3")</f>
        <v>0</v>
      </c>
      <c r="H1910">
        <f>HYPERLINK("https://www.wikidata.org/wiki/Q2965715", "Q2965715")</f>
        <v>0</v>
      </c>
    </row>
    <row r="1911" spans="1:8">
      <c r="A1911" t="s">
        <v>1917</v>
      </c>
      <c r="B1911" t="s">
        <v>6666</v>
      </c>
      <c r="C1911" t="s">
        <v>10327</v>
      </c>
      <c r="D1911" t="s">
        <v>12896</v>
      </c>
      <c r="E1911" s="2">
        <v>10695</v>
      </c>
      <c r="F1911">
        <f>HYPERLINK("https://www2.assemblee-nationale.fr/sycomore/fiche/(num_dept)/2826", "2826.0")</f>
        <v>0</v>
      </c>
      <c r="G1911">
        <f>HYPERLINK("https://www.senat.fr/senateur-3eme-republique/empereur_cesar1301r3.html", "empereur_cesar1301r3")</f>
        <v>0</v>
      </c>
      <c r="H1911">
        <f>HYPERLINK("https://www.wikidata.org/wiki/Q3010447", "Q3010447")</f>
        <v>0</v>
      </c>
    </row>
    <row r="1912" spans="1:8">
      <c r="A1912" t="s">
        <v>1918</v>
      </c>
      <c r="B1912" t="s">
        <v>6667</v>
      </c>
      <c r="C1912" t="s">
        <v>10328</v>
      </c>
      <c r="D1912" t="s">
        <v>12192</v>
      </c>
      <c r="E1912" t="s">
        <v>16072</v>
      </c>
      <c r="F1912">
        <f>HYPERLINK("https://www2.assemblee-nationale.fr/sycomore/fiche/(num_dept)/2828", "2828.0")</f>
        <v>0</v>
      </c>
      <c r="H1912">
        <f>HYPERLINK("https://www.wikidata.org/wiki/Q2871178", "Q2871178")</f>
        <v>0</v>
      </c>
    </row>
    <row r="1913" spans="1:8">
      <c r="A1913" t="s">
        <v>1919</v>
      </c>
      <c r="B1913" t="s">
        <v>6667</v>
      </c>
      <c r="C1913" t="s">
        <v>9918</v>
      </c>
      <c r="D1913" t="s">
        <v>13177</v>
      </c>
      <c r="E1913" s="2">
        <v>14192</v>
      </c>
      <c r="F1913">
        <f>HYPERLINK("https://www2.assemblee-nationale.fr/sycomore/fiche/(num_dept)/2829", "2829.0")</f>
        <v>0</v>
      </c>
      <c r="H1913">
        <f>HYPERLINK("https://www.wikidata.org/wiki/Q3069139", "Q3069139")</f>
        <v>0</v>
      </c>
    </row>
    <row r="1914" spans="1:8">
      <c r="A1914" t="s">
        <v>1920</v>
      </c>
      <c r="B1914" t="s">
        <v>6668</v>
      </c>
      <c r="C1914" t="s">
        <v>9345</v>
      </c>
      <c r="D1914" t="s">
        <v>13178</v>
      </c>
      <c r="E1914" s="2">
        <v>12891</v>
      </c>
      <c r="G1914">
        <f>HYPERLINK("https://www.senat.fr/senateur-3eme-republique/enjolras_francisque0518r3.html", "enjolras_francisque0518r3")</f>
        <v>0</v>
      </c>
      <c r="H1914">
        <f>HYPERLINK("https://www.wikidata.org/wiki/Q3081999", "Q3081999")</f>
        <v>0</v>
      </c>
    </row>
    <row r="1915" spans="1:8">
      <c r="A1915" t="s">
        <v>1921</v>
      </c>
      <c r="B1915" t="s">
        <v>6669</v>
      </c>
      <c r="C1915" t="s">
        <v>7342</v>
      </c>
      <c r="D1915" t="s">
        <v>13179</v>
      </c>
      <c r="E1915" s="2">
        <v>14380</v>
      </c>
      <c r="F1915">
        <f>HYPERLINK("https://www2.assemblee-nationale.fr/sycomore/fiche/(num_dept)/2831", "2831.0")</f>
        <v>0</v>
      </c>
      <c r="H1915">
        <f>HYPERLINK("https://www.wikidata.org/wiki/Q2407910", "Q2407910")</f>
        <v>0</v>
      </c>
    </row>
    <row r="1916" spans="1:8">
      <c r="A1916" t="s">
        <v>1922</v>
      </c>
      <c r="B1916" t="s">
        <v>6670</v>
      </c>
      <c r="C1916" t="s">
        <v>7342</v>
      </c>
      <c r="D1916" t="s">
        <v>13180</v>
      </c>
      <c r="E1916" s="2">
        <v>23894</v>
      </c>
      <c r="F1916">
        <f>HYPERLINK("https://www2.assemblee-nationale.fr/sycomore/fiche/(num_dept)/2832", "2832.0")</f>
        <v>0</v>
      </c>
      <c r="H1916">
        <f>HYPERLINK("https://www.wikidata.org/wiki/Q16025668", "Q16025668")</f>
        <v>0</v>
      </c>
    </row>
    <row r="1917" spans="1:8">
      <c r="A1917" t="s">
        <v>1923</v>
      </c>
      <c r="B1917" t="s">
        <v>6671</v>
      </c>
      <c r="C1917" t="s">
        <v>7001</v>
      </c>
      <c r="D1917" t="s">
        <v>13181</v>
      </c>
      <c r="E1917" s="2">
        <v>12828</v>
      </c>
      <c r="F1917">
        <f>HYPERLINK("https://www2.assemblee-nationale.fr/sycomore/fiche/(num_dept)/2833", "2833.0")</f>
        <v>0</v>
      </c>
      <c r="G1917">
        <f>HYPERLINK("https://www.senat.fr/senateur-3eme-republique/ermant_georges0030r3.html", "ermant_georges0030r3")</f>
        <v>0</v>
      </c>
      <c r="H1917">
        <f>HYPERLINK("https://www.wikidata.org/wiki/Q3102677", "Q3102677")</f>
        <v>0</v>
      </c>
    </row>
    <row r="1918" spans="1:8">
      <c r="A1918" t="s">
        <v>1924</v>
      </c>
      <c r="B1918" t="s">
        <v>6672</v>
      </c>
      <c r="C1918" t="s">
        <v>9533</v>
      </c>
      <c r="D1918" t="s">
        <v>13182</v>
      </c>
      <c r="E1918" s="2">
        <v>10419</v>
      </c>
      <c r="F1918">
        <f>HYPERLINK("https://www2.assemblee-nationale.fr/sycomore/fiche/(num_dept)/2835", "2835.0")</f>
        <v>0</v>
      </c>
      <c r="H1918">
        <f>HYPERLINK("https://www.wikidata.org/wiki/Q16025669", "Q16025669")</f>
        <v>0</v>
      </c>
    </row>
    <row r="1919" spans="1:8">
      <c r="A1919" t="s">
        <v>1925</v>
      </c>
      <c r="B1919" t="s">
        <v>6673</v>
      </c>
      <c r="C1919" t="s">
        <v>7001</v>
      </c>
      <c r="D1919" t="s">
        <v>13183</v>
      </c>
      <c r="E1919" s="2">
        <v>16362</v>
      </c>
      <c r="G1919">
        <f>HYPERLINK("https://www.senat.fr/senateur-3eme-republique/escande_georges0798r3.html", "escande_georges0798r3")</f>
        <v>0</v>
      </c>
      <c r="H1919">
        <f>HYPERLINK("https://www.wikidata.org/wiki/Q3102678", "Q3102678")</f>
        <v>0</v>
      </c>
    </row>
    <row r="1920" spans="1:8">
      <c r="A1920" t="s">
        <v>1926</v>
      </c>
      <c r="B1920" t="s">
        <v>6674</v>
      </c>
      <c r="C1920" t="s">
        <v>9634</v>
      </c>
      <c r="D1920" t="s">
        <v>13184</v>
      </c>
      <c r="E1920" s="2">
        <v>2436</v>
      </c>
      <c r="F1920">
        <f>HYPERLINK("https://www2.assemblee-nationale.fr/sycomore/fiche/(num_dept)/2837", "2837.0")</f>
        <v>0</v>
      </c>
      <c r="H1920">
        <f>HYPERLINK("https://www.wikidata.org/wiki/Q16011198", "Q16011198")</f>
        <v>0</v>
      </c>
    </row>
    <row r="1921" spans="1:8">
      <c r="A1921" t="s">
        <v>1927</v>
      </c>
      <c r="B1921" t="s">
        <v>6675</v>
      </c>
      <c r="C1921" t="s">
        <v>10329</v>
      </c>
      <c r="D1921" t="s">
        <v>13185</v>
      </c>
      <c r="E1921" t="s">
        <v>16073</v>
      </c>
      <c r="F1921">
        <f>HYPERLINK("https://www2.assemblee-nationale.fr/sycomore/fiche/(num_dept)/8222", "8222.0")</f>
        <v>0</v>
      </c>
      <c r="G1921">
        <f>HYPERLINK("https://www.senat.fr/senateur-3eme-republique/escarguel_lazare1096r3.html", "escarguel_lazare1096r3")</f>
        <v>0</v>
      </c>
      <c r="H1921">
        <f>HYPERLINK("https://www.wikidata.org/wiki/Q3220004", "Q3220004")</f>
        <v>0</v>
      </c>
    </row>
    <row r="1922" spans="1:8">
      <c r="A1922" t="s">
        <v>1928</v>
      </c>
      <c r="B1922" t="s">
        <v>6676</v>
      </c>
      <c r="C1922" t="s">
        <v>9953</v>
      </c>
      <c r="D1922" t="s">
        <v>13186</v>
      </c>
      <c r="E1922" s="2">
        <v>21132</v>
      </c>
      <c r="F1922">
        <f>HYPERLINK("https://www2.assemblee-nationale.fr/sycomore/fiche/(num_dept)/2838", "2838.0")</f>
        <v>0</v>
      </c>
      <c r="H1922">
        <f>HYPERLINK("https://www.wikidata.org/wiki/Q3293800", "Q3293800")</f>
        <v>0</v>
      </c>
    </row>
    <row r="1923" spans="1:8">
      <c r="A1923" t="s">
        <v>1929</v>
      </c>
      <c r="B1923" t="s">
        <v>6677</v>
      </c>
      <c r="C1923" t="s">
        <v>10330</v>
      </c>
      <c r="D1923" t="s">
        <v>13187</v>
      </c>
      <c r="E1923" s="2">
        <v>2435</v>
      </c>
      <c r="F1923">
        <f>HYPERLINK("https://www2.assemblee-nationale.fr/sycomore/fiche/(num_dept)/2839", "2839.0")</f>
        <v>0</v>
      </c>
      <c r="H1923">
        <f>HYPERLINK("https://www.wikidata.org/wiki/Q3059850", "Q3059850")</f>
        <v>0</v>
      </c>
    </row>
    <row r="1924" spans="1:8">
      <c r="A1924" t="s">
        <v>1930</v>
      </c>
      <c r="B1924" t="s">
        <v>6678</v>
      </c>
      <c r="C1924" t="s">
        <v>7782</v>
      </c>
      <c r="D1924" t="s">
        <v>13188</v>
      </c>
      <c r="E1924" s="2">
        <v>12769</v>
      </c>
      <c r="F1924">
        <f>HYPERLINK("https://www2.assemblee-nationale.fr/sycomore/fiche/(num_dept)/2841", "2841.0")</f>
        <v>0</v>
      </c>
      <c r="H1924">
        <f>HYPERLINK("https://www.wikidata.org/wiki/Q3270943", "Q3270943")</f>
        <v>0</v>
      </c>
    </row>
    <row r="1925" spans="1:8">
      <c r="A1925" t="s">
        <v>1931</v>
      </c>
      <c r="B1925" t="s">
        <v>6678</v>
      </c>
      <c r="C1925" t="s">
        <v>5096</v>
      </c>
      <c r="D1925" t="s">
        <v>13189</v>
      </c>
      <c r="E1925" s="2">
        <v>18192</v>
      </c>
      <c r="F1925">
        <f>HYPERLINK("https://www2.assemblee-nationale.fr/sycomore/fiche/(num_dept)/2840", "2840.0")</f>
        <v>0</v>
      </c>
      <c r="H1925">
        <f>HYPERLINK("https://www.wikidata.org/wiki/Q16025671", "Q16025671")</f>
        <v>0</v>
      </c>
    </row>
    <row r="1926" spans="1:8">
      <c r="A1926" t="s">
        <v>1932</v>
      </c>
      <c r="B1926" t="s">
        <v>6679</v>
      </c>
      <c r="C1926" t="s">
        <v>10331</v>
      </c>
      <c r="D1926" t="s">
        <v>13190</v>
      </c>
      <c r="E1926" s="2">
        <v>16285</v>
      </c>
      <c r="F1926">
        <f>HYPERLINK("https://www2.assemblee-nationale.fr/sycomore/fiche/(num_dept)/2842", "2842.0")</f>
        <v>0</v>
      </c>
      <c r="H1926">
        <f>HYPERLINK("https://www.wikidata.org/wiki/Q16025672", "Q16025672")</f>
        <v>0</v>
      </c>
    </row>
    <row r="1927" spans="1:8">
      <c r="A1927" t="s">
        <v>1933</v>
      </c>
      <c r="B1927" t="s">
        <v>6680</v>
      </c>
      <c r="C1927" t="s">
        <v>9430</v>
      </c>
      <c r="D1927" t="s">
        <v>13191</v>
      </c>
      <c r="E1927" s="2">
        <v>11622</v>
      </c>
      <c r="F1927">
        <f>HYPERLINK("https://www2.assemblee-nationale.fr/sycomore/fiche/(num_dept)/2844", "2844.0")</f>
        <v>0</v>
      </c>
      <c r="H1927">
        <f>HYPERLINK("https://www.wikidata.org/wiki/Q13089371", "Q13089371")</f>
        <v>0</v>
      </c>
    </row>
    <row r="1928" spans="1:8">
      <c r="A1928" t="s">
        <v>1934</v>
      </c>
      <c r="B1928" t="s">
        <v>6681</v>
      </c>
      <c r="C1928" t="s">
        <v>10332</v>
      </c>
      <c r="D1928" t="s">
        <v>13192</v>
      </c>
      <c r="E1928" t="s">
        <v>14895</v>
      </c>
      <c r="F1928">
        <f>HYPERLINK("https://www2.assemblee-nationale.fr/sycomore/fiche/(num_dept)/8080", "8080.0")</f>
        <v>0</v>
      </c>
      <c r="H1928">
        <f>HYPERLINK("https://www.wikidata.org/wiki/Q3190891", "Q3190891")</f>
        <v>0</v>
      </c>
    </row>
    <row r="1929" spans="1:8">
      <c r="A1929" t="s">
        <v>1935</v>
      </c>
      <c r="B1929" t="s">
        <v>6682</v>
      </c>
      <c r="C1929" t="s">
        <v>10333</v>
      </c>
      <c r="D1929" t="s">
        <v>13193</v>
      </c>
      <c r="E1929" t="s">
        <v>16074</v>
      </c>
      <c r="G1929">
        <f>HYPERLINK("https://www.senat.fr/senateur-3eme-republique/espinasse_sylvain1679r3.html", "espinasse_sylvain1679r3")</f>
        <v>0</v>
      </c>
      <c r="H1929">
        <f>HYPERLINK("https://www.wikidata.org/wiki/Q3506989", "Q3506989")</f>
        <v>0</v>
      </c>
    </row>
    <row r="1930" spans="1:8">
      <c r="A1930" t="s">
        <v>1936</v>
      </c>
      <c r="B1930" t="s">
        <v>6683</v>
      </c>
      <c r="C1930" t="s">
        <v>7233</v>
      </c>
      <c r="D1930" t="s">
        <v>13194</v>
      </c>
      <c r="E1930" s="2">
        <v>2947</v>
      </c>
      <c r="G1930">
        <f>HYPERLINK("https://www.senat.fr/senateur-3eme-republique/espivent_de_la_villeboisnet_henry1275r3.html", "espivent_de_la_villeboisnet_henry1275r3")</f>
        <v>0</v>
      </c>
      <c r="H1930">
        <f>HYPERLINK("https://www.wikidata.org/wiki/Q3131054", "Q3131054")</f>
        <v>0</v>
      </c>
    </row>
    <row r="1931" spans="1:8">
      <c r="A1931" t="s">
        <v>1937</v>
      </c>
      <c r="B1931" t="s">
        <v>6684</v>
      </c>
      <c r="C1931" t="s">
        <v>10334</v>
      </c>
      <c r="D1931" t="s">
        <v>13195</v>
      </c>
      <c r="E1931" s="2">
        <v>4280</v>
      </c>
      <c r="F1931">
        <f>HYPERLINK("https://www2.assemblee-nationale.fr/sycomore/fiche/(num_dept)/1984", "1984.0")</f>
        <v>0</v>
      </c>
      <c r="H1931">
        <f>HYPERLINK("https://www.wikidata.org/wiki/Q16025485", "Q16025485")</f>
        <v>0</v>
      </c>
    </row>
    <row r="1932" spans="1:8">
      <c r="A1932" t="s">
        <v>1938</v>
      </c>
      <c r="B1932" t="s">
        <v>6685</v>
      </c>
      <c r="C1932" t="s">
        <v>10335</v>
      </c>
      <c r="D1932" t="s">
        <v>13196</v>
      </c>
      <c r="E1932" s="2">
        <v>2845</v>
      </c>
      <c r="F1932">
        <f>HYPERLINK("https://www2.assemblee-nationale.fr/sycomore/fiche/(num_dept)/2859", "2859.0")</f>
        <v>0</v>
      </c>
      <c r="H1932">
        <f>HYPERLINK("https://www.wikidata.org/wiki/Q12262626", "Q12262626")</f>
        <v>0</v>
      </c>
    </row>
    <row r="1933" spans="1:8">
      <c r="A1933" t="s">
        <v>1939</v>
      </c>
      <c r="B1933" t="s">
        <v>6686</v>
      </c>
      <c r="C1933" t="s">
        <v>9368</v>
      </c>
      <c r="D1933" t="s">
        <v>13197</v>
      </c>
      <c r="E1933" s="2">
        <v>7804</v>
      </c>
      <c r="F1933">
        <f>HYPERLINK("https://www2.assemblee-nationale.fr/sycomore/fiche/(num_dept)/2861", "2861.0")</f>
        <v>0</v>
      </c>
      <c r="G1933">
        <f>HYPERLINK("https://www.senat.fr/senateur-3eme-republique/etienne_eugene1824r3.html", "etienne_eugene1824r3")</f>
        <v>0</v>
      </c>
      <c r="H1933">
        <f>HYPERLINK("https://www.wikidata.org/wiki/Q2612305", "Q2612305")</f>
        <v>0</v>
      </c>
    </row>
    <row r="1934" spans="1:8">
      <c r="A1934" t="s">
        <v>1940</v>
      </c>
      <c r="B1934" t="s">
        <v>6687</v>
      </c>
      <c r="C1934" t="s">
        <v>9634</v>
      </c>
      <c r="D1934" t="s">
        <v>13198</v>
      </c>
      <c r="E1934" s="2">
        <v>7340</v>
      </c>
      <c r="F1934">
        <f>HYPERLINK("https://www2.assemblee-nationale.fr/sycomore/fiche/(num_dept)/2864", "2864.0")</f>
        <v>0</v>
      </c>
      <c r="H1934">
        <f>HYPERLINK("https://www.wikidata.org/wiki/Q16025675", "Q16025675")</f>
        <v>0</v>
      </c>
    </row>
    <row r="1935" spans="1:8">
      <c r="A1935" t="s">
        <v>1941</v>
      </c>
      <c r="B1935" t="s">
        <v>6688</v>
      </c>
      <c r="C1935" t="s">
        <v>9375</v>
      </c>
      <c r="D1935" t="s">
        <v>13199</v>
      </c>
      <c r="E1935" s="2">
        <v>16214</v>
      </c>
      <c r="F1935">
        <f>HYPERLINK("https://www2.assemblee-nationale.fr/sycomore/fiche/(num_dept)/2865", "2865.0")</f>
        <v>0</v>
      </c>
      <c r="H1935">
        <f>HYPERLINK("https://www.wikidata.org/wiki/Q16025676", "Q16025676")</f>
        <v>0</v>
      </c>
    </row>
    <row r="1936" spans="1:8">
      <c r="A1936" t="s">
        <v>1942</v>
      </c>
      <c r="B1936" t="s">
        <v>6689</v>
      </c>
      <c r="C1936" t="s">
        <v>10336</v>
      </c>
      <c r="D1936" t="s">
        <v>13200</v>
      </c>
      <c r="E1936" t="s">
        <v>16075</v>
      </c>
      <c r="F1936">
        <f>HYPERLINK("https://www2.assemblee-nationale.fr/sycomore/fiche/(num_dept)/8107", "8107.0")</f>
        <v>0</v>
      </c>
      <c r="H1936">
        <f>HYPERLINK("https://www.wikidata.org/wiki/Q3166507", "Q3166507")</f>
        <v>0</v>
      </c>
    </row>
    <row r="1937" spans="1:8">
      <c r="A1937" t="s">
        <v>1943</v>
      </c>
      <c r="B1937" t="s">
        <v>6689</v>
      </c>
      <c r="C1937" t="s">
        <v>10337</v>
      </c>
      <c r="D1937" t="s">
        <v>13201</v>
      </c>
      <c r="E1937" s="2">
        <v>3480</v>
      </c>
      <c r="F1937">
        <f>HYPERLINK("https://www2.assemblee-nationale.fr/sycomore/fiche/(num_dept)/8104", "8104.0")</f>
        <v>0</v>
      </c>
      <c r="H1937">
        <f>HYPERLINK("https://www.wikidata.org/wiki/Q3159566", "Q3159566")</f>
        <v>0</v>
      </c>
    </row>
    <row r="1938" spans="1:8">
      <c r="A1938" t="s">
        <v>1944</v>
      </c>
      <c r="B1938" t="s">
        <v>6689</v>
      </c>
      <c r="C1938" t="s">
        <v>8384</v>
      </c>
      <c r="D1938" t="s">
        <v>13202</v>
      </c>
      <c r="E1938" s="2">
        <v>15157</v>
      </c>
      <c r="F1938">
        <f>HYPERLINK("https://www2.assemblee-nationale.fr/sycomore/fiche/(num_dept)/2866", "2866.0")</f>
        <v>0</v>
      </c>
      <c r="G1938">
        <f>HYPERLINK("https://www.senat.fr/senateur-3eme-republique/even_pierre0579r3.html", "even_pierre0579r3")</f>
        <v>0</v>
      </c>
      <c r="H1938">
        <f>HYPERLINK("https://www.wikidata.org/wiki/Q3384931", "Q3384931")</f>
        <v>0</v>
      </c>
    </row>
    <row r="1939" spans="1:8">
      <c r="A1939" t="s">
        <v>1945</v>
      </c>
      <c r="B1939" t="s">
        <v>6690</v>
      </c>
      <c r="C1939" t="s">
        <v>10338</v>
      </c>
      <c r="D1939" t="s">
        <v>13203</v>
      </c>
      <c r="E1939" s="2">
        <v>2731</v>
      </c>
      <c r="F1939">
        <f>HYPERLINK("https://www2.assemblee-nationale.fr/sycomore/fiche/(num_dept)/2867", "2867.0")</f>
        <v>0</v>
      </c>
      <c r="H1939">
        <f>HYPERLINK("https://www.wikidata.org/wiki/Q16025677", "Q16025677")</f>
        <v>0</v>
      </c>
    </row>
    <row r="1940" spans="1:8">
      <c r="A1940" t="s">
        <v>1946</v>
      </c>
      <c r="B1940" t="s">
        <v>6691</v>
      </c>
      <c r="C1940" t="s">
        <v>9359</v>
      </c>
      <c r="D1940" t="s">
        <v>13204</v>
      </c>
      <c r="E1940" s="2">
        <v>16131</v>
      </c>
      <c r="F1940">
        <f>HYPERLINK("https://www2.assemblee-nationale.fr/sycomore/fiche/(num_dept)/2870", "2870.0")</f>
        <v>0</v>
      </c>
      <c r="H1940">
        <f>HYPERLINK("https://www.wikidata.org/wiki/Q16025678", "Q16025678")</f>
        <v>0</v>
      </c>
    </row>
    <row r="1941" spans="1:8">
      <c r="A1941" t="s">
        <v>1947</v>
      </c>
      <c r="B1941" t="s">
        <v>6692</v>
      </c>
      <c r="C1941" t="s">
        <v>9355</v>
      </c>
      <c r="D1941" t="s">
        <v>13205</v>
      </c>
      <c r="E1941" s="2">
        <v>5926</v>
      </c>
      <c r="G1941">
        <f>HYPERLINK("https://www.senat.fr/senateur-3eme-republique/expert_bezancon_charles1414r3.html", "expert_bezancon_charles1414r3")</f>
        <v>0</v>
      </c>
      <c r="H1941">
        <f>HYPERLINK("https://www.wikidata.org/wiki/Q13077259", "Q13077259")</f>
        <v>0</v>
      </c>
    </row>
    <row r="1942" spans="1:8">
      <c r="A1942" t="s">
        <v>1948</v>
      </c>
      <c r="B1942" t="s">
        <v>6693</v>
      </c>
      <c r="C1942" t="s">
        <v>9373</v>
      </c>
      <c r="D1942" t="s">
        <v>13206</v>
      </c>
      <c r="E1942" t="s">
        <v>16076</v>
      </c>
      <c r="G1942">
        <f>HYPERLINK("https://www.senat.fr/senateur-3eme-republique/eymard_duvernay_joseph1190r3.html", "eymard_duvernay_joseph1190r3")</f>
        <v>0</v>
      </c>
      <c r="H1942">
        <f>HYPERLINK("https://www.wikidata.org/wiki/Q3184918", "Q3184918")</f>
        <v>0</v>
      </c>
    </row>
    <row r="1943" spans="1:8">
      <c r="A1943" t="s">
        <v>1949</v>
      </c>
      <c r="B1943" t="s">
        <v>6694</v>
      </c>
      <c r="C1943" t="s">
        <v>5330</v>
      </c>
      <c r="D1943" t="s">
        <v>13207</v>
      </c>
      <c r="E1943" s="2">
        <v>10528</v>
      </c>
      <c r="G1943">
        <f>HYPERLINK("https://www.senat.fr/senateur-3eme-republique/eymery_bernard0672r3.html", "eymery_bernard0672r3")</f>
        <v>0</v>
      </c>
      <c r="H1943">
        <f>HYPERLINK("https://www.wikidata.org/wiki/Q2897871", "Q2897871")</f>
        <v>0</v>
      </c>
    </row>
    <row r="1944" spans="1:8">
      <c r="A1944" t="s">
        <v>1950</v>
      </c>
      <c r="B1944" t="s">
        <v>6695</v>
      </c>
      <c r="C1944" t="s">
        <v>9346</v>
      </c>
      <c r="D1944" t="s">
        <v>11550</v>
      </c>
      <c r="E1944" s="2">
        <v>15357</v>
      </c>
      <c r="F1944">
        <f>HYPERLINK("https://www2.assemblee-nationale.fr/sycomore/fiche/(num_dept)/2873", "2873.0")</f>
        <v>0</v>
      </c>
      <c r="H1944">
        <f>HYPERLINK("https://www.wikidata.org/wiki/Q16025679", "Q16025679")</f>
        <v>0</v>
      </c>
    </row>
    <row r="1945" spans="1:8">
      <c r="A1945" t="s">
        <v>1951</v>
      </c>
      <c r="B1945" t="s">
        <v>6696</v>
      </c>
      <c r="C1945" t="s">
        <v>7549</v>
      </c>
      <c r="D1945" t="s">
        <v>13208</v>
      </c>
      <c r="E1945" s="2">
        <v>25918</v>
      </c>
      <c r="F1945">
        <f>HYPERLINK("https://www2.assemblee-nationale.fr/sycomore/fiche/(num_dept)/2874", "2874.0")</f>
        <v>0</v>
      </c>
      <c r="G1945">
        <f>HYPERLINK("https://www.senat.fr/senateur-3eme-republique/eynac_laurent0520r3.html", "eynac_laurent0520r3")</f>
        <v>0</v>
      </c>
      <c r="H1945">
        <f>HYPERLINK("https://www.wikidata.org/wiki/Q3219208", "Q3219208")</f>
        <v>0</v>
      </c>
    </row>
    <row r="1946" spans="1:8">
      <c r="A1946" t="s">
        <v>1952</v>
      </c>
      <c r="B1946" t="s">
        <v>6697</v>
      </c>
      <c r="C1946" t="s">
        <v>6864</v>
      </c>
      <c r="D1946" t="s">
        <v>13209</v>
      </c>
      <c r="E1946" s="2">
        <v>17953</v>
      </c>
      <c r="G1946">
        <f>HYPERLINK("https://www.senat.fr/senateur-3eme-republique/eynard_francois0724r3.html", "eynard_francois0724r3")</f>
        <v>0</v>
      </c>
      <c r="H1946">
        <f>HYPERLINK("https://www.wikidata.org/wiki/Q3084577", "Q3084577")</f>
        <v>0</v>
      </c>
    </row>
    <row r="1947" spans="1:8">
      <c r="A1947" t="s">
        <v>1953</v>
      </c>
      <c r="B1947" t="s">
        <v>6698</v>
      </c>
      <c r="C1947" t="s">
        <v>8269</v>
      </c>
      <c r="D1947" t="s">
        <v>13210</v>
      </c>
      <c r="E1947" s="2">
        <v>3158</v>
      </c>
      <c r="F1947">
        <f>HYPERLINK("https://www2.assemblee-nationale.fr/sycomore/fiche/(num_dept)/2875", "2875.0")</f>
        <v>0</v>
      </c>
      <c r="H1947">
        <f>HYPERLINK("https://www.wikidata.org/wiki/Q13088837", "Q13088837")</f>
        <v>0</v>
      </c>
    </row>
    <row r="1948" spans="1:8">
      <c r="A1948" t="s">
        <v>1954</v>
      </c>
      <c r="B1948" t="s">
        <v>6699</v>
      </c>
      <c r="C1948" t="s">
        <v>10339</v>
      </c>
      <c r="D1948" t="s">
        <v>13211</v>
      </c>
      <c r="E1948" s="2">
        <v>5876</v>
      </c>
      <c r="F1948">
        <f>HYPERLINK("https://www2.assemblee-nationale.fr/sycomore/fiche/(num_dept)/8074", "8074.0")</f>
        <v>0</v>
      </c>
      <c r="G1948">
        <f>HYPERLINK("https://www.senat.fr/senateur-3eme-republique/fabre_joseph0293r3.html", "fabre_joseph0293r3")</f>
        <v>0</v>
      </c>
      <c r="H1948">
        <f>HYPERLINK("https://www.wikidata.org/wiki/Q3184922", "Q3184922")</f>
        <v>0</v>
      </c>
    </row>
    <row r="1949" spans="1:8">
      <c r="A1949" t="s">
        <v>1955</v>
      </c>
      <c r="B1949" t="s">
        <v>6699</v>
      </c>
      <c r="C1949" t="s">
        <v>9533</v>
      </c>
      <c r="D1949" t="s">
        <v>13212</v>
      </c>
      <c r="E1949" s="2">
        <v>8745</v>
      </c>
      <c r="F1949">
        <f>HYPERLINK("https://www2.assemblee-nationale.fr/sycomore/fiche/(num_dept)/2878", "2878.0")</f>
        <v>0</v>
      </c>
      <c r="H1949">
        <f>HYPERLINK("https://www.wikidata.org/wiki/Q17354514", "Q17354514")</f>
        <v>0</v>
      </c>
    </row>
    <row r="1950" spans="1:8">
      <c r="A1950" t="s">
        <v>1956</v>
      </c>
      <c r="B1950" t="s">
        <v>6699</v>
      </c>
      <c r="C1950" t="s">
        <v>10340</v>
      </c>
      <c r="D1950" t="s">
        <v>13213</v>
      </c>
      <c r="E1950" s="2">
        <v>18032</v>
      </c>
      <c r="F1950">
        <f>HYPERLINK("https://www2.assemblee-nationale.fr/sycomore/fiche/(num_dept)/2880", "2880.0")</f>
        <v>0</v>
      </c>
      <c r="H1950">
        <f>HYPERLINK("https://www.wikidata.org/wiki/Q17350126", "Q17350126")</f>
        <v>0</v>
      </c>
    </row>
    <row r="1951" spans="1:8">
      <c r="A1951" t="s">
        <v>1957</v>
      </c>
      <c r="B1951" t="s">
        <v>6700</v>
      </c>
      <c r="C1951" t="s">
        <v>10341</v>
      </c>
      <c r="D1951" t="s">
        <v>13214</v>
      </c>
      <c r="E1951" s="2">
        <v>16885</v>
      </c>
      <c r="G1951">
        <f>HYPERLINK("https://www.senat.fr/senateur-3eme-republique/fabre_ulysse1711r3.html", "fabre_ulysse1711r3")</f>
        <v>0</v>
      </c>
      <c r="H1951">
        <f>HYPERLINK("https://www.wikidata.org/wiki/Q3548138", "Q3548138")</f>
        <v>0</v>
      </c>
    </row>
    <row r="1952" spans="1:8">
      <c r="A1952" t="s">
        <v>1958</v>
      </c>
      <c r="B1952" t="s">
        <v>6701</v>
      </c>
      <c r="C1952" t="s">
        <v>7342</v>
      </c>
      <c r="D1952" t="s">
        <v>13215</v>
      </c>
      <c r="E1952" s="2">
        <v>24990</v>
      </c>
      <c r="F1952">
        <f>HYPERLINK("https://www2.assemblee-nationale.fr/sycomore/fiche/(num_dept)/2884", "2884.0")</f>
        <v>0</v>
      </c>
      <c r="G1952">
        <f>HYPERLINK("https://www.senat.fr/senateur-3eme-republique/fabry_jean0685r3.html", "fabry_jean0685r3")</f>
        <v>0</v>
      </c>
      <c r="H1952">
        <f>HYPERLINK("https://www.wikidata.org/wiki/Q3171965", "Q3171965")</f>
        <v>0</v>
      </c>
    </row>
    <row r="1953" spans="1:8">
      <c r="A1953" t="s">
        <v>1959</v>
      </c>
      <c r="B1953" t="s">
        <v>6702</v>
      </c>
      <c r="C1953" t="s">
        <v>10342</v>
      </c>
      <c r="D1953" t="s">
        <v>13216</v>
      </c>
      <c r="E1953" s="2">
        <v>12753</v>
      </c>
      <c r="F1953">
        <f>HYPERLINK("https://www2.assemblee-nationale.fr/sycomore/fiche/(num_dept)/2885", "2885.0")</f>
        <v>0</v>
      </c>
      <c r="H1953">
        <f>HYPERLINK("https://www.wikidata.org/wiki/Q8344335", "Q8344335")</f>
        <v>0</v>
      </c>
    </row>
    <row r="1954" spans="1:8">
      <c r="A1954" t="s">
        <v>1960</v>
      </c>
      <c r="B1954" t="s">
        <v>6703</v>
      </c>
      <c r="C1954" t="s">
        <v>7754</v>
      </c>
      <c r="D1954" t="s">
        <v>13217</v>
      </c>
      <c r="E1954" s="2">
        <v>11571</v>
      </c>
      <c r="F1954">
        <f>HYPERLINK("https://www2.assemblee-nationale.fr/sycomore/fiche/(num_dept)/2887", "2887.0")</f>
        <v>0</v>
      </c>
      <c r="H1954">
        <f>HYPERLINK("https://www.wikidata.org/wiki/Q3261865", "Q3261865")</f>
        <v>0</v>
      </c>
    </row>
    <row r="1955" spans="1:8">
      <c r="A1955" t="s">
        <v>1961</v>
      </c>
      <c r="B1955" t="s">
        <v>6704</v>
      </c>
      <c r="C1955" t="s">
        <v>9312</v>
      </c>
      <c r="D1955" t="s">
        <v>13218</v>
      </c>
      <c r="E1955" t="s">
        <v>16077</v>
      </c>
      <c r="F1955">
        <f>HYPERLINK("https://www2.assemblee-nationale.fr/sycomore/fiche/(num_dept)/2890", "2890.0")</f>
        <v>0</v>
      </c>
      <c r="H1955">
        <f>HYPERLINK("https://www.wikidata.org/wiki/Q3164079", "Q3164079")</f>
        <v>0</v>
      </c>
    </row>
    <row r="1956" spans="1:8">
      <c r="A1956" t="s">
        <v>1962</v>
      </c>
      <c r="B1956" t="s">
        <v>6705</v>
      </c>
      <c r="C1956" t="s">
        <v>9368</v>
      </c>
      <c r="D1956" t="s">
        <v>13219</v>
      </c>
      <c r="E1956" s="2">
        <v>6949</v>
      </c>
      <c r="G1956">
        <f>HYPERLINK("https://www.senat.fr/senateur-3eme-republique/fagot_eugene0162r3.html", "fagot_eugene0162r3")</f>
        <v>0</v>
      </c>
      <c r="H1956">
        <f>HYPERLINK("https://www.wikidata.org/wiki/Q3059852", "Q3059852")</f>
        <v>0</v>
      </c>
    </row>
    <row r="1957" spans="1:8">
      <c r="A1957" t="s">
        <v>1963</v>
      </c>
      <c r="B1957" t="s">
        <v>6706</v>
      </c>
      <c r="C1957" t="s">
        <v>7754</v>
      </c>
      <c r="D1957" t="s">
        <v>13220</v>
      </c>
      <c r="E1957" t="s">
        <v>16078</v>
      </c>
      <c r="G1957">
        <f>HYPERLINK("https://www.senat.fr/senateur-3eme-republique/faidherbe_louis1391r3.html", "faidherbe_louis1391r3")</f>
        <v>0</v>
      </c>
      <c r="H1957">
        <f>HYPERLINK("https://www.wikidata.org/wiki/Q545751", "Q545751")</f>
        <v>0</v>
      </c>
    </row>
    <row r="1958" spans="1:8">
      <c r="A1958" t="s">
        <v>1964</v>
      </c>
      <c r="B1958" t="s">
        <v>6707</v>
      </c>
      <c r="C1958" t="s">
        <v>10343</v>
      </c>
      <c r="D1958" t="s">
        <v>13221</v>
      </c>
      <c r="E1958" s="2">
        <v>8196</v>
      </c>
      <c r="F1958">
        <f>HYPERLINK("https://www2.assemblee-nationale.fr/sycomore/fiche/(num_dept)/2892", "2892.0")</f>
        <v>0</v>
      </c>
      <c r="H1958">
        <f>HYPERLINK("https://www.wikidata.org/wiki/Q16025680", "Q16025680")</f>
        <v>0</v>
      </c>
    </row>
    <row r="1959" spans="1:8">
      <c r="A1959" t="s">
        <v>1965</v>
      </c>
      <c r="B1959" t="s">
        <v>6708</v>
      </c>
      <c r="C1959" t="s">
        <v>9429</v>
      </c>
      <c r="D1959" t="s">
        <v>13222</v>
      </c>
      <c r="E1959" s="2">
        <v>2958</v>
      </c>
      <c r="F1959">
        <f>HYPERLINK("https://www2.assemblee-nationale.fr/sycomore/fiche/(num_dept)/2893", "2893.0")</f>
        <v>0</v>
      </c>
      <c r="H1959">
        <f>HYPERLINK("https://www.wikidata.org/wiki/Q8311070", "Q8311070")</f>
        <v>0</v>
      </c>
    </row>
    <row r="1960" spans="1:8">
      <c r="A1960" t="s">
        <v>1966</v>
      </c>
      <c r="B1960" t="s">
        <v>6709</v>
      </c>
      <c r="C1960" t="s">
        <v>5117</v>
      </c>
      <c r="D1960" t="s">
        <v>13223</v>
      </c>
      <c r="E1960" s="2">
        <v>8154</v>
      </c>
      <c r="G1960">
        <f>HYPERLINK("https://www.senat.fr/senateur-3eme-republique/faisans_armand1069r3.html", "faisans_armand1069r3")</f>
        <v>0</v>
      </c>
      <c r="H1960">
        <f>HYPERLINK("https://www.wikidata.org/wiki/Q3131061", "Q3131061")</f>
        <v>0</v>
      </c>
    </row>
    <row r="1961" spans="1:8">
      <c r="A1961" t="s">
        <v>1967</v>
      </c>
      <c r="B1961" t="s">
        <v>6710</v>
      </c>
      <c r="C1961" t="s">
        <v>9373</v>
      </c>
      <c r="D1961" t="s">
        <v>13224</v>
      </c>
      <c r="E1961" s="2">
        <v>9519</v>
      </c>
      <c r="F1961">
        <f>HYPERLINK("https://www2.assemblee-nationale.fr/sycomore/fiche/(num_dept)/2894", "2894.0")</f>
        <v>0</v>
      </c>
      <c r="H1961">
        <f>HYPERLINK("https://www.wikidata.org/wiki/Q7123699", "Q7123699")</f>
        <v>0</v>
      </c>
    </row>
    <row r="1962" spans="1:8">
      <c r="A1962" t="s">
        <v>1968</v>
      </c>
      <c r="B1962" t="s">
        <v>6711</v>
      </c>
      <c r="C1962" t="s">
        <v>9324</v>
      </c>
      <c r="D1962" t="s">
        <v>13202</v>
      </c>
      <c r="E1962" s="2">
        <v>13294</v>
      </c>
      <c r="F1962">
        <f>HYPERLINK("https://www2.assemblee-nationale.fr/sycomore/fiche/(num_dept)/2899", "2899.0")</f>
        <v>0</v>
      </c>
      <c r="H1962">
        <f>HYPERLINK("https://www.wikidata.org/wiki/Q3131064", "Q3131064")</f>
        <v>0</v>
      </c>
    </row>
    <row r="1963" spans="1:8">
      <c r="A1963" t="s">
        <v>1969</v>
      </c>
      <c r="B1963" t="s">
        <v>6711</v>
      </c>
      <c r="C1963" t="s">
        <v>9324</v>
      </c>
      <c r="D1963" t="s">
        <v>13225</v>
      </c>
      <c r="E1963" s="2">
        <v>13294</v>
      </c>
      <c r="H1963">
        <f>HYPERLINK("https://www.wikidata.org/wiki/Q3131064", "Q3131064")</f>
        <v>0</v>
      </c>
    </row>
    <row r="1964" spans="1:8">
      <c r="A1964" t="s">
        <v>1970</v>
      </c>
      <c r="B1964" t="s">
        <v>6712</v>
      </c>
      <c r="C1964" t="s">
        <v>5117</v>
      </c>
      <c r="D1964" t="s">
        <v>13226</v>
      </c>
      <c r="E1964" s="2">
        <v>11496</v>
      </c>
      <c r="G1964">
        <f>HYPERLINK("https://www.senat.fr/senateur-3eme-republique/fallieres_armand0754r3.html", "fallieres_armand0754r3")</f>
        <v>0</v>
      </c>
      <c r="H1964">
        <f>HYPERLINK("https://www.wikidata.org/wiki/Q296673", "Q296673")</f>
        <v>0</v>
      </c>
    </row>
    <row r="1965" spans="1:8">
      <c r="A1965" t="s">
        <v>1971</v>
      </c>
      <c r="B1965" t="s">
        <v>6712</v>
      </c>
      <c r="C1965" t="s">
        <v>5096</v>
      </c>
      <c r="D1965" t="s">
        <v>13227</v>
      </c>
      <c r="E1965" s="2">
        <v>25069</v>
      </c>
      <c r="G1965">
        <f>HYPERLINK("https://www.senat.fr/senateur-3eme-republique/fallieres_andre0749r3.html", "fallieres_andre0749r3")</f>
        <v>0</v>
      </c>
      <c r="H1965">
        <f>HYPERLINK("https://www.wikidata.org/wiki/Q2847742", "Q2847742")</f>
        <v>0</v>
      </c>
    </row>
    <row r="1966" spans="1:8">
      <c r="A1966" t="s">
        <v>1972</v>
      </c>
      <c r="B1966" t="s">
        <v>6713</v>
      </c>
      <c r="C1966" t="s">
        <v>5117</v>
      </c>
      <c r="D1966" t="s">
        <v>13226</v>
      </c>
      <c r="E1966" s="2">
        <v>11496</v>
      </c>
      <c r="F1966">
        <f>HYPERLINK("https://www2.assemblee-nationale.fr/sycomore/fiche/(num_dept)/2901", "2901.0")</f>
        <v>0</v>
      </c>
      <c r="H1966">
        <f>HYPERLINK("https://www.wikidata.org/wiki/Q296673", "Q296673")</f>
        <v>0</v>
      </c>
    </row>
    <row r="1967" spans="1:8">
      <c r="A1967" t="s">
        <v>1973</v>
      </c>
      <c r="B1967" t="s">
        <v>6713</v>
      </c>
      <c r="C1967" t="s">
        <v>5096</v>
      </c>
      <c r="D1967" t="s">
        <v>13227</v>
      </c>
      <c r="E1967" s="2">
        <v>25070</v>
      </c>
      <c r="F1967">
        <f>HYPERLINK("https://www2.assemblee-nationale.fr/sycomore/fiche/(num_dept)/2900", "2900.0")</f>
        <v>0</v>
      </c>
      <c r="H1967">
        <f>HYPERLINK("https://www.wikidata.org/wiki/Q2847742", "Q2847742")</f>
        <v>0</v>
      </c>
    </row>
    <row r="1968" spans="1:8">
      <c r="A1968" t="s">
        <v>1974</v>
      </c>
      <c r="B1968" t="s">
        <v>6714</v>
      </c>
      <c r="C1968" t="s">
        <v>10026</v>
      </c>
      <c r="D1968" t="s">
        <v>13228</v>
      </c>
      <c r="E1968" s="2">
        <v>5685</v>
      </c>
      <c r="F1968">
        <f>HYPERLINK("https://www2.assemblee-nationale.fr/sycomore/fiche/(num_dept)/2903", "2903.0")</f>
        <v>0</v>
      </c>
      <c r="H1968">
        <f>HYPERLINK("https://www.wikidata.org/wiki/Q16025681", "Q16025681")</f>
        <v>0</v>
      </c>
    </row>
    <row r="1969" spans="1:8">
      <c r="A1969" t="s">
        <v>1975</v>
      </c>
      <c r="B1969" t="s">
        <v>6715</v>
      </c>
      <c r="C1969" t="s">
        <v>10344</v>
      </c>
      <c r="D1969" t="s">
        <v>13229</v>
      </c>
      <c r="E1969" s="2">
        <v>3710</v>
      </c>
      <c r="F1969">
        <f>HYPERLINK("https://www2.assemblee-nationale.fr/sycomore/fiche/(num_dept)/2907", "2907.0")</f>
        <v>0</v>
      </c>
      <c r="H1969">
        <f>HYPERLINK("https://www.wikidata.org/wiki/Q13080866", "Q13080866")</f>
        <v>0</v>
      </c>
    </row>
    <row r="1970" spans="1:8">
      <c r="A1970" t="s">
        <v>1976</v>
      </c>
      <c r="B1970" t="s">
        <v>6716</v>
      </c>
      <c r="C1970" t="s">
        <v>10345</v>
      </c>
      <c r="D1970" t="s">
        <v>13230</v>
      </c>
      <c r="E1970" s="2">
        <v>13574</v>
      </c>
      <c r="F1970">
        <f>HYPERLINK("https://www2.assemblee-nationale.fr/sycomore/fiche/(num_dept)/6524", "6524.0")</f>
        <v>0</v>
      </c>
      <c r="H1970">
        <f>HYPERLINK("https://www.wikidata.org/wiki/Q3131843", "Q3131843")</f>
        <v>0</v>
      </c>
    </row>
    <row r="1971" spans="1:8">
      <c r="A1971" t="s">
        <v>1977</v>
      </c>
      <c r="B1971" t="s">
        <v>6717</v>
      </c>
      <c r="C1971" t="s">
        <v>10346</v>
      </c>
      <c r="D1971" t="s">
        <v>13231</v>
      </c>
      <c r="E1971" s="2">
        <v>15009</v>
      </c>
      <c r="F1971">
        <f>HYPERLINK("https://www2.assemblee-nationale.fr/sycomore/fiche/(num_dept)/2908", "2908.0")</f>
        <v>0</v>
      </c>
      <c r="H1971">
        <f>HYPERLINK("https://www.wikidata.org/wiki/Q3261868", "Q3261868")</f>
        <v>0</v>
      </c>
    </row>
    <row r="1972" spans="1:8">
      <c r="A1972" t="s">
        <v>1978</v>
      </c>
      <c r="B1972" t="s">
        <v>6718</v>
      </c>
      <c r="C1972" t="s">
        <v>10026</v>
      </c>
      <c r="D1972" t="s">
        <v>13232</v>
      </c>
      <c r="E1972" t="s">
        <v>16079</v>
      </c>
      <c r="G1972">
        <f>HYPERLINK("https://www.senat.fr/senateur-3eme-republique/farines_achille1095r3.html", "farines_achille1095r3")</f>
        <v>0</v>
      </c>
      <c r="H1972">
        <f>HYPERLINK("https://www.wikidata.org/wiki/Q2823059", "Q2823059")</f>
        <v>0</v>
      </c>
    </row>
    <row r="1973" spans="1:8">
      <c r="A1973" t="s">
        <v>1979</v>
      </c>
      <c r="B1973" t="s">
        <v>6719</v>
      </c>
      <c r="C1973" t="s">
        <v>9256</v>
      </c>
      <c r="D1973" t="s">
        <v>13233</v>
      </c>
      <c r="E1973" s="2">
        <v>2086</v>
      </c>
      <c r="G1973">
        <f>HYPERLINK("https://www.senat.fr/senateur-3eme-republique/farinole_vincent0488r3.html", "farinole_vincent0488r3")</f>
        <v>0</v>
      </c>
      <c r="H1973">
        <f>HYPERLINK("https://www.wikidata.org/wiki/Q3559439", "Q3559439")</f>
        <v>0</v>
      </c>
    </row>
    <row r="1974" spans="1:8">
      <c r="A1974" t="s">
        <v>1980</v>
      </c>
      <c r="B1974" t="s">
        <v>6720</v>
      </c>
      <c r="C1974" t="s">
        <v>10347</v>
      </c>
      <c r="D1974" t="s">
        <v>13234</v>
      </c>
      <c r="E1974" s="2">
        <v>5929</v>
      </c>
      <c r="F1974">
        <f>HYPERLINK("https://www2.assemblee-nationale.fr/sycomore/fiche/(num_dept)/2912", "2912.0")</f>
        <v>0</v>
      </c>
      <c r="H1974">
        <f>HYPERLINK("https://www.wikidata.org/wiki/Q16025682", "Q16025682")</f>
        <v>0</v>
      </c>
    </row>
    <row r="1975" spans="1:8">
      <c r="A1975" t="s">
        <v>1981</v>
      </c>
      <c r="B1975" t="s">
        <v>6720</v>
      </c>
      <c r="C1975" t="s">
        <v>10348</v>
      </c>
      <c r="D1975" t="s">
        <v>13235</v>
      </c>
      <c r="E1975" s="2">
        <v>2906</v>
      </c>
      <c r="F1975">
        <f>HYPERLINK("https://www2.assemblee-nationale.fr/sycomore/fiche/(num_dept)/2911", "2911.0")</f>
        <v>0</v>
      </c>
      <c r="H1975">
        <f>HYPERLINK("https://www.wikidata.org/wiki/Q10644147", "Q10644147")</f>
        <v>0</v>
      </c>
    </row>
    <row r="1976" spans="1:8">
      <c r="A1976" t="s">
        <v>1982</v>
      </c>
      <c r="B1976" t="s">
        <v>6721</v>
      </c>
      <c r="C1976" t="s">
        <v>8716</v>
      </c>
      <c r="D1976" t="s">
        <v>13236</v>
      </c>
      <c r="E1976" s="2">
        <v>16452</v>
      </c>
      <c r="G1976">
        <f>HYPERLINK("https://www.senat.fr/senateur-3eme-republique/farjon_roger0971r3.html", "farjon_roger0971r3")</f>
        <v>0</v>
      </c>
      <c r="H1976">
        <f>HYPERLINK("https://www.wikidata.org/wiki/Q3438947", "Q3438947")</f>
        <v>0</v>
      </c>
    </row>
    <row r="1977" spans="1:8">
      <c r="A1977" t="s">
        <v>1983</v>
      </c>
      <c r="B1977" t="s">
        <v>6722</v>
      </c>
      <c r="C1977" t="s">
        <v>6864</v>
      </c>
      <c r="D1977" t="s">
        <v>13237</v>
      </c>
      <c r="E1977" s="2">
        <v>7227</v>
      </c>
      <c r="G1977">
        <f>HYPERLINK("https://www.senat.fr/senateur-3eme-republique/farny_francois1603r3.html", "farny_francois1603r3")</f>
        <v>0</v>
      </c>
      <c r="H1977">
        <f>HYPERLINK("https://www.wikidata.org/wiki/Q3084589", "Q3084589")</f>
        <v>0</v>
      </c>
    </row>
    <row r="1978" spans="1:8">
      <c r="A1978" t="s">
        <v>1984</v>
      </c>
      <c r="B1978" t="s">
        <v>6723</v>
      </c>
      <c r="C1978" t="s">
        <v>9549</v>
      </c>
      <c r="D1978" t="s">
        <v>13238</v>
      </c>
      <c r="E1978" t="s">
        <v>16080</v>
      </c>
      <c r="G1978">
        <f>HYPERLINK("https://www.senat.fr/senateur-3eme-republique/farre_jean_joseph1471r3.html", "farre_jean_joseph1471r3")</f>
        <v>0</v>
      </c>
      <c r="H1978">
        <f>HYPERLINK("https://www.wikidata.org/wiki/Q459513", "Q459513")</f>
        <v>0</v>
      </c>
    </row>
    <row r="1979" spans="1:8">
      <c r="A1979" t="s">
        <v>1985</v>
      </c>
      <c r="B1979" t="s">
        <v>6724</v>
      </c>
      <c r="C1979" t="s">
        <v>10349</v>
      </c>
      <c r="D1979" t="s">
        <v>13239</v>
      </c>
      <c r="E1979" s="2">
        <v>29587</v>
      </c>
      <c r="F1979">
        <f>HYPERLINK("https://www2.assemblee-nationale.fr/sycomore/fiche/(num_dept)/2916", "2916.0")</f>
        <v>0</v>
      </c>
      <c r="H1979">
        <f>HYPERLINK("https://www.wikidata.org/wiki/Q3302557", "Q3302557")</f>
        <v>0</v>
      </c>
    </row>
    <row r="1980" spans="1:8">
      <c r="A1980" t="s">
        <v>1986</v>
      </c>
      <c r="B1980" t="s">
        <v>6725</v>
      </c>
      <c r="C1980" t="s">
        <v>10350</v>
      </c>
      <c r="D1980" t="s">
        <v>13240</v>
      </c>
      <c r="E1980" s="2">
        <v>5352</v>
      </c>
      <c r="F1980">
        <f>HYPERLINK("https://www2.assemblee-nationale.fr/sycomore/fiche/(num_dept)/2681", "2681.0")</f>
        <v>0</v>
      </c>
      <c r="H1980">
        <f>HYPERLINK("https://www.wikidata.org/wiki/Q3130409", "Q3130409")</f>
        <v>0</v>
      </c>
    </row>
    <row r="1981" spans="1:8">
      <c r="A1981" t="s">
        <v>1987</v>
      </c>
      <c r="B1981" t="s">
        <v>6726</v>
      </c>
      <c r="C1981" t="s">
        <v>7001</v>
      </c>
      <c r="D1981" t="s">
        <v>13241</v>
      </c>
      <c r="E1981" s="2">
        <v>13382</v>
      </c>
      <c r="G1981">
        <f>HYPERLINK("https://www.senat.fr/senateur-3eme-republique/faugere_georges0669r3.html", "faugere_georges0669r3")</f>
        <v>0</v>
      </c>
      <c r="H1981">
        <f>HYPERLINK("https://www.wikidata.org/wiki/Q3102698", "Q3102698")</f>
        <v>0</v>
      </c>
    </row>
    <row r="1982" spans="1:8">
      <c r="A1982" t="s">
        <v>1988</v>
      </c>
      <c r="B1982" t="s">
        <v>6727</v>
      </c>
      <c r="C1982" t="s">
        <v>7001</v>
      </c>
      <c r="D1982" t="s">
        <v>13241</v>
      </c>
      <c r="E1982" s="2">
        <v>13382</v>
      </c>
      <c r="F1982">
        <f>HYPERLINK("https://www2.assemblee-nationale.fr/sycomore/fiche/(num_dept)/2918", "2918.0")</f>
        <v>0</v>
      </c>
      <c r="H1982">
        <f>HYPERLINK("https://www.wikidata.org/wiki/Q3102698", "Q3102698")</f>
        <v>0</v>
      </c>
    </row>
    <row r="1983" spans="1:8">
      <c r="A1983" t="s">
        <v>1989</v>
      </c>
      <c r="B1983" t="s">
        <v>6728</v>
      </c>
      <c r="C1983" t="s">
        <v>10351</v>
      </c>
      <c r="D1983" t="s">
        <v>13242</v>
      </c>
      <c r="E1983" s="2">
        <v>7282</v>
      </c>
      <c r="G1983">
        <f>HYPERLINK("https://www.senat.fr/senateur-3eme-republique/faure_maurice0716r3.html", "faure_maurice0716r3")</f>
        <v>0</v>
      </c>
      <c r="H1983">
        <f>HYPERLINK("https://www.wikidata.org/wiki/Q3300775", "Q3300775")</f>
        <v>0</v>
      </c>
    </row>
    <row r="1984" spans="1:8">
      <c r="A1984" t="s">
        <v>1990</v>
      </c>
      <c r="B1984" t="s">
        <v>6729</v>
      </c>
      <c r="C1984" t="s">
        <v>10352</v>
      </c>
      <c r="D1984" t="s">
        <v>13243</v>
      </c>
      <c r="E1984" s="2">
        <v>2654</v>
      </c>
      <c r="F1984">
        <f>HYPERLINK("https://www2.assemblee-nationale.fr/sycomore/fiche/(num_dept)/7944", "7944.0")</f>
        <v>0</v>
      </c>
      <c r="H1984">
        <f>HYPERLINK("https://www.wikidata.org/wiki/Q16025685", "Q16025685")</f>
        <v>0</v>
      </c>
    </row>
    <row r="1985" spans="1:8">
      <c r="A1985" t="s">
        <v>1991</v>
      </c>
      <c r="B1985" t="s">
        <v>6729</v>
      </c>
      <c r="C1985" t="s">
        <v>10353</v>
      </c>
      <c r="D1985" t="s">
        <v>13244</v>
      </c>
      <c r="E1985" t="s">
        <v>16081</v>
      </c>
      <c r="F1985">
        <f>HYPERLINK("https://www2.assemblee-nationale.fr/sycomore/fiche/(num_dept)/8109", "8109.0")</f>
        <v>0</v>
      </c>
      <c r="H1985">
        <f>HYPERLINK("https://www.wikidata.org/wiki/Q8326855", "Q8326855")</f>
        <v>0</v>
      </c>
    </row>
    <row r="1986" spans="1:8">
      <c r="A1986" t="s">
        <v>1992</v>
      </c>
      <c r="B1986" t="s">
        <v>6729</v>
      </c>
      <c r="C1986" t="s">
        <v>6888</v>
      </c>
      <c r="D1986" t="s">
        <v>13245</v>
      </c>
      <c r="E1986" t="s">
        <v>16082</v>
      </c>
      <c r="H1986">
        <f>HYPERLINK("https://www.wikidata.org/wiki/Q296076", "Q296076")</f>
        <v>0</v>
      </c>
    </row>
    <row r="1987" spans="1:8">
      <c r="A1987" t="s">
        <v>1993</v>
      </c>
      <c r="B1987" t="s">
        <v>6729</v>
      </c>
      <c r="C1987" t="s">
        <v>6888</v>
      </c>
      <c r="D1987" t="s">
        <v>13246</v>
      </c>
      <c r="E1987" t="s">
        <v>16082</v>
      </c>
      <c r="F1987">
        <f>HYPERLINK("https://www2.assemblee-nationale.fr/sycomore/fiche/(num_dept)/2925", "2925.0")</f>
        <v>0</v>
      </c>
      <c r="H1987">
        <f>HYPERLINK("https://www.wikidata.org/wiki/Q296076", "Q296076")</f>
        <v>0</v>
      </c>
    </row>
    <row r="1988" spans="1:8">
      <c r="A1988" t="s">
        <v>1994</v>
      </c>
      <c r="B1988" t="s">
        <v>6729</v>
      </c>
      <c r="C1988" t="s">
        <v>10354</v>
      </c>
      <c r="D1988" t="s">
        <v>13247</v>
      </c>
      <c r="E1988" s="2">
        <v>7282</v>
      </c>
      <c r="H1988">
        <f>HYPERLINK("https://www.wikidata.org/wiki/Q3300286", "Q3300286")</f>
        <v>0</v>
      </c>
    </row>
    <row r="1989" spans="1:8">
      <c r="A1989" t="s">
        <v>1995</v>
      </c>
      <c r="B1989" t="s">
        <v>6729</v>
      </c>
      <c r="C1989" t="s">
        <v>9564</v>
      </c>
      <c r="D1989" t="s">
        <v>13248</v>
      </c>
      <c r="E1989" s="2">
        <v>14356</v>
      </c>
      <c r="F1989">
        <f>HYPERLINK("https://www2.assemblee-nationale.fr/sycomore/fiche/(num_dept)/2921", "2921.0")</f>
        <v>0</v>
      </c>
      <c r="H1989">
        <f>HYPERLINK("https://www.wikidata.org/wiki/Q10645182", "Q10645182")</f>
        <v>0</v>
      </c>
    </row>
    <row r="1990" spans="1:8">
      <c r="A1990" t="s">
        <v>1996</v>
      </c>
      <c r="B1990" t="s">
        <v>6729</v>
      </c>
      <c r="C1990" t="s">
        <v>9918</v>
      </c>
      <c r="D1990" t="s">
        <v>13249</v>
      </c>
      <c r="E1990" s="2">
        <v>10903</v>
      </c>
      <c r="F1990">
        <f>HYPERLINK("https://www2.assemblee-nationale.fr/sycomore/fiche/(num_dept)/2927", "2927.0")</f>
        <v>0</v>
      </c>
      <c r="G1990">
        <f>HYPERLINK("https://www.senat.fr/senateur-3eme-republique/faure_fernand0214r3.html", "faure_fernand0214r3")</f>
        <v>0</v>
      </c>
      <c r="H1990">
        <f>HYPERLINK("https://www.wikidata.org/wiki/Q3069150", "Q3069150")</f>
        <v>0</v>
      </c>
    </row>
    <row r="1991" spans="1:8">
      <c r="A1991" t="s">
        <v>1997</v>
      </c>
      <c r="B1991" t="s">
        <v>6729</v>
      </c>
      <c r="C1991" t="s">
        <v>10355</v>
      </c>
      <c r="D1991" t="s">
        <v>13250</v>
      </c>
      <c r="E1991" s="2">
        <v>20770</v>
      </c>
      <c r="F1991">
        <f>HYPERLINK("https://www2.assemblee-nationale.fr/sycomore/fiche/(num_dept)/2928", "2928.0")</f>
        <v>0</v>
      </c>
      <c r="H1991">
        <f>HYPERLINK("https://www.wikidata.org/wiki/Q3072873", "Q3072873")</f>
        <v>0</v>
      </c>
    </row>
    <row r="1992" spans="1:8">
      <c r="A1992" t="s">
        <v>1998</v>
      </c>
      <c r="B1992" t="s">
        <v>6729</v>
      </c>
      <c r="C1992" t="s">
        <v>9524</v>
      </c>
      <c r="D1992" t="s">
        <v>13251</v>
      </c>
      <c r="E1992" s="2">
        <v>19474</v>
      </c>
      <c r="F1992">
        <f>HYPERLINK("https://www2.assemblee-nationale.fr/sycomore/fiche/(num_dept)/2924", "2924.0")</f>
        <v>0</v>
      </c>
      <c r="H1992">
        <f>HYPERLINK("https://www.wikidata.org/wiki/Q8316772", "Q8316772")</f>
        <v>0</v>
      </c>
    </row>
    <row r="1993" spans="1:8">
      <c r="A1993" t="s">
        <v>1999</v>
      </c>
      <c r="B1993" t="s">
        <v>6730</v>
      </c>
      <c r="C1993" t="s">
        <v>9373</v>
      </c>
      <c r="D1993" t="s">
        <v>13252</v>
      </c>
      <c r="E1993" s="2">
        <v>16174</v>
      </c>
      <c r="G1993">
        <f>HYPERLINK("https://www.senat.fr/senateur-3eme-republique/faure_joseph0463r3.html", "faure_joseph0463r3")</f>
        <v>0</v>
      </c>
      <c r="H1993">
        <f>HYPERLINK("https://www.wikidata.org/wiki/Q3184934", "Q3184934")</f>
        <v>0</v>
      </c>
    </row>
    <row r="1994" spans="1:8">
      <c r="A1994" t="s">
        <v>2000</v>
      </c>
      <c r="B1994" t="s">
        <v>6729</v>
      </c>
      <c r="C1994" t="s">
        <v>9430</v>
      </c>
      <c r="D1994" t="s">
        <v>13253</v>
      </c>
      <c r="E1994" s="2">
        <v>22236</v>
      </c>
      <c r="F1994">
        <f>HYPERLINK("https://www2.assemblee-nationale.fr/sycomore/fiche/(num_dept)/2934", "2934.0")</f>
        <v>0</v>
      </c>
      <c r="H1994">
        <f>HYPERLINK("https://www.wikidata.org/wiki/Q783434", "Q783434")</f>
        <v>0</v>
      </c>
    </row>
    <row r="1995" spans="1:8">
      <c r="A1995" t="s">
        <v>2001</v>
      </c>
      <c r="B1995" t="s">
        <v>6729</v>
      </c>
      <c r="C1995" t="s">
        <v>9414</v>
      </c>
      <c r="D1995" t="s">
        <v>13254</v>
      </c>
      <c r="E1995" s="2">
        <v>23153</v>
      </c>
      <c r="F1995">
        <f>HYPERLINK("https://www2.assemblee-nationale.fr/sycomore/fiche/(num_dept)/2926", "2926.0")</f>
        <v>0</v>
      </c>
      <c r="H1995">
        <f>HYPERLINK("https://www.wikidata.org/wiki/Q16025683", "Q16025683")</f>
        <v>0</v>
      </c>
    </row>
    <row r="1996" spans="1:8">
      <c r="A1996" t="s">
        <v>2002</v>
      </c>
      <c r="B1996" t="s">
        <v>6729</v>
      </c>
      <c r="C1996" t="s">
        <v>10356</v>
      </c>
      <c r="D1996" t="s">
        <v>13255</v>
      </c>
      <c r="E1996" s="2">
        <v>19804</v>
      </c>
      <c r="F1996">
        <f>HYPERLINK("https://www2.assemblee-nationale.fr/sycomore/fiche/(num_dept)/2936", "2936.0")</f>
        <v>0</v>
      </c>
      <c r="H1996">
        <f>HYPERLINK("https://www.wikidata.org/wiki/Q16011221", "Q16011221")</f>
        <v>0</v>
      </c>
    </row>
    <row r="1997" spans="1:8">
      <c r="A1997" t="s">
        <v>2003</v>
      </c>
      <c r="B1997" t="s">
        <v>6729</v>
      </c>
      <c r="C1997" t="s">
        <v>9524</v>
      </c>
      <c r="D1997" t="s">
        <v>13256</v>
      </c>
      <c r="E1997" s="2">
        <v>14688</v>
      </c>
      <c r="F1997">
        <f>HYPERLINK("https://www2.assemblee-nationale.fr/sycomore/fiche/(num_dept)/2923", "2923.0")</f>
        <v>0</v>
      </c>
      <c r="H1997">
        <f>HYPERLINK("https://www.wikidata.org/wiki/Q13091123", "Q13091123")</f>
        <v>0</v>
      </c>
    </row>
    <row r="1998" spans="1:8">
      <c r="A1998" t="s">
        <v>2004</v>
      </c>
      <c r="B1998" t="s">
        <v>6729</v>
      </c>
      <c r="C1998" t="s">
        <v>10357</v>
      </c>
      <c r="D1998" t="s">
        <v>13257</v>
      </c>
      <c r="E1998" s="2">
        <v>31361</v>
      </c>
      <c r="F1998">
        <f>HYPERLINK("https://www2.assemblee-nationale.fr/sycomore/fiche/(num_dept)/2935", "2935.0")</f>
        <v>0</v>
      </c>
      <c r="H1998">
        <f>HYPERLINK("https://www.wikidata.org/wiki/Q3412095", "Q3412095")</f>
        <v>0</v>
      </c>
    </row>
    <row r="1999" spans="1:8">
      <c r="A1999" t="s">
        <v>2005</v>
      </c>
      <c r="B1999" t="s">
        <v>6731</v>
      </c>
      <c r="C1999" t="s">
        <v>10358</v>
      </c>
      <c r="D1999" t="s">
        <v>13258</v>
      </c>
      <c r="E1999" s="2">
        <v>5833</v>
      </c>
      <c r="F1999">
        <f>HYPERLINK("https://www2.assemblee-nationale.fr/sycomore/fiche/(num_dept)/2931", "2931.0")</f>
        <v>0</v>
      </c>
      <c r="H1999">
        <f>HYPERLINK("https://www.wikidata.org/wiki/Q16025684", "Q16025684")</f>
        <v>0</v>
      </c>
    </row>
    <row r="2000" spans="1:8">
      <c r="A2000" t="s">
        <v>2006</v>
      </c>
      <c r="B2000" t="s">
        <v>6732</v>
      </c>
      <c r="C2000" t="s">
        <v>10359</v>
      </c>
      <c r="D2000" t="s">
        <v>13259</v>
      </c>
      <c r="E2000" t="s">
        <v>16083</v>
      </c>
      <c r="F2000">
        <f>HYPERLINK("https://www2.assemblee-nationale.fr/sycomore/fiche/(num_dept)/8149", "8149.0")</f>
        <v>0</v>
      </c>
      <c r="H2000">
        <f>HYPERLINK("https://www.wikidata.org/wiki/Q2385779", "Q2385779")</f>
        <v>0</v>
      </c>
    </row>
    <row r="2001" spans="1:8">
      <c r="A2001" t="s">
        <v>2007</v>
      </c>
      <c r="B2001" t="s">
        <v>6733</v>
      </c>
      <c r="C2001" t="s">
        <v>10360</v>
      </c>
      <c r="D2001" t="s">
        <v>13260</v>
      </c>
      <c r="E2001" t="s">
        <v>16084</v>
      </c>
      <c r="F2001">
        <f>HYPERLINK("https://www2.assemblee-nationale.fr/sycomore/fiche/(num_dept)/2914", "2914.0")</f>
        <v>0</v>
      </c>
      <c r="H2001">
        <f>HYPERLINK("https://www.wikidata.org/wiki/Q15971831", "Q15971831")</f>
        <v>0</v>
      </c>
    </row>
    <row r="2002" spans="1:8">
      <c r="A2002" t="s">
        <v>2008</v>
      </c>
      <c r="B2002" t="s">
        <v>6734</v>
      </c>
      <c r="C2002" t="s">
        <v>9524</v>
      </c>
      <c r="D2002" t="s">
        <v>13261</v>
      </c>
      <c r="E2002" s="2">
        <v>6889</v>
      </c>
      <c r="F2002">
        <f>HYPERLINK("https://www2.assemblee-nationale.fr/sycomore/fiche/(num_dept)/2938", "2938.0")</f>
        <v>0</v>
      </c>
      <c r="H2002">
        <f>HYPERLINK("https://www.wikidata.org/wiki/Q3588494", "Q3588494")</f>
        <v>0</v>
      </c>
    </row>
    <row r="2003" spans="1:8">
      <c r="A2003" t="s">
        <v>2009</v>
      </c>
      <c r="B2003" t="s">
        <v>6735</v>
      </c>
      <c r="C2003" t="s">
        <v>9373</v>
      </c>
      <c r="D2003" t="s">
        <v>13262</v>
      </c>
      <c r="G2003">
        <f>HYPERLINK("https://www.senat.fr/senateur-3eme-republique/fayard_joseph0721r3.html", "fayard_joseph0721r3")</f>
        <v>0</v>
      </c>
      <c r="H2003">
        <f>HYPERLINK("https://www.wikidata.org/wiki/Q3184937", "Q3184937")</f>
        <v>0</v>
      </c>
    </row>
    <row r="2004" spans="1:8">
      <c r="A2004" t="s">
        <v>2010</v>
      </c>
      <c r="B2004" t="s">
        <v>6736</v>
      </c>
      <c r="C2004" t="s">
        <v>9529</v>
      </c>
      <c r="D2004" t="s">
        <v>13263</v>
      </c>
      <c r="E2004" s="2">
        <v>249</v>
      </c>
      <c r="G2004">
        <f>HYPERLINK("https://www.senat.fr/senateur-3eme-republique/faye_etienne0733r3.html", "faye_etienne0733r3")</f>
        <v>0</v>
      </c>
      <c r="H2004">
        <f>HYPERLINK("https://www.wikidata.org/wiki/Q3271801", "Q3271801")</f>
        <v>0</v>
      </c>
    </row>
    <row r="2005" spans="1:8">
      <c r="A2005" t="s">
        <v>2011</v>
      </c>
      <c r="B2005" t="s">
        <v>6737</v>
      </c>
      <c r="C2005" t="s">
        <v>9373</v>
      </c>
      <c r="D2005" t="s">
        <v>13264</v>
      </c>
      <c r="E2005" t="s">
        <v>16085</v>
      </c>
      <c r="G2005">
        <f>HYPERLINK("https://www.senat.fr/senateur-3eme-republique/fayolle_joseph0598r3.html", "fayolle_joseph0598r3")</f>
        <v>0</v>
      </c>
      <c r="H2005">
        <f>HYPERLINK("https://www.wikidata.org/wiki/Q3184230", "Q3184230")</f>
        <v>0</v>
      </c>
    </row>
    <row r="2006" spans="1:8">
      <c r="A2006" t="s">
        <v>2012</v>
      </c>
      <c r="B2006" t="s">
        <v>6737</v>
      </c>
      <c r="C2006" t="s">
        <v>9453</v>
      </c>
      <c r="D2006" t="s">
        <v>13265</v>
      </c>
      <c r="E2006" s="2">
        <v>12952</v>
      </c>
      <c r="G2006">
        <f>HYPERLINK("https://www.senat.fr/senateur-3eme-republique/fayolle_julien0519r3.html", "fayolle_julien0519r3")</f>
        <v>0</v>
      </c>
      <c r="H2006">
        <f>HYPERLINK("https://www.wikidata.org/wiki/Q3189490", "Q3189490")</f>
        <v>0</v>
      </c>
    </row>
    <row r="2007" spans="1:8">
      <c r="A2007" t="s">
        <v>2013</v>
      </c>
      <c r="B2007" t="s">
        <v>6738</v>
      </c>
      <c r="C2007" t="s">
        <v>9453</v>
      </c>
      <c r="D2007" t="s">
        <v>13266</v>
      </c>
      <c r="E2007" s="2">
        <v>13075</v>
      </c>
      <c r="F2007">
        <f>HYPERLINK("https://www2.assemblee-nationale.fr/sycomore/fiche/(num_dept)/2943", "2943.0")</f>
        <v>0</v>
      </c>
      <c r="H2007">
        <f>HYPERLINK("https://www.wikidata.org/wiki/Q3189490", "Q3189490")</f>
        <v>0</v>
      </c>
    </row>
    <row r="2008" spans="1:8">
      <c r="A2008" t="s">
        <v>2014</v>
      </c>
      <c r="B2008" t="s">
        <v>6739</v>
      </c>
      <c r="C2008" t="s">
        <v>7754</v>
      </c>
      <c r="D2008" t="s">
        <v>13267</v>
      </c>
      <c r="E2008" s="2">
        <v>18064</v>
      </c>
      <c r="F2008">
        <f>HYPERLINK("https://www2.assemblee-nationale.fr/sycomore/fiche/(num_dept)/2944", "2944.0")</f>
        <v>0</v>
      </c>
      <c r="H2008">
        <f>HYPERLINK("https://www.wikidata.org/wiki/Q16025686", "Q16025686")</f>
        <v>0</v>
      </c>
    </row>
    <row r="2009" spans="1:8">
      <c r="A2009" t="s">
        <v>2015</v>
      </c>
      <c r="B2009" t="s">
        <v>6740</v>
      </c>
      <c r="C2009" t="s">
        <v>9471</v>
      </c>
      <c r="D2009" t="s">
        <v>13268</v>
      </c>
      <c r="E2009" s="2">
        <v>13412</v>
      </c>
      <c r="F2009">
        <f>HYPERLINK("https://www2.assemblee-nationale.fr/sycomore/fiche/(num_dept)/2945", "2945.0")</f>
        <v>0</v>
      </c>
      <c r="H2009">
        <f>HYPERLINK("https://www.wikidata.org/wiki/Q3188576", "Q3188576")</f>
        <v>0</v>
      </c>
    </row>
    <row r="2010" spans="1:8">
      <c r="A2010" t="s">
        <v>2016</v>
      </c>
      <c r="B2010" t="s">
        <v>6740</v>
      </c>
      <c r="C2010" t="s">
        <v>9320</v>
      </c>
      <c r="D2010" t="s">
        <v>13269</v>
      </c>
      <c r="E2010" s="2">
        <v>25202</v>
      </c>
      <c r="F2010">
        <f>HYPERLINK("https://www2.assemblee-nationale.fr/sycomore/fiche/(num_dept)/2946", "2946.0")</f>
        <v>0</v>
      </c>
      <c r="H2010">
        <f>HYPERLINK("https://www.wikidata.org/wiki/Q3426183", "Q3426183")</f>
        <v>0</v>
      </c>
    </row>
    <row r="2011" spans="1:8">
      <c r="A2011" t="s">
        <v>2017</v>
      </c>
      <c r="B2011" t="s">
        <v>6741</v>
      </c>
      <c r="C2011" t="s">
        <v>10361</v>
      </c>
      <c r="D2011" t="s">
        <v>13270</v>
      </c>
      <c r="E2011" s="2">
        <v>16879</v>
      </c>
      <c r="F2011">
        <f>HYPERLINK("https://www2.assemblee-nationale.fr/sycomore/fiche/(num_dept)/7572", "7572.0")</f>
        <v>0</v>
      </c>
      <c r="H2011">
        <f>HYPERLINK("https://www.wikidata.org/wiki/Q8317103", "Q8317103")</f>
        <v>0</v>
      </c>
    </row>
    <row r="2012" spans="1:8">
      <c r="A2012" t="s">
        <v>2018</v>
      </c>
      <c r="B2012" t="s">
        <v>6742</v>
      </c>
      <c r="C2012" t="s">
        <v>10362</v>
      </c>
      <c r="D2012" t="s">
        <v>13271</v>
      </c>
      <c r="E2012" s="2">
        <v>29543</v>
      </c>
      <c r="F2012">
        <f>HYPERLINK("https://www2.assemblee-nationale.fr/sycomore/fiche/(num_dept)/2956", "2956.0")</f>
        <v>0</v>
      </c>
      <c r="H2012">
        <f>HYPERLINK("https://www.wikidata.org/wiki/Q8324817", "Q8324817")</f>
        <v>0</v>
      </c>
    </row>
    <row r="2013" spans="1:8">
      <c r="A2013" t="s">
        <v>2019</v>
      </c>
      <c r="B2013" t="s">
        <v>6743</v>
      </c>
      <c r="C2013" t="s">
        <v>10363</v>
      </c>
      <c r="D2013" t="s">
        <v>13272</v>
      </c>
      <c r="E2013" s="2">
        <v>10977</v>
      </c>
      <c r="F2013">
        <f>HYPERLINK("https://www2.assemblee-nationale.fr/sycomore/fiche/(num_dept)/8103", "8103.0")</f>
        <v>0</v>
      </c>
      <c r="H2013">
        <f>HYPERLINK("https://www.wikidata.org/wiki/Q2958231", "Q2958231")</f>
        <v>0</v>
      </c>
    </row>
    <row r="2014" spans="1:8">
      <c r="A2014" t="s">
        <v>2020</v>
      </c>
      <c r="B2014" t="s">
        <v>6744</v>
      </c>
      <c r="C2014" t="s">
        <v>8182</v>
      </c>
      <c r="D2014" t="s">
        <v>13273</v>
      </c>
      <c r="E2014" s="2">
        <v>1955</v>
      </c>
      <c r="F2014">
        <f>HYPERLINK("https://www2.assemblee-nationale.fr/sycomore/fiche/(num_dept)/2957", "2957.0")</f>
        <v>0</v>
      </c>
      <c r="H2014">
        <f>HYPERLINK("https://www.wikidata.org/wiki/Q16025687", "Q16025687")</f>
        <v>0</v>
      </c>
    </row>
    <row r="2015" spans="1:8">
      <c r="A2015" t="s">
        <v>2021</v>
      </c>
      <c r="B2015" t="s">
        <v>6745</v>
      </c>
      <c r="C2015" t="s">
        <v>7942</v>
      </c>
      <c r="D2015" t="s">
        <v>13274</v>
      </c>
      <c r="E2015" s="2">
        <v>11139</v>
      </c>
      <c r="G2015">
        <f>HYPERLINK("https://www.senat.fr/senateur-3eme-republique/fenoux_maurice0817r3.html", "fenoux_maurice0817r3")</f>
        <v>0</v>
      </c>
      <c r="H2015">
        <f>HYPERLINK("https://www.wikidata.org/wiki/Q3300770", "Q3300770")</f>
        <v>0</v>
      </c>
    </row>
    <row r="2016" spans="1:8">
      <c r="A2016" t="s">
        <v>2022</v>
      </c>
      <c r="B2016" t="s">
        <v>6746</v>
      </c>
      <c r="C2016" t="s">
        <v>7754</v>
      </c>
      <c r="D2016" t="s">
        <v>13275</v>
      </c>
      <c r="E2016" t="s">
        <v>16086</v>
      </c>
      <c r="G2016">
        <f>HYPERLINK("https://www.senat.fr/senateur-3eme-republique/feral_louis0106r3.html", "feral_louis0106r3")</f>
        <v>0</v>
      </c>
      <c r="H2016">
        <f>HYPERLINK("https://www.wikidata.org/wiki/Q3261977", "Q3261977")</f>
        <v>0</v>
      </c>
    </row>
    <row r="2017" spans="1:8">
      <c r="A2017" t="s">
        <v>2023</v>
      </c>
      <c r="B2017" t="s">
        <v>6747</v>
      </c>
      <c r="C2017" t="s">
        <v>9332</v>
      </c>
      <c r="D2017" t="s">
        <v>13276</v>
      </c>
      <c r="E2017" t="s">
        <v>16087</v>
      </c>
      <c r="G2017">
        <f>HYPERLINK("https://www.senat.fr/senateur-3eme-republique/feray_ernest1643r3.html", "feray_ernest1643r3")</f>
        <v>0</v>
      </c>
      <c r="H2017">
        <f>HYPERLINK("https://www.wikidata.org/wiki/Q3056949", "Q3056949")</f>
        <v>0</v>
      </c>
    </row>
    <row r="2018" spans="1:8">
      <c r="A2018" t="s">
        <v>2024</v>
      </c>
      <c r="B2018" t="s">
        <v>6748</v>
      </c>
      <c r="C2018" t="s">
        <v>7342</v>
      </c>
      <c r="D2018" t="s">
        <v>13277</v>
      </c>
      <c r="E2018" s="2">
        <v>17972</v>
      </c>
      <c r="F2018">
        <f>HYPERLINK("https://www2.assemblee-nationale.fr/sycomore/fiche/(num_dept)/2961", "2961.0")</f>
        <v>0</v>
      </c>
      <c r="H2018">
        <f>HYPERLINK("https://www.wikidata.org/wiki/Q3171993", "Q3171993")</f>
        <v>0</v>
      </c>
    </row>
    <row r="2019" spans="1:8">
      <c r="A2019" t="s">
        <v>2025</v>
      </c>
      <c r="B2019" t="s">
        <v>6749</v>
      </c>
      <c r="C2019" t="s">
        <v>10154</v>
      </c>
      <c r="D2019" t="s">
        <v>13278</v>
      </c>
      <c r="E2019" s="2">
        <v>5112</v>
      </c>
      <c r="F2019">
        <f>HYPERLINK("https://www2.assemblee-nationale.fr/sycomore/fiche/(num_dept)/2970", "2970.0")</f>
        <v>0</v>
      </c>
      <c r="H2019">
        <f>HYPERLINK("https://www.wikidata.org/wiki/Q16025690", "Q16025690")</f>
        <v>0</v>
      </c>
    </row>
    <row r="2020" spans="1:8">
      <c r="A2020" t="s">
        <v>2026</v>
      </c>
      <c r="B2020" t="s">
        <v>6749</v>
      </c>
      <c r="C2020" t="s">
        <v>9355</v>
      </c>
      <c r="D2020" t="s">
        <v>13279</v>
      </c>
      <c r="E2020" s="2">
        <v>9328</v>
      </c>
      <c r="F2020">
        <f>HYPERLINK("https://www2.assemblee-nationale.fr/sycomore/fiche/(num_dept)/2966", "2966.0")</f>
        <v>0</v>
      </c>
      <c r="H2020">
        <f>HYPERLINK("https://www.wikidata.org/wiki/Q16025689", "Q16025689")</f>
        <v>0</v>
      </c>
    </row>
    <row r="2021" spans="1:8">
      <c r="A2021" t="s">
        <v>2027</v>
      </c>
      <c r="B2021" t="s">
        <v>6749</v>
      </c>
      <c r="C2021" t="s">
        <v>9352</v>
      </c>
      <c r="D2021" t="s">
        <v>13280</v>
      </c>
      <c r="E2021" s="2">
        <v>23131</v>
      </c>
      <c r="F2021">
        <f>HYPERLINK("https://www2.assemblee-nationale.fr/sycomore/fiche/(num_dept)/2965", "2965.0")</f>
        <v>0</v>
      </c>
      <c r="G2021">
        <f>HYPERLINK("https://www.senat.fr/senateur-3eme-republique/ferrand_camille0621r3.html", "ferrand_camille0621r3")</f>
        <v>0</v>
      </c>
      <c r="H2021">
        <f>HYPERLINK("https://www.wikidata.org/wiki/Q2934926", "Q2934926")</f>
        <v>0</v>
      </c>
    </row>
    <row r="2022" spans="1:8">
      <c r="A2022" t="s">
        <v>2028</v>
      </c>
      <c r="B2022" t="s">
        <v>6750</v>
      </c>
      <c r="C2022" t="s">
        <v>10070</v>
      </c>
      <c r="D2022" t="s">
        <v>13281</v>
      </c>
      <c r="E2022" s="2">
        <v>22914</v>
      </c>
      <c r="F2022">
        <f>HYPERLINK("https://www2.assemblee-nationale.fr/sycomore/fiche/(num_dept)/2972", "2972.0")</f>
        <v>0</v>
      </c>
      <c r="H2022">
        <f>HYPERLINK("https://www.wikidata.org/wiki/Q8308534", "Q8308534")</f>
        <v>0</v>
      </c>
    </row>
    <row r="2023" spans="1:8">
      <c r="A2023" t="s">
        <v>2029</v>
      </c>
      <c r="B2023" t="s">
        <v>6751</v>
      </c>
      <c r="C2023" t="s">
        <v>10364</v>
      </c>
      <c r="D2023" t="s">
        <v>13282</v>
      </c>
      <c r="E2023" t="s">
        <v>16088</v>
      </c>
      <c r="F2023">
        <f>HYPERLINK("https://www2.assemblee-nationale.fr/sycomore/fiche/(num_dept)/2973", "2973.0")</f>
        <v>0</v>
      </c>
      <c r="H2023">
        <f>HYPERLINK("https://www.wikidata.org/wiki/Q16025691", "Q16025691")</f>
        <v>0</v>
      </c>
    </row>
    <row r="2024" spans="1:8">
      <c r="A2024" t="s">
        <v>2030</v>
      </c>
      <c r="B2024" t="s">
        <v>6752</v>
      </c>
      <c r="C2024" t="s">
        <v>9356</v>
      </c>
      <c r="D2024" t="s">
        <v>13283</v>
      </c>
      <c r="E2024" s="2">
        <v>10153</v>
      </c>
      <c r="F2024">
        <f>HYPERLINK("https://www2.assemblee-nationale.fr/sycomore/fiche/(num_dept)/2974", "2974.0")</f>
        <v>0</v>
      </c>
      <c r="H2024">
        <f>HYPERLINK("https://www.wikidata.org/wiki/Q16025692", "Q16025692")</f>
        <v>0</v>
      </c>
    </row>
    <row r="2025" spans="1:8">
      <c r="A2025" t="s">
        <v>2031</v>
      </c>
      <c r="B2025" t="s">
        <v>6753</v>
      </c>
      <c r="C2025" t="s">
        <v>9337</v>
      </c>
      <c r="D2025" t="s">
        <v>13284</v>
      </c>
      <c r="E2025" t="s">
        <v>16089</v>
      </c>
      <c r="F2025">
        <f>HYPERLINK("https://www2.assemblee-nationale.fr/sycomore/fiche/(num_dept)/2975", "2975.0")</f>
        <v>0</v>
      </c>
      <c r="H2025">
        <f>HYPERLINK("https://www.wikidata.org/wiki/Q16025694", "Q16025694")</f>
        <v>0</v>
      </c>
    </row>
    <row r="2026" spans="1:8">
      <c r="A2026" t="s">
        <v>2032</v>
      </c>
      <c r="B2026" t="s">
        <v>6754</v>
      </c>
      <c r="C2026" t="s">
        <v>10365</v>
      </c>
      <c r="D2026" t="s">
        <v>13285</v>
      </c>
      <c r="E2026" s="2">
        <v>12228</v>
      </c>
      <c r="F2026">
        <f>HYPERLINK("https://www2.assemblee-nationale.fr/sycomore/fiche/(num_dept)/2976", "2976.0")</f>
        <v>0</v>
      </c>
      <c r="H2026">
        <f>HYPERLINK("https://www.wikidata.org/wiki/Q3132776", "Q3132776")</f>
        <v>0</v>
      </c>
    </row>
    <row r="2027" spans="1:8">
      <c r="A2027" t="s">
        <v>2033</v>
      </c>
      <c r="B2027" t="s">
        <v>6755</v>
      </c>
      <c r="C2027" t="s">
        <v>9621</v>
      </c>
      <c r="D2027" t="s">
        <v>13286</v>
      </c>
      <c r="E2027" s="2">
        <v>2350</v>
      </c>
      <c r="F2027">
        <f>HYPERLINK("https://www2.assemblee-nationale.fr/sycomore/fiche/(num_dept)/2979", "2979.0")</f>
        <v>0</v>
      </c>
      <c r="H2027">
        <f>HYPERLINK("https://www.wikidata.org/wiki/Q16025696", "Q16025696")</f>
        <v>0</v>
      </c>
    </row>
    <row r="2028" spans="1:8">
      <c r="A2028" t="s">
        <v>2034</v>
      </c>
      <c r="B2028" t="s">
        <v>6756</v>
      </c>
      <c r="C2028" t="s">
        <v>10366</v>
      </c>
      <c r="D2028" t="s">
        <v>13287</v>
      </c>
      <c r="E2028" s="2">
        <v>4694</v>
      </c>
      <c r="F2028">
        <f>HYPERLINK("https://www2.assemblee-nationale.fr/sycomore/fiche/(num_dept)/2980", "2980.0")</f>
        <v>0</v>
      </c>
      <c r="H2028">
        <f>HYPERLINK("https://www.wikidata.org/wiki/Q3265520", "Q3265520")</f>
        <v>0</v>
      </c>
    </row>
    <row r="2029" spans="1:8">
      <c r="A2029" t="s">
        <v>2035</v>
      </c>
      <c r="B2029" t="s">
        <v>6757</v>
      </c>
      <c r="C2029" t="s">
        <v>9397</v>
      </c>
      <c r="D2029" t="s">
        <v>13288</v>
      </c>
      <c r="E2029" t="s">
        <v>16090</v>
      </c>
      <c r="H2029">
        <f>HYPERLINK("https://www.wikidata.org/wiki/Q3526656", "Q3526656")</f>
        <v>0</v>
      </c>
    </row>
    <row r="2030" spans="1:8">
      <c r="A2030" t="s">
        <v>2036</v>
      </c>
      <c r="B2030" t="s">
        <v>6758</v>
      </c>
      <c r="C2030" t="s">
        <v>10367</v>
      </c>
      <c r="D2030" t="s">
        <v>13289</v>
      </c>
      <c r="E2030" s="2">
        <v>2825</v>
      </c>
      <c r="F2030">
        <f>HYPERLINK("https://www2.assemblee-nationale.fr/sycomore/fiche/(num_dept)/4178", "4178.0")</f>
        <v>0</v>
      </c>
      <c r="H2030">
        <f>HYPERLINK("https://www.wikidata.org/wiki/Q3131569", "Q3131569")</f>
        <v>0</v>
      </c>
    </row>
    <row r="2031" spans="1:8">
      <c r="A2031" t="s">
        <v>2037</v>
      </c>
      <c r="B2031" t="s">
        <v>6758</v>
      </c>
      <c r="C2031" t="s">
        <v>10368</v>
      </c>
      <c r="D2031" t="s">
        <v>13290</v>
      </c>
      <c r="E2031" s="2">
        <v>16890</v>
      </c>
      <c r="F2031">
        <f>HYPERLINK("https://www2.assemblee-nationale.fr/sycomore/fiche/(num_dept)/4177", "4177.0")</f>
        <v>0</v>
      </c>
      <c r="H2031">
        <f>HYPERLINK("https://www.wikidata.org/wiki/Q3132286", "Q3132286")</f>
        <v>0</v>
      </c>
    </row>
    <row r="2032" spans="1:8">
      <c r="A2032" t="s">
        <v>2038</v>
      </c>
      <c r="B2032" t="s">
        <v>6759</v>
      </c>
      <c r="C2032" t="s">
        <v>10369</v>
      </c>
      <c r="D2032" t="s">
        <v>13291</v>
      </c>
      <c r="E2032" s="2">
        <v>1179</v>
      </c>
      <c r="G2032">
        <f>HYPERLINK("https://www.senat.fr/senateur-3eme-republique/ferrouillat_jean_baptiste1735r3.html", "ferrouillat_jean_baptiste1735r3")</f>
        <v>0</v>
      </c>
      <c r="H2032">
        <f>HYPERLINK("https://www.wikidata.org/wiki/Q3179696", "Q3179696")</f>
        <v>0</v>
      </c>
    </row>
    <row r="2033" spans="1:8">
      <c r="A2033" t="s">
        <v>2039</v>
      </c>
      <c r="B2033" t="s">
        <v>6760</v>
      </c>
      <c r="C2033" t="s">
        <v>9332</v>
      </c>
      <c r="D2033" t="s">
        <v>13292</v>
      </c>
      <c r="E2033" s="2">
        <v>8034</v>
      </c>
      <c r="F2033">
        <f>HYPERLINK("https://www2.assemblee-nationale.fr/sycomore/fiche/(num_dept)/2981", "2981.0")</f>
        <v>0</v>
      </c>
      <c r="H2033">
        <f>HYPERLINK("https://www.wikidata.org/wiki/Q3056953", "Q3056953")</f>
        <v>0</v>
      </c>
    </row>
    <row r="2034" spans="1:8">
      <c r="A2034" t="s">
        <v>2040</v>
      </c>
      <c r="B2034" t="s">
        <v>6761</v>
      </c>
      <c r="C2034" t="s">
        <v>9324</v>
      </c>
      <c r="D2034" s="2">
        <v>1960</v>
      </c>
      <c r="F2034">
        <f>HYPERLINK("https://www2.assemblee-nationale.fr/sycomore/fiche/(num_dept)/2982", "2982.0")</f>
        <v>0</v>
      </c>
      <c r="H2034">
        <f>HYPERLINK("https://www.wikidata.org/wiki/Q16025697", "Q16025697")</f>
        <v>0</v>
      </c>
    </row>
    <row r="2035" spans="1:8">
      <c r="A2035" t="s">
        <v>2041</v>
      </c>
      <c r="B2035" t="s">
        <v>6762</v>
      </c>
      <c r="C2035" t="s">
        <v>9524</v>
      </c>
      <c r="D2035" t="s">
        <v>13293</v>
      </c>
      <c r="E2035" t="s">
        <v>16091</v>
      </c>
      <c r="F2035">
        <f>HYPERLINK("https://www2.assemblee-nationale.fr/sycomore/fiche/(num_dept)/2988", "2988.0")</f>
        <v>0</v>
      </c>
      <c r="H2035">
        <f>HYPERLINK("https://www.wikidata.org/wiki/Q3588498", "Q3588498")</f>
        <v>0</v>
      </c>
    </row>
    <row r="2036" spans="1:8">
      <c r="A2036" t="s">
        <v>2042</v>
      </c>
      <c r="B2036" t="s">
        <v>6762</v>
      </c>
      <c r="C2036" t="s">
        <v>10370</v>
      </c>
      <c r="D2036" t="s">
        <v>13294</v>
      </c>
      <c r="E2036" t="s">
        <v>16092</v>
      </c>
      <c r="F2036">
        <f>HYPERLINK("https://www2.assemblee-nationale.fr/sycomore/fiche/(num_dept)/7945", "7945.0")</f>
        <v>0</v>
      </c>
      <c r="G2036">
        <f>HYPERLINK("https://www.senat.fr/senateur-3eme-republique/ferry_jules1809r3.html", "ferry_jules1809r3")</f>
        <v>0</v>
      </c>
      <c r="H2036">
        <f>HYPERLINK("https://www.wikidata.org/wiki/Q959708", "Q959708")</f>
        <v>0</v>
      </c>
    </row>
    <row r="2037" spans="1:8">
      <c r="A2037" t="s">
        <v>2043</v>
      </c>
      <c r="B2037" t="s">
        <v>6762</v>
      </c>
      <c r="C2037" t="s">
        <v>10371</v>
      </c>
      <c r="D2037" t="s">
        <v>13295</v>
      </c>
      <c r="E2037" t="s">
        <v>16093</v>
      </c>
      <c r="F2037">
        <f>HYPERLINK("https://www2.assemblee-nationale.fr/sycomore/fiche/(num_dept)/2985", "2985.0")</f>
        <v>0</v>
      </c>
      <c r="G2037">
        <f>HYPERLINK("https://www.senat.fr/senateur-3eme-republique/ferry_albert1810r3.html", "ferry_albert1810r3")</f>
        <v>0</v>
      </c>
      <c r="H2037">
        <f>HYPERLINK("https://www.wikidata.org/wiki/Q2831174", "Q2831174")</f>
        <v>0</v>
      </c>
    </row>
    <row r="2038" spans="1:8">
      <c r="A2038" t="s">
        <v>2044</v>
      </c>
      <c r="B2038" t="s">
        <v>6762</v>
      </c>
      <c r="C2038" t="s">
        <v>9355</v>
      </c>
      <c r="D2038" t="s">
        <v>13296</v>
      </c>
      <c r="E2038" s="2">
        <v>3490</v>
      </c>
      <c r="F2038">
        <f>HYPERLINK("https://www2.assemblee-nationale.fr/sycomore/fiche/(num_dept)/2986", "2986.0")</f>
        <v>0</v>
      </c>
      <c r="G2038">
        <f>HYPERLINK("https://www.senat.fr/senateur-3eme-republique/ferry_charles1797r3.html", "ferry_charles1797r3")</f>
        <v>0</v>
      </c>
      <c r="H2038">
        <f>HYPERLINK("https://www.wikidata.org/wiki/Q2959061", "Q2959061")</f>
        <v>0</v>
      </c>
    </row>
    <row r="2039" spans="1:8">
      <c r="A2039" t="s">
        <v>2045</v>
      </c>
      <c r="B2039" t="s">
        <v>6762</v>
      </c>
      <c r="C2039" t="s">
        <v>5033</v>
      </c>
      <c r="D2039" t="s">
        <v>13297</v>
      </c>
      <c r="E2039" s="2">
        <v>6833</v>
      </c>
      <c r="F2039">
        <f>HYPERLINK("https://www2.assemblee-nationale.fr/sycomore/fiche/(num_dept)/2983", "2983.0")</f>
        <v>0</v>
      </c>
      <c r="H2039">
        <f>HYPERLINK("https://www.wikidata.org/wiki/Q2821507", "Q2821507")</f>
        <v>0</v>
      </c>
    </row>
    <row r="2040" spans="1:8">
      <c r="A2040" t="s">
        <v>2046</v>
      </c>
      <c r="B2040" t="s">
        <v>6762</v>
      </c>
      <c r="C2040" t="s">
        <v>10372</v>
      </c>
      <c r="D2040" t="s">
        <v>13298</v>
      </c>
      <c r="E2040" s="2">
        <v>14621</v>
      </c>
      <c r="F2040">
        <f>HYPERLINK("https://www2.assemblee-nationale.fr/sycomore/fiche/(num_dept)/2987", "2987.0")</f>
        <v>0</v>
      </c>
      <c r="H2040">
        <f>HYPERLINK("https://www.wikidata.org/wiki/Q3045174", "Q3045174")</f>
        <v>0</v>
      </c>
    </row>
    <row r="2041" spans="1:8">
      <c r="A2041" t="s">
        <v>2047</v>
      </c>
      <c r="B2041" t="s">
        <v>6763</v>
      </c>
      <c r="C2041" t="s">
        <v>9324</v>
      </c>
      <c r="D2041" t="s">
        <v>13299</v>
      </c>
      <c r="E2041" s="2">
        <v>12912</v>
      </c>
      <c r="F2041">
        <f>HYPERLINK("https://www2.assemblee-nationale.fr/sycomore/fiche/(num_dept)/2989", "2989.0")</f>
        <v>0</v>
      </c>
      <c r="H2041">
        <f>HYPERLINK("https://www.wikidata.org/wiki/Q16025698", "Q16025698")</f>
        <v>0</v>
      </c>
    </row>
    <row r="2042" spans="1:8">
      <c r="A2042" t="s">
        <v>2048</v>
      </c>
      <c r="B2042" t="s">
        <v>6764</v>
      </c>
      <c r="C2042" t="s">
        <v>9858</v>
      </c>
      <c r="D2042" t="s">
        <v>13300</v>
      </c>
      <c r="E2042" s="2">
        <v>10458</v>
      </c>
      <c r="F2042">
        <f>HYPERLINK("https://www2.assemblee-nationale.fr/sycomore/fiche/(num_dept)/2990", "2990.0")</f>
        <v>0</v>
      </c>
      <c r="H2042">
        <f>HYPERLINK("https://www.wikidata.org/wiki/Q16025699", "Q16025699")</f>
        <v>0</v>
      </c>
    </row>
    <row r="2043" spans="1:8">
      <c r="A2043" t="s">
        <v>2049</v>
      </c>
      <c r="B2043" t="s">
        <v>6765</v>
      </c>
      <c r="C2043" t="s">
        <v>7001</v>
      </c>
      <c r="D2043" t="s">
        <v>13301</v>
      </c>
      <c r="E2043" s="2">
        <v>6597</v>
      </c>
      <c r="G2043">
        <f>HYPERLINK("https://www.senat.fr/senateur-3eme-republique/fessard_georges0775r3.html", "fessard_georges0775r3")</f>
        <v>0</v>
      </c>
      <c r="H2043">
        <f>HYPERLINK("https://www.wikidata.org/wiki/Q3102704", "Q3102704")</f>
        <v>0</v>
      </c>
    </row>
    <row r="2044" spans="1:8">
      <c r="A2044" t="s">
        <v>2050</v>
      </c>
      <c r="B2044" t="s">
        <v>6766</v>
      </c>
      <c r="C2044" t="s">
        <v>10373</v>
      </c>
      <c r="D2044" t="s">
        <v>13302</v>
      </c>
      <c r="E2044" s="2">
        <v>18336</v>
      </c>
      <c r="F2044">
        <f>HYPERLINK("https://www2.assemblee-nationale.fr/sycomore/fiche/(num_dept)/4861", "4861.0")</f>
        <v>0</v>
      </c>
      <c r="H2044">
        <f>HYPERLINK("https://www.wikidata.org/wiki/Q3132399", "Q3132399")</f>
        <v>0</v>
      </c>
    </row>
    <row r="2045" spans="1:8">
      <c r="A2045" t="s">
        <v>2051</v>
      </c>
      <c r="B2045" t="s">
        <v>6767</v>
      </c>
      <c r="C2045" t="s">
        <v>9430</v>
      </c>
      <c r="D2045" t="s">
        <v>11542</v>
      </c>
      <c r="G2045">
        <f>HYPERLINK("https://www.senat.fr/senateur-3eme-republique/feuga_paul0096r3.html", "feuga_paul0096r3")</f>
        <v>0</v>
      </c>
      <c r="H2045">
        <f>HYPERLINK("https://www.wikidata.org/wiki/Q3371211", "Q3371211")</f>
        <v>0</v>
      </c>
    </row>
    <row r="2046" spans="1:8">
      <c r="A2046" t="s">
        <v>2052</v>
      </c>
      <c r="B2046" t="s">
        <v>6768</v>
      </c>
      <c r="C2046" t="s">
        <v>9355</v>
      </c>
      <c r="D2046" t="s">
        <v>13303</v>
      </c>
      <c r="E2046" s="2">
        <v>25301</v>
      </c>
      <c r="F2046">
        <f>HYPERLINK("https://www2.assemblee-nationale.fr/sycomore/fiche/(num_dept)/2992", "2992.0")</f>
        <v>0</v>
      </c>
      <c r="H2046">
        <f>HYPERLINK("https://www.wikidata.org/wiki/Q8338081", "Q8338081")</f>
        <v>0</v>
      </c>
    </row>
    <row r="2047" spans="1:8">
      <c r="A2047" t="s">
        <v>2053</v>
      </c>
      <c r="B2047" t="s">
        <v>6769</v>
      </c>
      <c r="C2047" t="s">
        <v>10026</v>
      </c>
      <c r="D2047" t="s">
        <v>13304</v>
      </c>
      <c r="E2047" s="2">
        <v>14631</v>
      </c>
      <c r="G2047">
        <f>HYPERLINK("https://www.senat.fr/senateur-3eme-republique/fevre_achille1781r3.html", "fevre_achille1781r3")</f>
        <v>0</v>
      </c>
      <c r="H2047">
        <f>HYPERLINK("https://www.wikidata.org/wiki/Q2823060", "Q2823060")</f>
        <v>0</v>
      </c>
    </row>
    <row r="2048" spans="1:8">
      <c r="A2048" t="s">
        <v>2054</v>
      </c>
      <c r="B2048" t="s">
        <v>6770</v>
      </c>
      <c r="C2048" t="s">
        <v>9368</v>
      </c>
      <c r="D2048" t="s">
        <v>13305</v>
      </c>
      <c r="E2048" s="2">
        <v>18056</v>
      </c>
      <c r="F2048">
        <f>HYPERLINK("https://www2.assemblee-nationale.fr/sycomore/fiche/(num_dept)/2996", "2996.0")</f>
        <v>0</v>
      </c>
      <c r="G2048">
        <f>HYPERLINK("https://www.senat.fr/senateur-3eme-republique/fiancette_eugene1556r3.html", "fiancette_eugene1556r3")</f>
        <v>0</v>
      </c>
      <c r="H2048">
        <f>HYPERLINK("https://www.wikidata.org/wiki/Q3059859", "Q3059859")</f>
        <v>0</v>
      </c>
    </row>
    <row r="2049" spans="1:8">
      <c r="A2049" t="s">
        <v>2055</v>
      </c>
      <c r="B2049" t="s">
        <v>6771</v>
      </c>
      <c r="C2049" t="s">
        <v>10374</v>
      </c>
      <c r="D2049" t="s">
        <v>13306</v>
      </c>
      <c r="E2049" t="s">
        <v>16094</v>
      </c>
      <c r="F2049">
        <f>HYPERLINK("https://www2.assemblee-nationale.fr/sycomore/fiche/(num_dept)/8210", "8210.0")</f>
        <v>0</v>
      </c>
      <c r="H2049">
        <f>HYPERLINK("https://www.wikidata.org/wiki/Q3047728", "Q3047728")</f>
        <v>0</v>
      </c>
    </row>
    <row r="2050" spans="1:8">
      <c r="A2050" t="s">
        <v>2056</v>
      </c>
      <c r="B2050" t="s">
        <v>6772</v>
      </c>
      <c r="C2050" t="s">
        <v>7754</v>
      </c>
      <c r="D2050" t="s">
        <v>13307</v>
      </c>
      <c r="E2050" s="2">
        <v>26973</v>
      </c>
      <c r="F2050">
        <f>HYPERLINK("https://www2.assemblee-nationale.fr/sycomore/fiche/(num_dept)/2998", "2998.0")</f>
        <v>0</v>
      </c>
      <c r="H2050">
        <f>HYPERLINK("https://www.wikidata.org/wiki/Q3261890", "Q3261890")</f>
        <v>0</v>
      </c>
    </row>
    <row r="2051" spans="1:8">
      <c r="A2051" t="s">
        <v>2057</v>
      </c>
      <c r="B2051" t="s">
        <v>6773</v>
      </c>
      <c r="C2051" t="s">
        <v>9346</v>
      </c>
      <c r="D2051" t="s">
        <v>13308</v>
      </c>
      <c r="E2051" t="s">
        <v>16095</v>
      </c>
      <c r="G2051">
        <f>HYPERLINK("https://www.senat.fr/senateur-3eme-republique/fievet_edouard1377r3.html", "fievet_edouard1377r3")</f>
        <v>0</v>
      </c>
      <c r="H2051">
        <f>HYPERLINK("https://www.wikidata.org/wiki/Q3579836", "Q3579836")</f>
        <v>0</v>
      </c>
    </row>
    <row r="2052" spans="1:8">
      <c r="A2052" t="s">
        <v>2058</v>
      </c>
      <c r="B2052" t="s">
        <v>6774</v>
      </c>
      <c r="C2052" t="s">
        <v>9482</v>
      </c>
      <c r="D2052" t="s">
        <v>13309</v>
      </c>
      <c r="E2052" s="2">
        <v>16507</v>
      </c>
      <c r="G2052">
        <f>HYPERLINK("https://www.senat.fr/senateur-3eme-republique/filhol_de_camas_edmond0913r3.html", "filhol_de_camas_edmond0913r3")</f>
        <v>0</v>
      </c>
      <c r="H2052">
        <f>HYPERLINK("https://www.wikidata.org/wiki/Q3047821", "Q3047821")</f>
        <v>0</v>
      </c>
    </row>
    <row r="2053" spans="1:8">
      <c r="A2053" t="s">
        <v>2059</v>
      </c>
      <c r="B2053" t="s">
        <v>6775</v>
      </c>
      <c r="C2053" t="s">
        <v>10375</v>
      </c>
      <c r="D2053" t="s">
        <v>13310</v>
      </c>
      <c r="E2053" t="s">
        <v>15973</v>
      </c>
      <c r="F2053">
        <f>HYPERLINK("https://www2.assemblee-nationale.fr/sycomore/fiche/(num_dept)/8036", "8036.0")</f>
        <v>0</v>
      </c>
      <c r="H2053">
        <f>HYPERLINK("https://www.wikidata.org/wiki/Q15974206", "Q15974206")</f>
        <v>0</v>
      </c>
    </row>
    <row r="2054" spans="1:8">
      <c r="A2054" t="s">
        <v>2060</v>
      </c>
      <c r="B2054" t="s">
        <v>6776</v>
      </c>
      <c r="C2054" t="s">
        <v>10376</v>
      </c>
      <c r="D2054" t="s">
        <v>13311</v>
      </c>
      <c r="E2054" s="2">
        <v>16567</v>
      </c>
      <c r="F2054">
        <f>HYPERLINK("https://www2.assemblee-nationale.fr/sycomore/fiche/(num_dept)/3005", "3005.0")</f>
        <v>0</v>
      </c>
      <c r="H2054">
        <f>HYPERLINK("https://www.wikidata.org/wiki/Q16025700", "Q16025700")</f>
        <v>0</v>
      </c>
    </row>
    <row r="2055" spans="1:8">
      <c r="A2055" t="s">
        <v>2061</v>
      </c>
      <c r="B2055" t="s">
        <v>6777</v>
      </c>
      <c r="C2055" t="s">
        <v>9511</v>
      </c>
      <c r="D2055" t="s">
        <v>13312</v>
      </c>
      <c r="E2055" s="2">
        <v>21070</v>
      </c>
      <c r="F2055">
        <f>HYPERLINK("https://www2.assemblee-nationale.fr/sycomore/fiche/(num_dept)/3010", "3010.0")</f>
        <v>0</v>
      </c>
      <c r="H2055">
        <f>HYPERLINK("https://www.wikidata.org/wiki/Q16025701", "Q16025701")</f>
        <v>0</v>
      </c>
    </row>
    <row r="2056" spans="1:8">
      <c r="A2056" t="s">
        <v>2062</v>
      </c>
      <c r="B2056" t="s">
        <v>6778</v>
      </c>
      <c r="C2056" t="s">
        <v>9324</v>
      </c>
      <c r="D2056" t="s">
        <v>13313</v>
      </c>
      <c r="E2056" s="2">
        <v>23025</v>
      </c>
      <c r="F2056">
        <f>HYPERLINK("https://www2.assemblee-nationale.fr/sycomore/fiche/(num_dept)/3012", "3012.0")</f>
        <v>0</v>
      </c>
      <c r="H2056">
        <f>HYPERLINK("https://www.wikidata.org/wiki/Q3131081", "Q3131081")</f>
        <v>0</v>
      </c>
    </row>
    <row r="2057" spans="1:8">
      <c r="A2057" t="s">
        <v>2063</v>
      </c>
      <c r="B2057" t="s">
        <v>6779</v>
      </c>
      <c r="C2057" t="s">
        <v>9457</v>
      </c>
      <c r="D2057" t="s">
        <v>13314</v>
      </c>
      <c r="E2057" s="2">
        <v>6010</v>
      </c>
      <c r="F2057">
        <f>HYPERLINK("https://www2.assemblee-nationale.fr/sycomore/fiche/(num_dept)/3013", "3013.0")</f>
        <v>0</v>
      </c>
      <c r="G2057">
        <f>HYPERLINK("https://www.senat.fr/senateur-3eme-republique/fiquet_alphonse1691r3.html", "fiquet_alphonse1691r3")</f>
        <v>0</v>
      </c>
      <c r="H2057">
        <f>HYPERLINK("https://www.wikidata.org/wiki/Q2839795", "Q2839795")</f>
        <v>0</v>
      </c>
    </row>
    <row r="2058" spans="1:8">
      <c r="A2058" t="s">
        <v>2064</v>
      </c>
      <c r="B2058" t="s">
        <v>6780</v>
      </c>
      <c r="C2058" t="s">
        <v>8716</v>
      </c>
      <c r="D2058" t="s">
        <v>13315</v>
      </c>
      <c r="E2058" s="2">
        <v>9525</v>
      </c>
      <c r="F2058">
        <f>HYPERLINK("https://www2.assemblee-nationale.fr/sycomore/fiche/(num_dept)/3014", "3014.0")</f>
        <v>0</v>
      </c>
      <c r="H2058">
        <f>HYPERLINK("https://www.wikidata.org/wiki/Q8324901", "Q8324901")</f>
        <v>0</v>
      </c>
    </row>
    <row r="2059" spans="1:8">
      <c r="A2059" t="s">
        <v>2065</v>
      </c>
      <c r="B2059" t="s">
        <v>6781</v>
      </c>
      <c r="C2059" t="s">
        <v>9373</v>
      </c>
      <c r="D2059" t="s">
        <v>13316</v>
      </c>
      <c r="E2059" s="2">
        <v>5490</v>
      </c>
      <c r="F2059">
        <f>HYPERLINK("https://www2.assemblee-nationale.fr/sycomore/fiche/(num_dept)/3017", "3017.0")</f>
        <v>0</v>
      </c>
      <c r="H2059">
        <f>HYPERLINK("https://www.wikidata.org/wiki/Q16025704", "Q16025704")</f>
        <v>0</v>
      </c>
    </row>
    <row r="2060" spans="1:8">
      <c r="A2060" t="s">
        <v>2066</v>
      </c>
      <c r="B2060" t="s">
        <v>6782</v>
      </c>
      <c r="C2060" t="s">
        <v>10377</v>
      </c>
      <c r="D2060" t="s">
        <v>13317</v>
      </c>
      <c r="E2060" s="2">
        <v>24985</v>
      </c>
      <c r="F2060">
        <f>HYPERLINK("https://www2.assemblee-nationale.fr/sycomore/fiche/(num_dept)/2997", "2997.0")</f>
        <v>0</v>
      </c>
      <c r="H2060">
        <f>HYPERLINK("https://www.wikidata.org/wiki/Q2864433", "Q2864433")</f>
        <v>0</v>
      </c>
    </row>
    <row r="2061" spans="1:8">
      <c r="A2061" t="s">
        <v>2067</v>
      </c>
      <c r="B2061" t="s">
        <v>6783</v>
      </c>
      <c r="C2061" t="s">
        <v>9368</v>
      </c>
      <c r="D2061" t="s">
        <v>13318</v>
      </c>
      <c r="E2061" s="2">
        <v>3773</v>
      </c>
      <c r="F2061">
        <f>HYPERLINK("https://www2.assemblee-nationale.fr/sycomore/fiche/(num_dept)/3000", "3000.0")</f>
        <v>0</v>
      </c>
      <c r="H2061">
        <f>HYPERLINK("https://www.wikidata.org/wiki/Q3059863", "Q3059863")</f>
        <v>0</v>
      </c>
    </row>
    <row r="2062" spans="1:8">
      <c r="A2062" t="s">
        <v>2068</v>
      </c>
      <c r="B2062" t="s">
        <v>6784</v>
      </c>
      <c r="C2062" t="s">
        <v>9403</v>
      </c>
      <c r="D2062" t="s">
        <v>13319</v>
      </c>
      <c r="E2062" s="2">
        <v>11408</v>
      </c>
      <c r="G2062">
        <f>HYPERLINK("https://www.senat.fr/senateur-3eme-republique/flaissieres_simeon0329r3.html", "flaissieres_simeon0329r3")</f>
        <v>0</v>
      </c>
      <c r="H2062">
        <f>HYPERLINK("https://www.wikidata.org/wiki/Q2288636", "Q2288636")</f>
        <v>0</v>
      </c>
    </row>
    <row r="2063" spans="1:8">
      <c r="A2063" t="s">
        <v>2069</v>
      </c>
      <c r="B2063" t="s">
        <v>6785</v>
      </c>
      <c r="C2063" t="s">
        <v>6686</v>
      </c>
      <c r="D2063" t="s">
        <v>13320</v>
      </c>
      <c r="E2063" s="2">
        <v>7569</v>
      </c>
      <c r="F2063">
        <f>HYPERLINK("https://www2.assemblee-nationale.fr/sycomore/fiche/(num_dept)/3022", "3022.0")</f>
        <v>0</v>
      </c>
      <c r="G2063">
        <f>HYPERLINK("https://www.senat.fr/senateur-3eme-republique/flandin_etienne1832r3.html", "flandin_etienne1832r3")</f>
        <v>0</v>
      </c>
      <c r="H2063">
        <f>HYPERLINK("https://www.wikidata.org/wiki/Q3592162", "Q3592162")</f>
        <v>0</v>
      </c>
    </row>
    <row r="2064" spans="1:8">
      <c r="A2064" t="s">
        <v>2070</v>
      </c>
      <c r="B2064" t="s">
        <v>6785</v>
      </c>
      <c r="C2064" t="s">
        <v>9332</v>
      </c>
      <c r="D2064" t="s">
        <v>13321</v>
      </c>
      <c r="E2064" s="2">
        <v>15777</v>
      </c>
      <c r="F2064">
        <f>HYPERLINK("https://www2.assemblee-nationale.fr/sycomore/fiche/(num_dept)/3021", "3021.0")</f>
        <v>0</v>
      </c>
      <c r="H2064">
        <f>HYPERLINK("https://www.wikidata.org/wiki/Q3056952", "Q3056952")</f>
        <v>0</v>
      </c>
    </row>
    <row r="2065" spans="1:8">
      <c r="A2065" t="s">
        <v>2071</v>
      </c>
      <c r="B2065" t="s">
        <v>6785</v>
      </c>
      <c r="C2065" t="s">
        <v>10378</v>
      </c>
      <c r="D2065" t="s">
        <v>13322</v>
      </c>
      <c r="E2065" s="2">
        <v>21349</v>
      </c>
      <c r="F2065">
        <f>HYPERLINK("https://www2.assemblee-nationale.fr/sycomore/fiche/(num_dept)/10839", "10839.0")</f>
        <v>0</v>
      </c>
      <c r="H2065">
        <f>HYPERLINK("https://www.wikidata.org/wiki/Q471296", "Q471296")</f>
        <v>0</v>
      </c>
    </row>
    <row r="2066" spans="1:8">
      <c r="A2066" t="s">
        <v>2072</v>
      </c>
      <c r="B2066" t="s">
        <v>6786</v>
      </c>
      <c r="C2066" t="s">
        <v>7942</v>
      </c>
      <c r="D2066" t="s">
        <v>13323</v>
      </c>
      <c r="E2066" s="2">
        <v>14221</v>
      </c>
      <c r="F2066">
        <f>HYPERLINK("https://www2.assemblee-nationale.fr/sycomore/fiche/(num_dept)/3025", "3025.0")</f>
        <v>0</v>
      </c>
      <c r="G2066">
        <f>HYPERLINK("https://www.senat.fr/senateur-3eme-republique/flayelle_maurice1800r3.html", "flayelle_maurice1800r3")</f>
        <v>0</v>
      </c>
      <c r="H2066">
        <f>HYPERLINK("https://www.wikidata.org/wiki/Q3300781", "Q3300781")</f>
        <v>0</v>
      </c>
    </row>
    <row r="2067" spans="1:8">
      <c r="A2067" t="s">
        <v>2073</v>
      </c>
      <c r="B2067" t="s">
        <v>6787</v>
      </c>
      <c r="C2067" t="s">
        <v>9524</v>
      </c>
      <c r="D2067" t="s">
        <v>13324</v>
      </c>
      <c r="E2067" s="2">
        <v>14025</v>
      </c>
      <c r="F2067">
        <f>HYPERLINK("https://www2.assemblee-nationale.fr/sycomore/fiche/(num_dept)/3026", "3026.0")</f>
        <v>0</v>
      </c>
      <c r="H2067">
        <f>HYPERLINK("https://www.wikidata.org/wiki/Q16025706", "Q16025706")</f>
        <v>0</v>
      </c>
    </row>
    <row r="2068" spans="1:8">
      <c r="A2068" t="s">
        <v>2074</v>
      </c>
      <c r="B2068" t="s">
        <v>6788</v>
      </c>
      <c r="C2068" t="s">
        <v>9438</v>
      </c>
      <c r="D2068" t="s">
        <v>13325</v>
      </c>
      <c r="E2068" s="2">
        <v>13051</v>
      </c>
      <c r="F2068">
        <f>HYPERLINK("https://www2.assemblee-nationale.fr/sycomore/fiche/(num_dept)/3027", "3027.0")</f>
        <v>0</v>
      </c>
      <c r="H2068">
        <f>HYPERLINK("https://www.wikidata.org/wiki/Q16025707", "Q16025707")</f>
        <v>0</v>
      </c>
    </row>
    <row r="2069" spans="1:8">
      <c r="A2069" t="s">
        <v>2075</v>
      </c>
      <c r="B2069" t="s">
        <v>6789</v>
      </c>
      <c r="C2069" t="s">
        <v>9430</v>
      </c>
      <c r="D2069" t="s">
        <v>13326</v>
      </c>
      <c r="E2069" s="2">
        <v>16848</v>
      </c>
      <c r="G2069">
        <f>HYPERLINK("https://www.senat.fr/senateur-3eme-republique/fleurot_paul1337r3.html", "fleurot_paul1337r3")</f>
        <v>0</v>
      </c>
      <c r="H2069">
        <f>HYPERLINK("https://www.wikidata.org/wiki/Q3371215", "Q3371215")</f>
        <v>0</v>
      </c>
    </row>
    <row r="2070" spans="1:8">
      <c r="A2070" t="s">
        <v>2076</v>
      </c>
      <c r="B2070" t="s">
        <v>6790</v>
      </c>
      <c r="C2070" t="s">
        <v>7233</v>
      </c>
      <c r="D2070" t="s">
        <v>13327</v>
      </c>
      <c r="E2070" s="2">
        <v>8822</v>
      </c>
      <c r="G2070">
        <f>HYPERLINK("https://www.senat.fr/senateur-3eme-republique/fleury_ravarin_henry1128r3.html", "fleury_ravarin_henry1128r3")</f>
        <v>0</v>
      </c>
      <c r="H2070">
        <f>HYPERLINK("https://www.wikidata.org/wiki/Q3132778", "Q3132778")</f>
        <v>0</v>
      </c>
    </row>
    <row r="2071" spans="1:8">
      <c r="A2071" t="s">
        <v>2077</v>
      </c>
      <c r="B2071" t="s">
        <v>6791</v>
      </c>
      <c r="C2071" t="s">
        <v>7233</v>
      </c>
      <c r="D2071" t="s">
        <v>13328</v>
      </c>
      <c r="E2071" s="2">
        <v>8822</v>
      </c>
      <c r="F2071">
        <f>HYPERLINK("https://www2.assemblee-nationale.fr/sycomore/fiche/(num_dept)/3030", "3030.0")</f>
        <v>0</v>
      </c>
      <c r="H2071">
        <f>HYPERLINK("https://www.wikidata.org/wiki/Q3132778", "Q3132778")</f>
        <v>0</v>
      </c>
    </row>
    <row r="2072" spans="1:8">
      <c r="A2072" t="s">
        <v>2078</v>
      </c>
      <c r="B2072" t="s">
        <v>6792</v>
      </c>
      <c r="C2072" t="s">
        <v>10379</v>
      </c>
      <c r="D2072" t="s">
        <v>13329</v>
      </c>
      <c r="E2072" t="s">
        <v>16096</v>
      </c>
      <c r="F2072">
        <f>HYPERLINK("https://www2.assemblee-nationale.fr/sycomore/fiche/(num_dept)/8205", "8205.0")</f>
        <v>0</v>
      </c>
      <c r="H2072">
        <f>HYPERLINK("https://www.wikidata.org/wiki/Q16025709", "Q16025709")</f>
        <v>0</v>
      </c>
    </row>
    <row r="2073" spans="1:8">
      <c r="A2073" t="s">
        <v>2079</v>
      </c>
      <c r="B2073" t="s">
        <v>6793</v>
      </c>
      <c r="C2073" t="s">
        <v>9430</v>
      </c>
      <c r="D2073" t="s">
        <v>13330</v>
      </c>
      <c r="E2073" s="2">
        <v>11368</v>
      </c>
      <c r="G2073">
        <f>HYPERLINK("https://www.senat.fr/senateur-3eme-republique/fleury_paul0896r3.html", "fleury_paul0896r3")</f>
        <v>0</v>
      </c>
      <c r="H2073">
        <f>HYPERLINK("https://www.wikidata.org/wiki/Q3371217", "Q3371217")</f>
        <v>0</v>
      </c>
    </row>
    <row r="2074" spans="1:8">
      <c r="A2074" t="s">
        <v>2080</v>
      </c>
      <c r="B2074" t="s">
        <v>6792</v>
      </c>
      <c r="C2074" t="s">
        <v>10070</v>
      </c>
      <c r="D2074" t="s">
        <v>13331</v>
      </c>
      <c r="E2074" s="2">
        <v>20840</v>
      </c>
      <c r="F2074">
        <f>HYPERLINK("https://www2.assemblee-nationale.fr/sycomore/fiche/(num_dept)/3029", "3029.0")</f>
        <v>0</v>
      </c>
      <c r="H2074">
        <f>HYPERLINK("https://www.wikidata.org/wiki/Q8304541", "Q8304541")</f>
        <v>0</v>
      </c>
    </row>
    <row r="2075" spans="1:8">
      <c r="A2075" t="s">
        <v>2081</v>
      </c>
      <c r="B2075" t="s">
        <v>6794</v>
      </c>
      <c r="C2075" t="s">
        <v>10380</v>
      </c>
      <c r="D2075" t="s">
        <v>12340</v>
      </c>
      <c r="E2075" t="s">
        <v>16097</v>
      </c>
      <c r="F2075">
        <f>HYPERLINK("https://www2.assemblee-nationale.fr/sycomore/fiche/(num_dept)/3032", "3032.0")</f>
        <v>0</v>
      </c>
      <c r="G2075">
        <f>HYPERLINK("https://www.senat.fr/senateur-3eme-republique/floquet_charles1411r3.html", "floquet_charles1411r3")</f>
        <v>0</v>
      </c>
      <c r="H2075">
        <f>HYPERLINK("https://www.wikidata.org/wiki/Q471311", "Q471311")</f>
        <v>0</v>
      </c>
    </row>
    <row r="2076" spans="1:8">
      <c r="A2076" t="s">
        <v>2082</v>
      </c>
      <c r="B2076" t="s">
        <v>6795</v>
      </c>
      <c r="C2076" t="s">
        <v>7754</v>
      </c>
      <c r="D2076" t="s">
        <v>13332</v>
      </c>
      <c r="E2076" t="s">
        <v>16098</v>
      </c>
      <c r="F2076">
        <f>HYPERLINK("https://www2.assemblee-nationale.fr/sycomore/fiche/(num_dept)/8207", "8207.0")</f>
        <v>0</v>
      </c>
      <c r="H2076">
        <f>HYPERLINK("https://www.wikidata.org/wiki/Q16025711", "Q16025711")</f>
        <v>0</v>
      </c>
    </row>
    <row r="2077" spans="1:8">
      <c r="A2077" t="s">
        <v>2083</v>
      </c>
      <c r="B2077" t="s">
        <v>6796</v>
      </c>
      <c r="C2077" t="s">
        <v>9429</v>
      </c>
      <c r="D2077" t="s">
        <v>13333</v>
      </c>
      <c r="E2077" s="2">
        <v>8371</v>
      </c>
      <c r="F2077">
        <f>HYPERLINK("https://www2.assemblee-nationale.fr/sycomore/fiche/(num_dept)/3034", "3034.0")</f>
        <v>0</v>
      </c>
      <c r="H2077">
        <f>HYPERLINK("https://www.wikidata.org/wiki/Q13080163", "Q13080163")</f>
        <v>0</v>
      </c>
    </row>
    <row r="2078" spans="1:8">
      <c r="A2078" t="s">
        <v>2084</v>
      </c>
      <c r="B2078" t="s">
        <v>6797</v>
      </c>
      <c r="C2078" t="s">
        <v>10381</v>
      </c>
      <c r="D2078" t="s">
        <v>13334</v>
      </c>
      <c r="E2078" s="2">
        <v>7311</v>
      </c>
      <c r="F2078">
        <f>HYPERLINK("https://www2.assemblee-nationale.fr/sycomore/fiche/(num_dept)/3038", "3038.0")</f>
        <v>0</v>
      </c>
      <c r="H2078">
        <f>HYPERLINK("https://www.wikidata.org/wiki/Q2602696", "Q2602696")</f>
        <v>0</v>
      </c>
    </row>
    <row r="2079" spans="1:8">
      <c r="A2079" t="s">
        <v>2085</v>
      </c>
      <c r="B2079" t="s">
        <v>6797</v>
      </c>
      <c r="C2079" t="s">
        <v>9868</v>
      </c>
      <c r="D2079" t="s">
        <v>13335</v>
      </c>
      <c r="E2079" s="2">
        <v>7312</v>
      </c>
      <c r="H2079">
        <f>HYPERLINK("https://www.wikidata.org/wiki/Q2602696", "Q2602696")</f>
        <v>0</v>
      </c>
    </row>
    <row r="2080" spans="1:8">
      <c r="A2080" t="s">
        <v>2086</v>
      </c>
      <c r="B2080" t="s">
        <v>6798</v>
      </c>
      <c r="C2080" t="s">
        <v>5096</v>
      </c>
      <c r="D2080" t="s">
        <v>13336</v>
      </c>
      <c r="E2080" s="2">
        <v>1908</v>
      </c>
      <c r="F2080">
        <f>HYPERLINK("https://www2.assemblee-nationale.fr/sycomore/fiche/(num_dept)/3040", "3040.0")</f>
        <v>0</v>
      </c>
      <c r="G2080">
        <f>HYPERLINK("https://www.senat.fr/senateur-3eme-republique/folliet_andre1312r3.html", "folliet_andre1312r3")</f>
        <v>0</v>
      </c>
      <c r="H2080">
        <f>HYPERLINK("https://www.wikidata.org/wiki/Q2847756", "Q2847756")</f>
        <v>0</v>
      </c>
    </row>
    <row r="2081" spans="1:8">
      <c r="A2081" t="s">
        <v>2087</v>
      </c>
      <c r="B2081" t="s">
        <v>6799</v>
      </c>
      <c r="C2081" t="s">
        <v>7001</v>
      </c>
      <c r="D2081" t="s">
        <v>13337</v>
      </c>
      <c r="E2081" s="2">
        <v>9869</v>
      </c>
      <c r="F2081">
        <f>HYPERLINK("https://www2.assemblee-nationale.fr/sycomore/fiche/(num_dept)/3041", "3041.0")</f>
        <v>0</v>
      </c>
      <c r="H2081">
        <f>HYPERLINK("https://www.wikidata.org/wiki/Q16025713", "Q16025713")</f>
        <v>0</v>
      </c>
    </row>
    <row r="2082" spans="1:8">
      <c r="A2082" t="s">
        <v>2088</v>
      </c>
      <c r="B2082" t="s">
        <v>6800</v>
      </c>
      <c r="C2082" t="s">
        <v>9320</v>
      </c>
      <c r="D2082" t="s">
        <v>13338</v>
      </c>
      <c r="E2082" s="2">
        <v>19528</v>
      </c>
      <c r="F2082">
        <f>HYPERLINK("https://www2.assemblee-nationale.fr/sycomore/fiche/(num_dept)/3042", "3042.0")</f>
        <v>0</v>
      </c>
      <c r="H2082">
        <f>HYPERLINK("https://www.wikidata.org/wiki/Q48674", "Q48674")</f>
        <v>0</v>
      </c>
    </row>
    <row r="2083" spans="1:8">
      <c r="A2083" t="s">
        <v>2089</v>
      </c>
      <c r="B2083" t="s">
        <v>6801</v>
      </c>
      <c r="C2083" t="s">
        <v>10382</v>
      </c>
      <c r="D2083" t="s">
        <v>12711</v>
      </c>
      <c r="E2083" s="2">
        <v>18216</v>
      </c>
      <c r="F2083">
        <f>HYPERLINK("https://www2.assemblee-nationale.fr/sycomore/fiche/(num_dept)/3045", "3045.0")</f>
        <v>0</v>
      </c>
      <c r="H2083">
        <f>HYPERLINK("https://www.wikidata.org/wiki/Q3421220", "Q3421220")</f>
        <v>0</v>
      </c>
    </row>
    <row r="2084" spans="1:8">
      <c r="A2084" t="s">
        <v>2090</v>
      </c>
      <c r="B2084" t="s">
        <v>6802</v>
      </c>
      <c r="C2084" t="s">
        <v>7233</v>
      </c>
      <c r="D2084" t="s">
        <v>13339</v>
      </c>
      <c r="E2084" s="2">
        <v>14098</v>
      </c>
      <c r="F2084">
        <f>HYPERLINK("https://www2.assemblee-nationale.fr/sycomore/fiche/(num_dept)/3048", "3048.0")</f>
        <v>0</v>
      </c>
      <c r="H2084">
        <f>HYPERLINK("https://www.wikidata.org/wiki/Q12948763", "Q12948763")</f>
        <v>0</v>
      </c>
    </row>
    <row r="2085" spans="1:8">
      <c r="A2085" t="s">
        <v>2091</v>
      </c>
      <c r="B2085" t="s">
        <v>6803</v>
      </c>
      <c r="C2085" t="s">
        <v>9320</v>
      </c>
      <c r="D2085" t="s">
        <v>13340</v>
      </c>
      <c r="E2085" s="2">
        <v>15146</v>
      </c>
      <c r="G2085">
        <f>HYPERLINK("https://www.senat.fr/senateur-3eme-republique/fontanille_rene0614r3.html", "fontanille_rene0614r3")</f>
        <v>0</v>
      </c>
      <c r="H2085">
        <f>HYPERLINK("https://www.wikidata.org/wiki/Q3426203", "Q3426203")</f>
        <v>0</v>
      </c>
    </row>
    <row r="2086" spans="1:8">
      <c r="A2086" t="s">
        <v>2092</v>
      </c>
      <c r="B2086" t="s">
        <v>6804</v>
      </c>
      <c r="C2086" t="s">
        <v>10383</v>
      </c>
      <c r="D2086" t="s">
        <v>11815</v>
      </c>
      <c r="E2086" s="2">
        <v>3052</v>
      </c>
      <c r="F2086">
        <f>HYPERLINK("https://www2.assemblee-nationale.fr/sycomore/fiche/(num_dept)/7901", "7901.0")</f>
        <v>0</v>
      </c>
      <c r="H2086">
        <f>HYPERLINK("https://www.wikidata.org/wiki/Q3384017", "Q3384017")</f>
        <v>0</v>
      </c>
    </row>
    <row r="2087" spans="1:8">
      <c r="A2087" t="s">
        <v>2093</v>
      </c>
      <c r="B2087" t="s">
        <v>6805</v>
      </c>
      <c r="C2087" t="s">
        <v>5058</v>
      </c>
      <c r="D2087" t="s">
        <v>13341</v>
      </c>
      <c r="E2087" s="2">
        <v>28065</v>
      </c>
      <c r="F2087">
        <f>HYPERLINK("https://www2.assemblee-nationale.fr/sycomore/fiche/(num_dept)/3051", "3051.0")</f>
        <v>0</v>
      </c>
      <c r="H2087">
        <f>HYPERLINK("https://www.wikidata.org/wiki/Q2637928", "Q2637928")</f>
        <v>0</v>
      </c>
    </row>
    <row r="2088" spans="1:8">
      <c r="A2088" t="s">
        <v>2094</v>
      </c>
      <c r="B2088" t="s">
        <v>6806</v>
      </c>
      <c r="C2088" t="s">
        <v>10187</v>
      </c>
      <c r="D2088" t="s">
        <v>13342</v>
      </c>
      <c r="E2088" s="2">
        <v>6523</v>
      </c>
      <c r="F2088">
        <f>HYPERLINK("https://www2.assemblee-nationale.fr/sycomore/fiche/(num_dept)/3052", "3052.0")</f>
        <v>0</v>
      </c>
      <c r="G2088">
        <f>HYPERLINK("https://www.senat.fr/senateur-3eme-republique/forcioli_dominique0691r3.html", "forcioli_dominique0691r3")</f>
        <v>0</v>
      </c>
      <c r="H2088">
        <f>HYPERLINK("https://www.wikidata.org/wiki/Q16025715", "Q16025715")</f>
        <v>0</v>
      </c>
    </row>
    <row r="2089" spans="1:8">
      <c r="A2089" t="s">
        <v>2095</v>
      </c>
      <c r="B2089" t="s">
        <v>6807</v>
      </c>
      <c r="C2089" t="s">
        <v>5230</v>
      </c>
      <c r="D2089" t="s">
        <v>13343</v>
      </c>
      <c r="E2089" t="s">
        <v>16099</v>
      </c>
      <c r="F2089">
        <f>HYPERLINK("https://www2.assemblee-nationale.fr/sycomore/fiche/(num_dept)/7947", "7947.0")</f>
        <v>0</v>
      </c>
      <c r="H2089">
        <f>HYPERLINK("https://www.wikidata.org/wiki/Q13080818", "Q13080818")</f>
        <v>0</v>
      </c>
    </row>
    <row r="2090" spans="1:8">
      <c r="A2090" t="s">
        <v>2096</v>
      </c>
      <c r="B2090" t="s">
        <v>6808</v>
      </c>
      <c r="C2090" t="s">
        <v>9355</v>
      </c>
      <c r="D2090" t="s">
        <v>13344</v>
      </c>
      <c r="E2090" s="2">
        <v>5552</v>
      </c>
      <c r="G2090">
        <f>HYPERLINK("https://www.senat.fr/senateur-3eme-republique/forest_charles1300r3.html", "forest_charles1300r3")</f>
        <v>0</v>
      </c>
      <c r="H2090">
        <f>HYPERLINK("https://www.wikidata.org/wiki/Q2959076", "Q2959076")</f>
        <v>0</v>
      </c>
    </row>
    <row r="2091" spans="1:8">
      <c r="A2091" t="s">
        <v>2097</v>
      </c>
      <c r="B2091" t="s">
        <v>6807</v>
      </c>
      <c r="C2091" t="s">
        <v>6864</v>
      </c>
      <c r="D2091" t="s">
        <v>13345</v>
      </c>
      <c r="E2091" s="2">
        <v>9499</v>
      </c>
      <c r="F2091">
        <f>HYPERLINK("https://www2.assemblee-nationale.fr/sycomore/fiche/(num_dept)/3054", "3054.0")</f>
        <v>0</v>
      </c>
      <c r="H2091">
        <f>HYPERLINK("https://www.wikidata.org/wiki/Q3084624", "Q3084624")</f>
        <v>0</v>
      </c>
    </row>
    <row r="2092" spans="1:8">
      <c r="A2092" t="s">
        <v>2098</v>
      </c>
      <c r="B2092" t="s">
        <v>6809</v>
      </c>
      <c r="C2092" t="s">
        <v>10384</v>
      </c>
      <c r="D2092" t="s">
        <v>13346</v>
      </c>
      <c r="E2092" t="s">
        <v>16100</v>
      </c>
      <c r="F2092">
        <f>HYPERLINK("https://www2.assemblee-nationale.fr/sycomore/fiche/(num_dept)/7946", "7946.0")</f>
        <v>0</v>
      </c>
      <c r="H2092">
        <f>HYPERLINK("https://www.wikidata.org/wiki/Q2845612", "Q2845612")</f>
        <v>0</v>
      </c>
    </row>
    <row r="2093" spans="1:8">
      <c r="A2093" t="s">
        <v>2099</v>
      </c>
      <c r="B2093" t="s">
        <v>6810</v>
      </c>
      <c r="C2093" t="s">
        <v>9482</v>
      </c>
      <c r="D2093" t="s">
        <v>11918</v>
      </c>
      <c r="E2093" s="2">
        <v>8554</v>
      </c>
      <c r="G2093">
        <f>HYPERLINK("https://www.senat.fr/senateur-3eme-republique/forgemol_de_bostquenard_edmond1600r3.html", "forgemol_de_bostquenard_edmond1600r3")</f>
        <v>0</v>
      </c>
      <c r="H2093">
        <f>HYPERLINK("https://www.wikidata.org/wiki/Q3047823", "Q3047823")</f>
        <v>0</v>
      </c>
    </row>
    <row r="2094" spans="1:8">
      <c r="A2094" t="s">
        <v>2100</v>
      </c>
      <c r="B2094" t="s">
        <v>6811</v>
      </c>
      <c r="C2094" t="s">
        <v>8384</v>
      </c>
      <c r="D2094" t="s">
        <v>13347</v>
      </c>
      <c r="E2094" s="2">
        <v>20636</v>
      </c>
      <c r="F2094">
        <f>HYPERLINK("https://www2.assemblee-nationale.fr/sycomore/fiche/(num_dept)/3057", "3057.0")</f>
        <v>0</v>
      </c>
      <c r="H2094">
        <f>HYPERLINK("https://www.wikidata.org/wiki/Q3385030", "Q3385030")</f>
        <v>0</v>
      </c>
    </row>
    <row r="2095" spans="1:8">
      <c r="A2095" t="s">
        <v>2101</v>
      </c>
      <c r="B2095" t="s">
        <v>6812</v>
      </c>
      <c r="C2095" t="s">
        <v>9524</v>
      </c>
      <c r="D2095" t="s">
        <v>13348</v>
      </c>
      <c r="E2095" s="2">
        <v>5641</v>
      </c>
      <c r="G2095">
        <f>HYPERLINK("https://www.senat.fr/senateur-3eme-republique/forichon_emile0279r3.html", "forichon_emile0279r3")</f>
        <v>0</v>
      </c>
      <c r="H2095">
        <f>HYPERLINK("https://www.wikidata.org/wiki/Q3588504", "Q3588504")</f>
        <v>0</v>
      </c>
    </row>
    <row r="2096" spans="1:8">
      <c r="A2096" t="s">
        <v>2102</v>
      </c>
      <c r="B2096" t="s">
        <v>6813</v>
      </c>
      <c r="C2096" t="s">
        <v>10385</v>
      </c>
      <c r="D2096" t="s">
        <v>13349</v>
      </c>
      <c r="E2096" s="2">
        <v>26763</v>
      </c>
      <c r="F2096">
        <f>HYPERLINK("https://www2.assemblee-nationale.fr/sycomore/fiche/(num_dept)/3060", "3060.0")</f>
        <v>0</v>
      </c>
      <c r="H2096">
        <f>HYPERLINK("https://www.wikidata.org/wiki/Q16025716", "Q16025716")</f>
        <v>0</v>
      </c>
    </row>
    <row r="2097" spans="1:8">
      <c r="A2097" t="s">
        <v>2103</v>
      </c>
      <c r="B2097" t="s">
        <v>6814</v>
      </c>
      <c r="C2097" t="s">
        <v>9471</v>
      </c>
      <c r="D2097" t="s">
        <v>13350</v>
      </c>
      <c r="E2097" s="2">
        <v>467</v>
      </c>
      <c r="F2097">
        <f>HYPERLINK("https://www2.assemblee-nationale.fr/sycomore/fiche/(num_dept)/3061", "3061.0")</f>
        <v>0</v>
      </c>
      <c r="H2097">
        <f>HYPERLINK("https://www.wikidata.org/wiki/Q1592182", "Q1592182")</f>
        <v>0</v>
      </c>
    </row>
    <row r="2098" spans="1:8">
      <c r="A2098" t="s">
        <v>2104</v>
      </c>
      <c r="B2098" t="s">
        <v>6815</v>
      </c>
      <c r="C2098" t="s">
        <v>10386</v>
      </c>
      <c r="D2098" t="s">
        <v>13351</v>
      </c>
      <c r="F2098">
        <f>HYPERLINK("https://www2.assemblee-nationale.fr/sycomore/fiche/(num_dept)/8223", "8223.0")</f>
        <v>0</v>
      </c>
      <c r="H2098">
        <f>HYPERLINK("https://www.wikidata.org/wiki/Q14301063", "Q14301063")</f>
        <v>0</v>
      </c>
    </row>
    <row r="2099" spans="1:8">
      <c r="A2099" t="s">
        <v>2105</v>
      </c>
      <c r="B2099" t="s">
        <v>6816</v>
      </c>
      <c r="C2099" t="s">
        <v>8384</v>
      </c>
      <c r="D2099" t="s">
        <v>13352</v>
      </c>
      <c r="E2099" s="2">
        <v>7260</v>
      </c>
      <c r="G2099">
        <f>HYPERLINK("https://www.senat.fr/senateur-3eme-republique/forsans_pierre1051r3.html", "forsans_pierre1051r3")</f>
        <v>0</v>
      </c>
      <c r="H2099">
        <f>HYPERLINK("https://www.wikidata.org/wiki/Q3385038", "Q3385038")</f>
        <v>0</v>
      </c>
    </row>
    <row r="2100" spans="1:8">
      <c r="A2100" t="s">
        <v>2106</v>
      </c>
      <c r="B2100" t="s">
        <v>6817</v>
      </c>
      <c r="C2100" t="s">
        <v>9524</v>
      </c>
      <c r="D2100" t="s">
        <v>13353</v>
      </c>
      <c r="G2100">
        <f>HYPERLINK("https://www.senat.fr/senateur-3eme-republique/forsanz_emile0795r3.html", "forsanz_emile0795r3")</f>
        <v>0</v>
      </c>
      <c r="H2100">
        <f>HYPERLINK("https://www.wikidata.org/wiki/Q3588505", "Q3588505")</f>
        <v>0</v>
      </c>
    </row>
    <row r="2101" spans="1:8">
      <c r="A2101" t="s">
        <v>2107</v>
      </c>
      <c r="B2101" t="s">
        <v>6818</v>
      </c>
      <c r="C2101" t="s">
        <v>9438</v>
      </c>
      <c r="D2101" t="s">
        <v>12266</v>
      </c>
      <c r="E2101" s="2">
        <v>4060</v>
      </c>
      <c r="F2101">
        <f>HYPERLINK("https://www2.assemblee-nationale.fr/sycomore/fiche/(num_dept)/3064", "3064.0")</f>
        <v>0</v>
      </c>
      <c r="H2101">
        <f>HYPERLINK("https://www.wikidata.org/wiki/Q16025717", "Q16025717")</f>
        <v>0</v>
      </c>
    </row>
    <row r="2102" spans="1:8">
      <c r="A2102" t="s">
        <v>2108</v>
      </c>
      <c r="B2102" t="s">
        <v>6819</v>
      </c>
      <c r="C2102" t="s">
        <v>9346</v>
      </c>
      <c r="D2102" t="s">
        <v>13354</v>
      </c>
      <c r="E2102" s="2">
        <v>5703</v>
      </c>
      <c r="G2102">
        <f>HYPERLINK("https://www.senat.fr/senateur-3eme-republique/fortier_edouard1596r3.html", "fortier_edouard1596r3")</f>
        <v>0</v>
      </c>
      <c r="H2102">
        <f>HYPERLINK("https://www.wikidata.org/wiki/Q3579839", "Q3579839")</f>
        <v>0</v>
      </c>
    </row>
    <row r="2103" spans="1:8">
      <c r="A2103" t="s">
        <v>2109</v>
      </c>
      <c r="B2103" t="s">
        <v>6820</v>
      </c>
      <c r="C2103" t="s">
        <v>9471</v>
      </c>
      <c r="D2103" t="s">
        <v>13355</v>
      </c>
      <c r="E2103" s="2">
        <v>15632</v>
      </c>
      <c r="G2103">
        <f>HYPERLINK("https://www.senat.fr/senateur-3eme-republique/fortin_jules0810r3.html", "fortin_jules0810r3")</f>
        <v>0</v>
      </c>
      <c r="H2103">
        <f>HYPERLINK("https://www.wikidata.org/wiki/Q3188584", "Q3188584")</f>
        <v>0</v>
      </c>
    </row>
    <row r="2104" spans="1:8">
      <c r="A2104" t="s">
        <v>2110</v>
      </c>
      <c r="B2104" t="s">
        <v>6821</v>
      </c>
      <c r="C2104" t="s">
        <v>5058</v>
      </c>
      <c r="D2104" t="s">
        <v>12429</v>
      </c>
      <c r="E2104" s="2">
        <v>11067</v>
      </c>
      <c r="F2104">
        <f>HYPERLINK("https://www2.assemblee-nationale.fr/sycomore/fiche/(num_dept)/3066", "3066.0")</f>
        <v>0</v>
      </c>
      <c r="H2104">
        <f>HYPERLINK("https://www.wikidata.org/wiki/Q16025718", "Q16025718")</f>
        <v>0</v>
      </c>
    </row>
    <row r="2105" spans="1:8">
      <c r="A2105" t="s">
        <v>2111</v>
      </c>
      <c r="B2105" t="s">
        <v>6822</v>
      </c>
      <c r="C2105" t="s">
        <v>9430</v>
      </c>
      <c r="D2105" t="s">
        <v>13356</v>
      </c>
      <c r="E2105" t="s">
        <v>16101</v>
      </c>
      <c r="G2105">
        <f>HYPERLINK("https://www.senat.fr/senateur-3eme-republique/foubert_paul1472r3.html", "foubert_paul1472r3")</f>
        <v>0</v>
      </c>
      <c r="H2105">
        <f>HYPERLINK("https://www.wikidata.org/wiki/Q3371222", "Q3371222")</f>
        <v>0</v>
      </c>
    </row>
    <row r="2106" spans="1:8">
      <c r="A2106" t="s">
        <v>2112</v>
      </c>
      <c r="B2106" t="s">
        <v>6823</v>
      </c>
      <c r="C2106" t="s">
        <v>7754</v>
      </c>
      <c r="D2106" t="s">
        <v>13357</v>
      </c>
      <c r="E2106" t="s">
        <v>16102</v>
      </c>
      <c r="G2106">
        <f>HYPERLINK("https://www.senat.fr/senateur-3eme-republique/foucher_de_careil_louis1576r3.html", "foucher_de_careil_louis1576r3")</f>
        <v>0</v>
      </c>
      <c r="H2106">
        <f>HYPERLINK("https://www.wikidata.org/wiki/Q3260296", "Q3260296")</f>
        <v>0</v>
      </c>
    </row>
    <row r="2107" spans="1:8">
      <c r="A2107" t="s">
        <v>2113</v>
      </c>
      <c r="B2107" t="s">
        <v>6824</v>
      </c>
      <c r="C2107" t="s">
        <v>9891</v>
      </c>
      <c r="D2107" t="s">
        <v>13358</v>
      </c>
      <c r="E2107" s="2">
        <v>12403</v>
      </c>
      <c r="F2107">
        <f>HYPERLINK("https://www2.assemblee-nationale.fr/sycomore/fiche/(num_dept)/3072", "3072.0")</f>
        <v>0</v>
      </c>
      <c r="G2107">
        <f>HYPERLINK("https://www.senat.fr/senateur-3eme-republique/foucher_octave0306r3.html", "foucher_octave0306r3")</f>
        <v>0</v>
      </c>
      <c r="H2107">
        <f>HYPERLINK("https://www.wikidata.org/wiki/Q3348830", "Q3348830")</f>
        <v>0</v>
      </c>
    </row>
    <row r="2108" spans="1:8">
      <c r="A2108" t="s">
        <v>2114</v>
      </c>
      <c r="B2108" t="s">
        <v>6825</v>
      </c>
      <c r="C2108" t="s">
        <v>9332</v>
      </c>
      <c r="D2108" t="s">
        <v>13359</v>
      </c>
      <c r="E2108" s="2">
        <v>10972</v>
      </c>
      <c r="F2108">
        <f>HYPERLINK("https://www2.assemblee-nationale.fr/sycomore/fiche/(num_dept)/3070", "3070.0")</f>
        <v>0</v>
      </c>
      <c r="H2108">
        <f>HYPERLINK("https://www.wikidata.org/wiki/Q8314082", "Q8314082")</f>
        <v>0</v>
      </c>
    </row>
    <row r="2109" spans="1:8">
      <c r="A2109" t="s">
        <v>2115</v>
      </c>
      <c r="B2109" t="s">
        <v>6826</v>
      </c>
      <c r="C2109" t="s">
        <v>10387</v>
      </c>
      <c r="D2109" t="s">
        <v>13360</v>
      </c>
      <c r="E2109" s="2">
        <v>4608</v>
      </c>
      <c r="F2109">
        <f>HYPERLINK("https://www2.assemblee-nationale.fr/sycomore/fiche/(num_dept)/3076", "3076.0")</f>
        <v>0</v>
      </c>
      <c r="G2109">
        <f>HYPERLINK("https://www.senat.fr/senateur-3eme-republique/fougeirol_edouard0132r3.html", "fougeirol_edouard0132r3")</f>
        <v>0</v>
      </c>
      <c r="H2109">
        <f>HYPERLINK("https://www.wikidata.org/wiki/Q3579840", "Q3579840")</f>
        <v>0</v>
      </c>
    </row>
    <row r="2110" spans="1:8">
      <c r="A2110" t="s">
        <v>2116</v>
      </c>
      <c r="B2110" t="s">
        <v>6827</v>
      </c>
      <c r="C2110" t="s">
        <v>6686</v>
      </c>
      <c r="D2110" t="s">
        <v>13361</v>
      </c>
      <c r="E2110" s="2">
        <v>16176</v>
      </c>
      <c r="F2110">
        <f>HYPERLINK("https://www2.assemblee-nationale.fr/sycomore/fiche/(num_dept)/3077", "3077.0")</f>
        <v>0</v>
      </c>
      <c r="H2110">
        <f>HYPERLINK("https://www.wikidata.org/wiki/Q16025719", "Q16025719")</f>
        <v>0</v>
      </c>
    </row>
    <row r="2111" spans="1:8">
      <c r="A2111" t="s">
        <v>2117</v>
      </c>
      <c r="B2111" t="s">
        <v>6827</v>
      </c>
      <c r="C2111" t="s">
        <v>9324</v>
      </c>
      <c r="D2111" t="s">
        <v>13362</v>
      </c>
      <c r="E2111" s="2">
        <v>25031</v>
      </c>
      <c r="F2111">
        <f>HYPERLINK("https://www2.assemblee-nationale.fr/sycomore/fiche/(num_dept)/3078", "3078.0")</f>
        <v>0</v>
      </c>
      <c r="H2111">
        <f>HYPERLINK("https://www.wikidata.org/wiki/Q8342835", "Q8342835")</f>
        <v>0</v>
      </c>
    </row>
    <row r="2112" spans="1:8">
      <c r="A2112" t="s">
        <v>2118</v>
      </c>
      <c r="B2112" t="s">
        <v>6828</v>
      </c>
      <c r="C2112" t="s">
        <v>7001</v>
      </c>
      <c r="D2112" s="2">
        <v>278</v>
      </c>
      <c r="E2112" s="2">
        <v>16085</v>
      </c>
      <c r="F2112">
        <f>HYPERLINK("https://www2.assemblee-nationale.fr/sycomore/fiche/(num_dept)/3079", "3079.0")</f>
        <v>0</v>
      </c>
      <c r="H2112">
        <f>HYPERLINK("https://www.wikidata.org/wiki/Q16025720", "Q16025720")</f>
        <v>0</v>
      </c>
    </row>
    <row r="2113" spans="1:8">
      <c r="A2113" t="s">
        <v>2119</v>
      </c>
      <c r="B2113" t="s">
        <v>6829</v>
      </c>
      <c r="C2113" t="s">
        <v>5058</v>
      </c>
      <c r="D2113" t="s">
        <v>13363</v>
      </c>
      <c r="E2113" s="2">
        <v>19525</v>
      </c>
      <c r="G2113">
        <f>HYPERLINK("https://www.senat.fr/senateur-3eme-republique/fouilloux_albert0014r3.html", "fouilloux_albert0014r3")</f>
        <v>0</v>
      </c>
      <c r="H2113">
        <f>HYPERLINK("https://www.wikidata.org/wiki/Q2831180", "Q2831180")</f>
        <v>0</v>
      </c>
    </row>
    <row r="2114" spans="1:8">
      <c r="A2114" t="s">
        <v>2120</v>
      </c>
      <c r="B2114" t="s">
        <v>6830</v>
      </c>
      <c r="C2114" t="s">
        <v>10026</v>
      </c>
      <c r="D2114" t="s">
        <v>13364</v>
      </c>
      <c r="E2114" s="2">
        <v>9543</v>
      </c>
      <c r="F2114">
        <f>HYPERLINK("https://www2.assemblee-nationale.fr/sycomore/fiche/(num_dept)/3081", "3081.0")</f>
        <v>0</v>
      </c>
      <c r="H2114">
        <f>HYPERLINK("https://www.wikidata.org/wiki/Q2411428", "Q2411428")</f>
        <v>0</v>
      </c>
    </row>
    <row r="2115" spans="1:8">
      <c r="A2115" t="s">
        <v>2121</v>
      </c>
      <c r="B2115" t="s">
        <v>6830</v>
      </c>
      <c r="C2115" t="s">
        <v>10026</v>
      </c>
      <c r="D2115" t="s">
        <v>13365</v>
      </c>
      <c r="E2115" s="2">
        <v>25480</v>
      </c>
      <c r="F2115">
        <f>HYPERLINK("https://www2.assemblee-nationale.fr/sycomore/fiche/(num_dept)/3080", "3080.0")</f>
        <v>0</v>
      </c>
      <c r="H2115">
        <f>HYPERLINK("https://www.wikidata.org/wiki/Q2861749", "Q2861749")</f>
        <v>0</v>
      </c>
    </row>
    <row r="2116" spans="1:8">
      <c r="A2116" t="s">
        <v>2122</v>
      </c>
      <c r="B2116" t="s">
        <v>6831</v>
      </c>
      <c r="C2116" t="s">
        <v>9337</v>
      </c>
      <c r="D2116" t="s">
        <v>13366</v>
      </c>
      <c r="E2116" s="2">
        <v>11452</v>
      </c>
      <c r="G2116">
        <f>HYPERLINK("https://www.senat.fr/senateur-3eme-republique/foulhy_auguste0522r3.html", "foulhy_auguste0522r3")</f>
        <v>0</v>
      </c>
      <c r="H2116">
        <f>HYPERLINK("https://www.wikidata.org/wiki/Q2871193", "Q2871193")</f>
        <v>0</v>
      </c>
    </row>
    <row r="2117" spans="1:8">
      <c r="A2117" t="s">
        <v>2123</v>
      </c>
      <c r="B2117" t="s">
        <v>6832</v>
      </c>
      <c r="C2117" t="s">
        <v>7942</v>
      </c>
      <c r="D2117" t="s">
        <v>13367</v>
      </c>
      <c r="E2117" s="2">
        <v>24890</v>
      </c>
      <c r="F2117">
        <f>HYPERLINK("https://www2.assemblee-nationale.fr/sycomore/fiche/(num_dept)/3082", "3082.0")</f>
        <v>0</v>
      </c>
      <c r="H2117">
        <f>HYPERLINK("https://www.wikidata.org/wiki/Q3300788", "Q3300788")</f>
        <v>0</v>
      </c>
    </row>
    <row r="2118" spans="1:8">
      <c r="A2118" t="s">
        <v>2124</v>
      </c>
      <c r="B2118" t="s">
        <v>6833</v>
      </c>
      <c r="C2118" t="s">
        <v>10388</v>
      </c>
      <c r="D2118" t="s">
        <v>13368</v>
      </c>
      <c r="E2118" s="2">
        <v>1506</v>
      </c>
      <c r="F2118">
        <f>HYPERLINK("https://www2.assemblee-nationale.fr/sycomore/fiche/(num_dept)/3085", "3085.0")</f>
        <v>0</v>
      </c>
      <c r="H2118">
        <f>HYPERLINK("https://www.wikidata.org/wiki/Q16025721", "Q16025721")</f>
        <v>0</v>
      </c>
    </row>
    <row r="2119" spans="1:8">
      <c r="A2119" t="s">
        <v>2125</v>
      </c>
      <c r="B2119" t="s">
        <v>6833</v>
      </c>
      <c r="C2119" t="s">
        <v>10389</v>
      </c>
      <c r="D2119" t="s">
        <v>13369</v>
      </c>
      <c r="E2119" s="2">
        <v>4721</v>
      </c>
      <c r="F2119">
        <f>HYPERLINK("https://www2.assemblee-nationale.fr/sycomore/fiche/(num_dept)/3084", "3084.0")</f>
        <v>0</v>
      </c>
      <c r="H2119">
        <f>HYPERLINK("https://www.wikidata.org/wiki/Q3261915", "Q3261915")</f>
        <v>0</v>
      </c>
    </row>
    <row r="2120" spans="1:8">
      <c r="A2120" t="s">
        <v>2126</v>
      </c>
      <c r="B2120" t="s">
        <v>6834</v>
      </c>
      <c r="C2120" t="s">
        <v>9324</v>
      </c>
      <c r="D2120" t="s">
        <v>13370</v>
      </c>
      <c r="E2120" s="2">
        <v>725</v>
      </c>
      <c r="F2120">
        <f>HYPERLINK("https://www2.assemblee-nationale.fr/sycomore/fiche/(num_dept)/3086", "3086.0")</f>
        <v>0</v>
      </c>
      <c r="H2120">
        <f>HYPERLINK("https://www.wikidata.org/wiki/Q3132781", "Q3132781")</f>
        <v>0</v>
      </c>
    </row>
    <row r="2121" spans="1:8">
      <c r="A2121" t="s">
        <v>2127</v>
      </c>
      <c r="B2121" t="s">
        <v>6835</v>
      </c>
      <c r="C2121" t="s">
        <v>10390</v>
      </c>
      <c r="D2121" t="s">
        <v>13371</v>
      </c>
      <c r="E2121" s="2">
        <v>16066</v>
      </c>
      <c r="G2121">
        <f>HYPERLINK("https://www.senat.fr/senateur-3eme-republique/fourcade_manuel1086r3.html", "fourcade_manuel1086r3")</f>
        <v>0</v>
      </c>
      <c r="H2121">
        <f>HYPERLINK("https://www.wikidata.org/wiki/Q3286809", "Q3286809")</f>
        <v>0</v>
      </c>
    </row>
    <row r="2122" spans="1:8">
      <c r="A2122" t="s">
        <v>2128</v>
      </c>
      <c r="B2122" t="s">
        <v>6836</v>
      </c>
      <c r="C2122" t="s">
        <v>10391</v>
      </c>
      <c r="D2122" t="s">
        <v>13372</v>
      </c>
      <c r="E2122" t="s">
        <v>16103</v>
      </c>
      <c r="F2122">
        <f>HYPERLINK("https://www2.assemblee-nationale.fr/sycomore/fiche/(num_dept)/8140", "8140.0")</f>
        <v>0</v>
      </c>
      <c r="H2122">
        <f>HYPERLINK("https://www.wikidata.org/wiki/Q16025723", "Q16025723")</f>
        <v>0</v>
      </c>
    </row>
    <row r="2123" spans="1:8">
      <c r="A2123" t="s">
        <v>2129</v>
      </c>
      <c r="B2123" t="s">
        <v>6837</v>
      </c>
      <c r="C2123" t="s">
        <v>7899</v>
      </c>
      <c r="D2123" t="s">
        <v>13373</v>
      </c>
      <c r="E2123" t="s">
        <v>16104</v>
      </c>
      <c r="G2123">
        <f>HYPERLINK("https://www.senat.fr/senateur-3eme-republique/fourichon_martin1474r3.html", "fourichon_martin1474r3")</f>
        <v>0</v>
      </c>
      <c r="H2123">
        <f>HYPERLINK("https://www.wikidata.org/wiki/Q460617", "Q460617")</f>
        <v>0</v>
      </c>
    </row>
    <row r="2124" spans="1:8">
      <c r="A2124" t="s">
        <v>2130</v>
      </c>
      <c r="B2124" t="s">
        <v>6838</v>
      </c>
      <c r="C2124" t="s">
        <v>9503</v>
      </c>
      <c r="D2124" t="s">
        <v>11575</v>
      </c>
      <c r="E2124" s="2">
        <v>14936</v>
      </c>
      <c r="F2124">
        <f>HYPERLINK("https://www2.assemblee-nationale.fr/sycomore/fiche/(num_dept)/3093", "3093.0")</f>
        <v>0</v>
      </c>
      <c r="G2124">
        <f>HYPERLINK("https://www.senat.fr/senateur-3eme-republique/fourment_gustave1742r3.html", "fourment_gustave1742r3")</f>
        <v>0</v>
      </c>
      <c r="H2124">
        <f>HYPERLINK("https://www.wikidata.org/wiki/Q3121186", "Q3121186")</f>
        <v>0</v>
      </c>
    </row>
    <row r="2125" spans="1:8">
      <c r="A2125" t="s">
        <v>2131</v>
      </c>
      <c r="B2125" t="s">
        <v>6839</v>
      </c>
      <c r="C2125" t="s">
        <v>8691</v>
      </c>
      <c r="D2125" t="s">
        <v>13374</v>
      </c>
      <c r="E2125" s="2">
        <v>13714</v>
      </c>
      <c r="F2125">
        <f>HYPERLINK("https://www2.assemblee-nationale.fr/sycomore/fiche/(num_dept)/3098", "3098.0")</f>
        <v>0</v>
      </c>
      <c r="H2125">
        <f>HYPERLINK("https://www.wikidata.org/wiki/Q37391", "Q37391")</f>
        <v>0</v>
      </c>
    </row>
    <row r="2126" spans="1:8">
      <c r="A2126" t="s">
        <v>2132</v>
      </c>
      <c r="B2126" t="s">
        <v>6840</v>
      </c>
      <c r="C2126" t="s">
        <v>10392</v>
      </c>
      <c r="D2126" t="s">
        <v>13375</v>
      </c>
      <c r="G2126">
        <f>HYPERLINK("https://www.senat.fr/senateur-3eme-republique/fournier_hughes0303r3.html", "fournier_hughes0303r3")</f>
        <v>0</v>
      </c>
      <c r="H2126">
        <f>HYPERLINK("https://www.wikidata.org/wiki/Q3142344", "Q3142344")</f>
        <v>0</v>
      </c>
    </row>
    <row r="2127" spans="1:8">
      <c r="A2127" t="s">
        <v>2133</v>
      </c>
      <c r="B2127" t="s">
        <v>6840</v>
      </c>
      <c r="C2127" t="s">
        <v>10196</v>
      </c>
      <c r="D2127" t="s">
        <v>13376</v>
      </c>
      <c r="E2127" t="s">
        <v>16105</v>
      </c>
      <c r="G2127">
        <f>HYPERLINK("https://www.senat.fr/senateur-3eme-republique/fournier_casimir1402r3.html", "fournier_casimir1402r3")</f>
        <v>0</v>
      </c>
      <c r="H2127">
        <f>HYPERLINK("https://www.wikidata.org/wiki/Q2941042", "Q2941042")</f>
        <v>0</v>
      </c>
    </row>
    <row r="2128" spans="1:8">
      <c r="A2128" t="s">
        <v>2134</v>
      </c>
      <c r="B2128" t="s">
        <v>6840</v>
      </c>
      <c r="C2128" t="s">
        <v>9324</v>
      </c>
      <c r="D2128" t="s">
        <v>13377</v>
      </c>
      <c r="G2128">
        <f>HYPERLINK("https://www.senat.fr/senateur-3eme-republique/fournier_henri0424r3.html", "fournier_henri0424r3")</f>
        <v>0</v>
      </c>
      <c r="H2128">
        <f>HYPERLINK("https://www.wikidata.org/wiki/Q3131108", "Q3131108")</f>
        <v>0</v>
      </c>
    </row>
    <row r="2129" spans="1:8">
      <c r="A2129" t="s">
        <v>2135</v>
      </c>
      <c r="B2129" t="s">
        <v>6841</v>
      </c>
      <c r="C2129" t="s">
        <v>6864</v>
      </c>
      <c r="D2129" t="s">
        <v>13378</v>
      </c>
      <c r="E2129" s="2">
        <v>15123</v>
      </c>
      <c r="F2129">
        <f>HYPERLINK("https://www2.assemblee-nationale.fr/sycomore/fiche/(num_dept)/3097", "3097.0")</f>
        <v>0</v>
      </c>
      <c r="H2129">
        <f>HYPERLINK("https://www.wikidata.org/wiki/Q868324", "Q868324")</f>
        <v>0</v>
      </c>
    </row>
    <row r="2130" spans="1:8">
      <c r="A2130" t="s">
        <v>2136</v>
      </c>
      <c r="B2130" t="s">
        <v>6841</v>
      </c>
      <c r="C2130" t="s">
        <v>5058</v>
      </c>
      <c r="D2130" t="s">
        <v>12107</v>
      </c>
      <c r="E2130" s="2">
        <v>26121</v>
      </c>
      <c r="F2130">
        <f>HYPERLINK("https://www2.assemblee-nationale.fr/sycomore/fiche/(num_dept)/3096", "3096.0")</f>
        <v>0</v>
      </c>
      <c r="H2130">
        <f>HYPERLINK("https://www.wikidata.org/wiki/Q2831185", "Q2831185")</f>
        <v>0</v>
      </c>
    </row>
    <row r="2131" spans="1:8">
      <c r="A2131" t="s">
        <v>2137</v>
      </c>
      <c r="B2131" t="s">
        <v>6842</v>
      </c>
      <c r="C2131" t="s">
        <v>9368</v>
      </c>
      <c r="D2131" t="s">
        <v>13379</v>
      </c>
      <c r="E2131" s="2">
        <v>5120</v>
      </c>
      <c r="F2131">
        <f>HYPERLINK("https://www2.assemblee-nationale.fr/sycomore/fiche/(num_dept)/3099", "3099.0")</f>
        <v>0</v>
      </c>
      <c r="H2131">
        <f>HYPERLINK("https://www.wikidata.org/wiki/Q3059874", "Q3059874")</f>
        <v>0</v>
      </c>
    </row>
    <row r="2132" spans="1:8">
      <c r="A2132" t="s">
        <v>2138</v>
      </c>
      <c r="B2132" t="s">
        <v>6843</v>
      </c>
      <c r="C2132" t="s">
        <v>9430</v>
      </c>
      <c r="D2132" t="s">
        <v>13380</v>
      </c>
      <c r="E2132" s="2">
        <v>1051</v>
      </c>
      <c r="F2132">
        <f>HYPERLINK("https://www2.assemblee-nationale.fr/sycomore/fiche/(num_dept)/3101", "3101.0")</f>
        <v>0</v>
      </c>
      <c r="H2132">
        <f>HYPERLINK("https://www.wikidata.org/wiki/Q16025726", "Q16025726")</f>
        <v>0</v>
      </c>
    </row>
    <row r="2133" spans="1:8">
      <c r="A2133" t="s">
        <v>2139</v>
      </c>
      <c r="B2133" t="s">
        <v>6843</v>
      </c>
      <c r="C2133" t="s">
        <v>6686</v>
      </c>
      <c r="D2133" t="s">
        <v>13012</v>
      </c>
      <c r="E2133" s="2">
        <v>14727</v>
      </c>
      <c r="F2133">
        <f>HYPERLINK("https://www2.assemblee-nationale.fr/sycomore/fiche/(num_dept)/3100", "3100.0")</f>
        <v>0</v>
      </c>
      <c r="H2133">
        <f>HYPERLINK("https://www.wikidata.org/wiki/Q16025725", "Q16025725")</f>
        <v>0</v>
      </c>
    </row>
    <row r="2134" spans="1:8">
      <c r="A2134" t="s">
        <v>2140</v>
      </c>
      <c r="B2134" t="s">
        <v>6844</v>
      </c>
      <c r="C2134" t="s">
        <v>10393</v>
      </c>
      <c r="D2134" t="s">
        <v>13381</v>
      </c>
      <c r="E2134" t="s">
        <v>12170</v>
      </c>
      <c r="F2134">
        <f>HYPERLINK("https://www2.assemblee-nationale.fr/sycomore/fiche/(num_dept)/8108", "8108.0")</f>
        <v>0</v>
      </c>
      <c r="H2134">
        <f>HYPERLINK("https://www.wikidata.org/wiki/Q16025727", "Q16025727")</f>
        <v>0</v>
      </c>
    </row>
    <row r="2135" spans="1:8">
      <c r="A2135" t="s">
        <v>2141</v>
      </c>
      <c r="B2135" t="s">
        <v>6845</v>
      </c>
      <c r="C2135" t="s">
        <v>10394</v>
      </c>
      <c r="D2135" t="s">
        <v>12712</v>
      </c>
      <c r="E2135" t="s">
        <v>15991</v>
      </c>
      <c r="F2135">
        <f>HYPERLINK("https://www2.assemblee-nationale.fr/sycomore/fiche/(num_dept)/3104", "3104.0")</f>
        <v>0</v>
      </c>
      <c r="H2135">
        <f>HYPERLINK("https://www.wikidata.org/wiki/Q330554", "Q330554")</f>
        <v>0</v>
      </c>
    </row>
    <row r="2136" spans="1:8">
      <c r="A2136" t="s">
        <v>2142</v>
      </c>
      <c r="B2136" t="s">
        <v>6846</v>
      </c>
      <c r="C2136" t="s">
        <v>7754</v>
      </c>
      <c r="D2136" t="s">
        <v>13382</v>
      </c>
      <c r="E2136" s="2">
        <v>14812</v>
      </c>
      <c r="F2136">
        <f>HYPERLINK("https://www2.assemblee-nationale.fr/sycomore/fiche/(num_dept)/3090", "3090.0")</f>
        <v>0</v>
      </c>
      <c r="H2136">
        <f>HYPERLINK("https://www.wikidata.org/wiki/Q13080932", "Q13080932")</f>
        <v>0</v>
      </c>
    </row>
    <row r="2137" spans="1:8">
      <c r="A2137" t="s">
        <v>2143</v>
      </c>
      <c r="B2137" t="s">
        <v>6847</v>
      </c>
      <c r="C2137" t="s">
        <v>10395</v>
      </c>
      <c r="D2137" t="s">
        <v>13383</v>
      </c>
      <c r="E2137" s="2">
        <v>213</v>
      </c>
      <c r="F2137">
        <f>HYPERLINK("https://www2.assemblee-nationale.fr/sycomore/fiche/(num_dept)/7948", "7948.0")</f>
        <v>0</v>
      </c>
      <c r="G2137">
        <f>HYPERLINK("https://www.senat.fr/senateur-3eme-republique/fousset_ernest0498r3.html", "fousset_ernest0498r3")</f>
        <v>0</v>
      </c>
      <c r="H2137">
        <f>HYPERLINK("https://www.wikidata.org/wiki/Q3056963", "Q3056963")</f>
        <v>0</v>
      </c>
    </row>
    <row r="2138" spans="1:8">
      <c r="A2138" t="s">
        <v>2144</v>
      </c>
      <c r="B2138" t="s">
        <v>6848</v>
      </c>
      <c r="C2138" t="s">
        <v>10396</v>
      </c>
      <c r="D2138" t="s">
        <v>13384</v>
      </c>
      <c r="E2138" s="2">
        <v>15524</v>
      </c>
      <c r="F2138">
        <f>HYPERLINK("https://www2.assemblee-nationale.fr/sycomore/fiche/(num_dept)/3109", "3109.0")</f>
        <v>0</v>
      </c>
      <c r="H2138">
        <f>HYPERLINK("https://www.wikidata.org/wiki/Q3526340", "Q3526340")</f>
        <v>0</v>
      </c>
    </row>
    <row r="2139" spans="1:8">
      <c r="A2139" t="s">
        <v>2145</v>
      </c>
      <c r="B2139" t="s">
        <v>6849</v>
      </c>
      <c r="C2139" t="s">
        <v>10397</v>
      </c>
      <c r="D2139" t="s">
        <v>13385</v>
      </c>
      <c r="E2139" s="2">
        <v>19272</v>
      </c>
      <c r="F2139">
        <f>HYPERLINK("https://www2.assemblee-nationale.fr/sycomore/fiche/(num_dept)/7576", "7576.0")</f>
        <v>0</v>
      </c>
      <c r="H2139">
        <f>HYPERLINK("https://www.wikidata.org/wiki/Q13080940", "Q13080940")</f>
        <v>0</v>
      </c>
    </row>
    <row r="2140" spans="1:8">
      <c r="A2140" t="s">
        <v>2146</v>
      </c>
      <c r="B2140" t="s">
        <v>6850</v>
      </c>
      <c r="C2140" t="s">
        <v>8384</v>
      </c>
      <c r="D2140" t="s">
        <v>13386</v>
      </c>
      <c r="E2140" s="2">
        <v>7519</v>
      </c>
      <c r="G2140">
        <f>HYPERLINK("https://www.senat.fr/senateur-3eme-republique/frain_de_la_villegontier_pierre0553r3.html", "frain_de_la_villegontier_pierre0553r3")</f>
        <v>0</v>
      </c>
      <c r="H2140">
        <f>HYPERLINK("https://www.wikidata.org/wiki/Q3383345", "Q3383345")</f>
        <v>0</v>
      </c>
    </row>
    <row r="2141" spans="1:8">
      <c r="A2141" t="s">
        <v>2147</v>
      </c>
      <c r="B2141" t="s">
        <v>6851</v>
      </c>
      <c r="C2141" t="s">
        <v>9471</v>
      </c>
      <c r="D2141" t="s">
        <v>13387</v>
      </c>
      <c r="E2141" s="2">
        <v>19299</v>
      </c>
      <c r="F2141">
        <f>HYPERLINK("https://www2.assemblee-nationale.fr/sycomore/fiche/(num_dept)/3112", "3112.0")</f>
        <v>0</v>
      </c>
      <c r="H2141">
        <f>HYPERLINK("https://www.wikidata.org/wiki/Q3188586", "Q3188586")</f>
        <v>0</v>
      </c>
    </row>
    <row r="2142" spans="1:8">
      <c r="A2142" t="s">
        <v>2148</v>
      </c>
      <c r="B2142" t="s">
        <v>6852</v>
      </c>
      <c r="C2142" t="s">
        <v>10398</v>
      </c>
      <c r="D2142" t="s">
        <v>13388</v>
      </c>
      <c r="E2142" s="2">
        <v>27357</v>
      </c>
      <c r="F2142">
        <f>HYPERLINK("https://www2.assemblee-nationale.fr/sycomore/fiche/(num_dept)/3115", "3115.0")</f>
        <v>0</v>
      </c>
      <c r="H2142">
        <f>HYPERLINK("https://www.wikidata.org/wiki/Q3057229", "Q3057229")</f>
        <v>0</v>
      </c>
    </row>
    <row r="2143" spans="1:8">
      <c r="A2143" t="s">
        <v>2149</v>
      </c>
      <c r="B2143" t="s">
        <v>6853</v>
      </c>
      <c r="C2143" t="s">
        <v>10399</v>
      </c>
      <c r="D2143" t="s">
        <v>13389</v>
      </c>
      <c r="E2143" t="s">
        <v>16106</v>
      </c>
      <c r="F2143">
        <f>HYPERLINK("https://www2.assemblee-nationale.fr/sycomore/fiche/(num_dept)/3116", "3116.0")</f>
        <v>0</v>
      </c>
      <c r="H2143">
        <f>HYPERLINK("https://www.wikidata.org/wiki/Q8313088", "Q8313088")</f>
        <v>0</v>
      </c>
    </row>
    <row r="2144" spans="1:8">
      <c r="A2144" t="s">
        <v>2150</v>
      </c>
      <c r="B2144" t="s">
        <v>6854</v>
      </c>
      <c r="C2144" t="s">
        <v>9450</v>
      </c>
      <c r="D2144" t="s">
        <v>13390</v>
      </c>
      <c r="E2144" s="2">
        <v>18962</v>
      </c>
      <c r="F2144">
        <f>HYPERLINK("https://www2.assemblee-nationale.fr/sycomore/fiche/(num_dept)/3118", "3118.0")</f>
        <v>0</v>
      </c>
      <c r="H2144">
        <f>HYPERLINK("https://www.wikidata.org/wiki/Q16025729", "Q16025729")</f>
        <v>0</v>
      </c>
    </row>
    <row r="2145" spans="1:8">
      <c r="A2145" t="s">
        <v>2151</v>
      </c>
      <c r="B2145" t="s">
        <v>6854</v>
      </c>
      <c r="C2145" t="s">
        <v>10400</v>
      </c>
      <c r="D2145" s="2">
        <v>2568</v>
      </c>
      <c r="E2145" s="2">
        <v>30242</v>
      </c>
      <c r="F2145">
        <f>HYPERLINK("https://www2.assemblee-nationale.fr/sycomore/fiche/(num_dept)/5176", "5176.0")</f>
        <v>0</v>
      </c>
      <c r="H2145">
        <f>HYPERLINK("https://www.wikidata.org/wiki/Q314265", "Q314265")</f>
        <v>0</v>
      </c>
    </row>
    <row r="2146" spans="1:8">
      <c r="A2146" t="s">
        <v>2152</v>
      </c>
      <c r="B2146" t="s">
        <v>6855</v>
      </c>
      <c r="C2146" t="s">
        <v>9634</v>
      </c>
      <c r="D2146" t="s">
        <v>13391</v>
      </c>
      <c r="G2146">
        <f>HYPERLINK("https://www.senat.fr/senateur-3eme-republique/francois_marsal_frederic0362r3.html", "francois_marsal_frederic0362r3")</f>
        <v>0</v>
      </c>
      <c r="H2146">
        <f>HYPERLINK("https://www.wikidata.org/wiki/Q459212", "Q459212")</f>
        <v>0</v>
      </c>
    </row>
    <row r="2147" spans="1:8">
      <c r="A2147" t="s">
        <v>2153</v>
      </c>
      <c r="B2147" t="s">
        <v>6856</v>
      </c>
      <c r="C2147" t="s">
        <v>9355</v>
      </c>
      <c r="D2147" t="s">
        <v>13392</v>
      </c>
      <c r="E2147" s="2">
        <v>17966</v>
      </c>
      <c r="G2147">
        <f>HYPERLINK("https://www.senat.fr/senateur-3eme-republique/francois_saint_maur_charles1294r3.html", "francois_saint_maur_charles1294r3")</f>
        <v>0</v>
      </c>
      <c r="H2147">
        <f>HYPERLINK("https://www.wikidata.org/wiki/Q2959090", "Q2959090")</f>
        <v>0</v>
      </c>
    </row>
    <row r="2148" spans="1:8">
      <c r="A2148" t="s">
        <v>2154</v>
      </c>
      <c r="B2148" t="s">
        <v>6857</v>
      </c>
      <c r="C2148" t="s">
        <v>9503</v>
      </c>
      <c r="D2148" t="s">
        <v>13393</v>
      </c>
      <c r="E2148" s="2">
        <v>3676</v>
      </c>
      <c r="F2148">
        <f>HYPERLINK("https://www2.assemblee-nationale.fr/sycomore/fiche/(num_dept)/3132", "3132.0")</f>
        <v>0</v>
      </c>
      <c r="H2148">
        <f>HYPERLINK("https://www.wikidata.org/wiki/Q28123320", "Q28123320")</f>
        <v>0</v>
      </c>
    </row>
    <row r="2149" spans="1:8">
      <c r="A2149" t="s">
        <v>2155</v>
      </c>
      <c r="B2149" t="s">
        <v>6858</v>
      </c>
      <c r="C2149" t="s">
        <v>6888</v>
      </c>
      <c r="D2149" t="s">
        <v>13394</v>
      </c>
      <c r="E2149" s="2">
        <v>7697</v>
      </c>
      <c r="G2149">
        <f>HYPERLINK("https://www.senat.fr/senateur-3eme-republique/francoz_felix1307r3.html", "francoz_felix1307r3")</f>
        <v>0</v>
      </c>
      <c r="H2149">
        <f>HYPERLINK("https://www.wikidata.org/wiki/Q3092438", "Q3092438")</f>
        <v>0</v>
      </c>
    </row>
    <row r="2150" spans="1:8">
      <c r="A2150" t="s">
        <v>2156</v>
      </c>
      <c r="B2150" t="s">
        <v>6859</v>
      </c>
      <c r="C2150" t="s">
        <v>9324</v>
      </c>
      <c r="D2150" t="s">
        <v>13395</v>
      </c>
      <c r="E2150" s="2">
        <v>13770</v>
      </c>
      <c r="F2150">
        <f>HYPERLINK("https://www2.assemblee-nationale.fr/sycomore/fiche/(num_dept)/3134", "3134.0")</f>
        <v>0</v>
      </c>
      <c r="H2150">
        <f>HYPERLINK("https://www.wikidata.org/wiki/Q3132784", "Q3132784")</f>
        <v>0</v>
      </c>
    </row>
    <row r="2151" spans="1:8">
      <c r="A2151" t="s">
        <v>2157</v>
      </c>
      <c r="B2151" t="s">
        <v>6860</v>
      </c>
      <c r="C2151" t="s">
        <v>9471</v>
      </c>
      <c r="D2151" t="s">
        <v>13396</v>
      </c>
      <c r="E2151" s="2">
        <v>5170</v>
      </c>
      <c r="H2151">
        <f>HYPERLINK("https://www.wikidata.org/wiki/Q2385765", "Q2385765")</f>
        <v>0</v>
      </c>
    </row>
    <row r="2152" spans="1:8">
      <c r="A2152" t="s">
        <v>2158</v>
      </c>
      <c r="B2152" t="s">
        <v>6861</v>
      </c>
      <c r="C2152" t="s">
        <v>10401</v>
      </c>
      <c r="D2152" t="s">
        <v>11419</v>
      </c>
      <c r="E2152" s="2">
        <v>12381</v>
      </c>
      <c r="F2152">
        <f>HYPERLINK("https://www2.assemblee-nationale.fr/sycomore/fiche/(num_dept)/69", "69.0")</f>
        <v>0</v>
      </c>
      <c r="H2152">
        <f>HYPERLINK("https://www.wikidata.org/wiki/Q3083780", "Q3083780")</f>
        <v>0</v>
      </c>
    </row>
    <row r="2153" spans="1:8">
      <c r="A2153" t="s">
        <v>2159</v>
      </c>
      <c r="B2153" t="s">
        <v>6862</v>
      </c>
      <c r="C2153" t="s">
        <v>9634</v>
      </c>
      <c r="D2153" t="s">
        <v>13391</v>
      </c>
      <c r="E2153" s="2">
        <v>21325</v>
      </c>
      <c r="H2153">
        <f>HYPERLINK("https://www.wikidata.org/wiki/Q459212", "Q459212")</f>
        <v>0</v>
      </c>
    </row>
    <row r="2154" spans="1:8">
      <c r="A2154" t="s">
        <v>2160</v>
      </c>
      <c r="B2154" t="s">
        <v>6863</v>
      </c>
      <c r="C2154" t="s">
        <v>5096</v>
      </c>
      <c r="D2154" t="s">
        <v>13397</v>
      </c>
      <c r="E2154" s="2">
        <v>28498</v>
      </c>
      <c r="F2154">
        <f>HYPERLINK("https://www2.assemblee-nationale.fr/sycomore/fiche/(num_dept)/3130", "3130.0")</f>
        <v>0</v>
      </c>
      <c r="H2154">
        <f>HYPERLINK("https://www.wikidata.org/wiki/Q518576", "Q518576")</f>
        <v>0</v>
      </c>
    </row>
    <row r="2155" spans="1:8">
      <c r="A2155" t="s">
        <v>2161</v>
      </c>
      <c r="B2155" t="s">
        <v>6864</v>
      </c>
      <c r="C2155" t="s">
        <v>9564</v>
      </c>
      <c r="D2155" t="s">
        <v>13398</v>
      </c>
      <c r="E2155" t="s">
        <v>16107</v>
      </c>
      <c r="F2155">
        <f>HYPERLINK("https://www2.assemblee-nationale.fr/sycomore/fiche/(num_dept)/3125", "3125.0")</f>
        <v>0</v>
      </c>
      <c r="H2155">
        <f>HYPERLINK("https://www.wikidata.org/wiki/Q16025730", "Q16025730")</f>
        <v>0</v>
      </c>
    </row>
    <row r="2156" spans="1:8">
      <c r="A2156" t="s">
        <v>2162</v>
      </c>
      <c r="B2156" t="s">
        <v>6864</v>
      </c>
      <c r="C2156" t="s">
        <v>9368</v>
      </c>
      <c r="D2156" t="s">
        <v>13399</v>
      </c>
      <c r="E2156" s="2">
        <v>2261</v>
      </c>
      <c r="F2156">
        <f>HYPERLINK("https://www2.assemblee-nationale.fr/sycomore/fiche/(num_dept)/3127", "3127.0")</f>
        <v>0</v>
      </c>
      <c r="H2156">
        <f>HYPERLINK("https://www.wikidata.org/wiki/Q16025732", "Q16025732")</f>
        <v>0</v>
      </c>
    </row>
    <row r="2157" spans="1:8">
      <c r="A2157" t="s">
        <v>2163</v>
      </c>
      <c r="B2157" t="s">
        <v>6864</v>
      </c>
      <c r="C2157" t="s">
        <v>9355</v>
      </c>
      <c r="D2157" t="s">
        <v>13400</v>
      </c>
      <c r="E2157" s="2">
        <v>16739</v>
      </c>
      <c r="F2157">
        <f>HYPERLINK("https://www2.assemblee-nationale.fr/sycomore/fiche/(num_dept)/3126", "3126.0")</f>
        <v>0</v>
      </c>
      <c r="H2157">
        <f>HYPERLINK("https://www.wikidata.org/wiki/Q16025731", "Q16025731")</f>
        <v>0</v>
      </c>
    </row>
    <row r="2158" spans="1:8">
      <c r="A2158" t="s">
        <v>2164</v>
      </c>
      <c r="B2158" t="s">
        <v>6865</v>
      </c>
      <c r="C2158" t="s">
        <v>10244</v>
      </c>
      <c r="D2158" t="s">
        <v>13401</v>
      </c>
      <c r="E2158" s="2">
        <v>18136</v>
      </c>
      <c r="F2158">
        <f>HYPERLINK("https://www2.assemblee-nationale.fr/sycomore/fiche/(num_dept)/3140", "3140.0")</f>
        <v>0</v>
      </c>
      <c r="H2158">
        <f>HYPERLINK("https://www.wikidata.org/wiki/Q3288046", "Q3288046")</f>
        <v>0</v>
      </c>
    </row>
    <row r="2159" spans="1:8">
      <c r="A2159" t="s">
        <v>2165</v>
      </c>
      <c r="B2159" t="s">
        <v>6866</v>
      </c>
      <c r="C2159" t="s">
        <v>9355</v>
      </c>
      <c r="D2159" t="s">
        <v>13402</v>
      </c>
      <c r="E2159" t="s">
        <v>16108</v>
      </c>
      <c r="G2159">
        <f>HYPERLINK("https://www.senat.fr/senateur-3eme-republique/frebault_charles1476r3.html", "frebault_charles1476r3")</f>
        <v>0</v>
      </c>
      <c r="H2159">
        <f>HYPERLINK("https://www.wikidata.org/wiki/Q2960389", "Q2960389")</f>
        <v>0</v>
      </c>
    </row>
    <row r="2160" spans="1:8">
      <c r="A2160" t="s">
        <v>2166</v>
      </c>
      <c r="B2160" t="s">
        <v>6867</v>
      </c>
      <c r="C2160" t="s">
        <v>10402</v>
      </c>
      <c r="D2160" t="s">
        <v>13403</v>
      </c>
      <c r="E2160" t="s">
        <v>16109</v>
      </c>
      <c r="F2160">
        <f>HYPERLINK("https://www2.assemblee-nationale.fr/sycomore/fiche/(num_dept)/3148", "3148.0")</f>
        <v>0</v>
      </c>
      <c r="H2160">
        <f>HYPERLINK("https://www.wikidata.org/wiki/Q1063452", "Q1063452")</f>
        <v>0</v>
      </c>
    </row>
    <row r="2161" spans="1:8">
      <c r="A2161" t="s">
        <v>2167</v>
      </c>
      <c r="B2161" t="s">
        <v>6868</v>
      </c>
      <c r="C2161" t="s">
        <v>9355</v>
      </c>
      <c r="D2161" t="s">
        <v>13404</v>
      </c>
      <c r="E2161" t="s">
        <v>16110</v>
      </c>
      <c r="G2161">
        <f>HYPERLINK("https://www.senat.fr/senateur-3eme-republique/frery_charles1816r3.html", "frery_charles1816r3")</f>
        <v>0</v>
      </c>
      <c r="H2161">
        <f>HYPERLINK("https://www.wikidata.org/wiki/Q2959142", "Q2959142")</f>
        <v>0</v>
      </c>
    </row>
    <row r="2162" spans="1:8">
      <c r="A2162" t="s">
        <v>2168</v>
      </c>
      <c r="B2162" t="s">
        <v>6869</v>
      </c>
      <c r="C2162" t="s">
        <v>10403</v>
      </c>
      <c r="D2162" t="s">
        <v>13405</v>
      </c>
      <c r="E2162" s="2">
        <v>4067</v>
      </c>
      <c r="F2162">
        <f>HYPERLINK("https://www2.assemblee-nationale.fr/sycomore/fiche/(num_dept)/3149", "3149.0")</f>
        <v>0</v>
      </c>
      <c r="H2162">
        <f>HYPERLINK("https://www.wikidata.org/wiki/Q3184637", "Q3184637")</f>
        <v>0</v>
      </c>
    </row>
    <row r="2163" spans="1:8">
      <c r="A2163" t="s">
        <v>2169</v>
      </c>
      <c r="B2163" t="s">
        <v>6870</v>
      </c>
      <c r="C2163" t="s">
        <v>5117</v>
      </c>
      <c r="D2163" t="s">
        <v>13406</v>
      </c>
      <c r="G2163">
        <f>HYPERLINK("https://www.senat.fr/senateur-3eme-republique/fresneau_armand0905r3.html", "fresneau_armand0905r3")</f>
        <v>0</v>
      </c>
      <c r="H2163">
        <f>HYPERLINK("https://www.wikidata.org/wiki/Q2861845", "Q2861845")</f>
        <v>0</v>
      </c>
    </row>
    <row r="2164" spans="1:8">
      <c r="A2164" t="s">
        <v>2170</v>
      </c>
      <c r="B2164" t="s">
        <v>6871</v>
      </c>
      <c r="C2164" t="s">
        <v>9355</v>
      </c>
      <c r="D2164" t="s">
        <v>13407</v>
      </c>
      <c r="E2164" s="2">
        <v>20376</v>
      </c>
      <c r="F2164">
        <f>HYPERLINK("https://www2.assemblee-nationale.fr/sycomore/fiche/(num_dept)/3153", "3153.0")</f>
        <v>0</v>
      </c>
      <c r="H2164">
        <f>HYPERLINK("https://www.wikidata.org/wiki/Q2959129", "Q2959129")</f>
        <v>0</v>
      </c>
    </row>
    <row r="2165" spans="1:8">
      <c r="A2165" t="s">
        <v>2171</v>
      </c>
      <c r="B2165" t="s">
        <v>6872</v>
      </c>
      <c r="C2165" t="s">
        <v>9430</v>
      </c>
      <c r="D2165" t="s">
        <v>13408</v>
      </c>
      <c r="E2165" s="2">
        <v>6939</v>
      </c>
      <c r="G2165">
        <f>HYPERLINK("https://www.senat.fr/senateur-3eme-republique/frezoul_paul0182r3.html", "frezoul_paul0182r3")</f>
        <v>0</v>
      </c>
      <c r="H2165">
        <f>HYPERLINK("https://www.wikidata.org/wiki/Q3371247", "Q3371247")</f>
        <v>0</v>
      </c>
    </row>
    <row r="2166" spans="1:8">
      <c r="A2166" t="s">
        <v>2172</v>
      </c>
      <c r="B2166" t="s">
        <v>6873</v>
      </c>
      <c r="C2166" t="s">
        <v>10404</v>
      </c>
      <c r="D2166" t="s">
        <v>13409</v>
      </c>
      <c r="E2166" s="2">
        <v>15774</v>
      </c>
      <c r="F2166">
        <f>HYPERLINK("https://www2.assemblee-nationale.fr/sycomore/fiche/(num_dept)/7577", "7577.0")</f>
        <v>0</v>
      </c>
      <c r="H2166">
        <f>HYPERLINK("https://www.wikidata.org/wiki/Q3085113", "Q3085113")</f>
        <v>0</v>
      </c>
    </row>
    <row r="2167" spans="1:8">
      <c r="A2167" t="s">
        <v>2173</v>
      </c>
      <c r="B2167" t="s">
        <v>6874</v>
      </c>
      <c r="C2167" t="s">
        <v>9355</v>
      </c>
      <c r="D2167" t="s">
        <v>13410</v>
      </c>
      <c r="E2167" s="2">
        <v>18038</v>
      </c>
      <c r="F2167">
        <f>HYPERLINK("https://www2.assemblee-nationale.fr/sycomore/fiche/(num_dept)/3156", "3156.0")</f>
        <v>0</v>
      </c>
      <c r="H2167">
        <f>HYPERLINK("https://www.wikidata.org/wiki/Q16025733", "Q16025733")</f>
        <v>0</v>
      </c>
    </row>
    <row r="2168" spans="1:8">
      <c r="A2168" t="s">
        <v>2174</v>
      </c>
      <c r="B2168" t="s">
        <v>6875</v>
      </c>
      <c r="C2168" t="s">
        <v>9511</v>
      </c>
      <c r="D2168" t="s">
        <v>13411</v>
      </c>
      <c r="E2168" s="2">
        <v>15398</v>
      </c>
      <c r="G2168">
        <f>HYPERLINK("https://www.senat.fr/senateur-3eme-republique/froget_jean_marie1146r3.html", "froget_jean_marie1146r3")</f>
        <v>0</v>
      </c>
      <c r="H2168">
        <f>HYPERLINK("https://www.wikidata.org/wiki/Q3172142", "Q3172142")</f>
        <v>0</v>
      </c>
    </row>
    <row r="2169" spans="1:8">
      <c r="A2169" t="s">
        <v>2175</v>
      </c>
      <c r="B2169" t="s">
        <v>6876</v>
      </c>
      <c r="C2169" t="s">
        <v>9430</v>
      </c>
      <c r="D2169" t="s">
        <v>13412</v>
      </c>
      <c r="E2169" s="2">
        <v>5500</v>
      </c>
      <c r="G2169">
        <f>HYPERLINK("https://www.senat.fr/senateur-3eme-republique/frogier_de_ponlevoy_paul1811r3.html", "frogier_de_ponlevoy_paul1811r3")</f>
        <v>0</v>
      </c>
      <c r="H2169">
        <f>HYPERLINK("https://www.wikidata.org/wiki/Q3371249", "Q3371249")</f>
        <v>0</v>
      </c>
    </row>
    <row r="2170" spans="1:8">
      <c r="A2170" t="s">
        <v>2176</v>
      </c>
      <c r="B2170" t="s">
        <v>6877</v>
      </c>
      <c r="C2170" t="s">
        <v>10405</v>
      </c>
      <c r="D2170" t="s">
        <v>13413</v>
      </c>
      <c r="E2170" t="s">
        <v>16077</v>
      </c>
      <c r="F2170">
        <f>HYPERLINK("https://www2.assemblee-nationale.fr/sycomore/fiche/(num_dept)/3160", "3160.0")</f>
        <v>0</v>
      </c>
      <c r="H2170">
        <f>HYPERLINK("https://www.wikidata.org/wiki/Q16025734", "Q16025734")</f>
        <v>0</v>
      </c>
    </row>
    <row r="2171" spans="1:8">
      <c r="A2171" t="s">
        <v>2177</v>
      </c>
      <c r="B2171" t="s">
        <v>6878</v>
      </c>
      <c r="C2171" t="s">
        <v>7754</v>
      </c>
      <c r="D2171" t="s">
        <v>13414</v>
      </c>
      <c r="E2171" s="2">
        <v>3604</v>
      </c>
      <c r="F2171">
        <f>HYPERLINK("https://www2.assemblee-nationale.fr/sycomore/fiche/(num_dept)/3162", "3162.0")</f>
        <v>0</v>
      </c>
      <c r="G2171">
        <f>HYPERLINK("https://www.senat.fr/senateur-3eme-republique/froment_louis1678r3.html", "froment_louis1678r3")</f>
        <v>0</v>
      </c>
      <c r="H2171">
        <f>HYPERLINK("https://www.wikidata.org/wiki/Q3261963", "Q3261963")</f>
        <v>0</v>
      </c>
    </row>
    <row r="2172" spans="1:8">
      <c r="A2172" t="s">
        <v>2178</v>
      </c>
      <c r="B2172" t="s">
        <v>6878</v>
      </c>
      <c r="C2172" t="s">
        <v>9346</v>
      </c>
      <c r="D2172" t="s">
        <v>13415</v>
      </c>
      <c r="E2172" s="2">
        <v>26736</v>
      </c>
      <c r="F2172">
        <f>HYPERLINK("https://www2.assemblee-nationale.fr/sycomore/fiche/(num_dept)/3161", "3161.0")</f>
        <v>0</v>
      </c>
      <c r="H2172">
        <f>HYPERLINK("https://www.wikidata.org/wiki/Q3579856", "Q3579856")</f>
        <v>0</v>
      </c>
    </row>
    <row r="2173" spans="1:8">
      <c r="A2173" t="s">
        <v>2179</v>
      </c>
      <c r="B2173" t="s">
        <v>6879</v>
      </c>
      <c r="C2173" t="s">
        <v>10406</v>
      </c>
      <c r="D2173" t="s">
        <v>13416</v>
      </c>
      <c r="E2173" s="2">
        <v>16844</v>
      </c>
      <c r="F2173">
        <f>HYPERLINK("https://www2.assemblee-nationale.fr/sycomore/fiche/(num_dept)/3166", "3166.0")</f>
        <v>0</v>
      </c>
      <c r="H2173">
        <f>HYPERLINK("https://www.wikidata.org/wiki/Q1109027", "Q1109027")</f>
        <v>0</v>
      </c>
    </row>
    <row r="2174" spans="1:8">
      <c r="A2174" t="s">
        <v>2180</v>
      </c>
      <c r="B2174" t="s">
        <v>6880</v>
      </c>
      <c r="C2174" t="s">
        <v>9368</v>
      </c>
      <c r="D2174" t="s">
        <v>13417</v>
      </c>
      <c r="E2174" s="2">
        <v>30416</v>
      </c>
      <c r="F2174">
        <f>HYPERLINK("https://www2.assemblee-nationale.fr/sycomore/fiche/(num_dept)/3167", "3167.0")</f>
        <v>0</v>
      </c>
      <c r="H2174">
        <f>HYPERLINK("https://www.wikidata.org/wiki/Q3059882", "Q3059882")</f>
        <v>0</v>
      </c>
    </row>
    <row r="2175" spans="1:8">
      <c r="A2175" t="s">
        <v>2181</v>
      </c>
      <c r="B2175" t="s">
        <v>6881</v>
      </c>
      <c r="C2175" t="s">
        <v>10407</v>
      </c>
      <c r="D2175" t="s">
        <v>13418</v>
      </c>
      <c r="E2175" s="2">
        <v>23388</v>
      </c>
      <c r="F2175">
        <f>HYPERLINK("https://www2.assemblee-nationale.fr/sycomore/fiche/(num_dept)/3168", "3168.0")</f>
        <v>0</v>
      </c>
      <c r="H2175">
        <f>HYPERLINK("https://www.wikidata.org/wiki/Q16026572", "Q16026572")</f>
        <v>0</v>
      </c>
    </row>
    <row r="2176" spans="1:8">
      <c r="A2176" t="s">
        <v>2182</v>
      </c>
      <c r="B2176" t="s">
        <v>6882</v>
      </c>
      <c r="C2176" t="s">
        <v>9359</v>
      </c>
      <c r="D2176" t="s">
        <v>13419</v>
      </c>
      <c r="E2176" s="2">
        <v>11686</v>
      </c>
      <c r="F2176">
        <f>HYPERLINK("https://www2.assemblee-nationale.fr/sycomore/fiche/(num_dept)/3170", "3170.0")</f>
        <v>0</v>
      </c>
      <c r="G2176">
        <f>HYPERLINK("https://www.senat.fr/senateur-3eme-republique/fruchier_lazare0067r3.html", "fruchier_lazare0067r3")</f>
        <v>0</v>
      </c>
      <c r="H2176">
        <f>HYPERLINK("https://www.wikidata.org/wiki/Q3220003", "Q3220003")</f>
        <v>0</v>
      </c>
    </row>
    <row r="2177" spans="1:8">
      <c r="A2177" t="s">
        <v>2183</v>
      </c>
      <c r="B2177" t="s">
        <v>6882</v>
      </c>
      <c r="C2177" t="s">
        <v>9355</v>
      </c>
      <c r="D2177" t="s">
        <v>13420</v>
      </c>
      <c r="E2177" s="2">
        <v>13359</v>
      </c>
      <c r="F2177">
        <f>HYPERLINK("https://www2.assemblee-nationale.fr/sycomore/fiche/(num_dept)/3169", "3169.0")</f>
        <v>0</v>
      </c>
      <c r="H2177">
        <f>HYPERLINK("https://www.wikidata.org/wiki/Q8308220", "Q8308220")</f>
        <v>0</v>
      </c>
    </row>
    <row r="2178" spans="1:8">
      <c r="A2178" t="s">
        <v>2184</v>
      </c>
      <c r="B2178" t="s">
        <v>6883</v>
      </c>
      <c r="C2178" t="s">
        <v>10064</v>
      </c>
      <c r="D2178" t="s">
        <v>13421</v>
      </c>
      <c r="E2178" t="s">
        <v>16111</v>
      </c>
      <c r="F2178">
        <f>HYPERLINK("https://www2.assemblee-nationale.fr/sycomore/fiche/(num_dept)/3172", "3172.0")</f>
        <v>0</v>
      </c>
      <c r="H2178">
        <f>HYPERLINK("https://www.wikidata.org/wiki/Q16025735", "Q16025735")</f>
        <v>0</v>
      </c>
    </row>
    <row r="2179" spans="1:8">
      <c r="A2179" t="s">
        <v>2185</v>
      </c>
      <c r="B2179" t="s">
        <v>6884</v>
      </c>
      <c r="C2179" t="s">
        <v>10408</v>
      </c>
      <c r="D2179" t="s">
        <v>13422</v>
      </c>
      <c r="E2179" s="2">
        <v>1033</v>
      </c>
      <c r="F2179">
        <f>HYPERLINK("https://www2.assemblee-nationale.fr/sycomore/fiche/(num_dept)/3141", "3141.0")</f>
        <v>0</v>
      </c>
      <c r="H2179">
        <f>HYPERLINK("https://www.wikidata.org/wiki/Q13080830", "Q13080830")</f>
        <v>0</v>
      </c>
    </row>
    <row r="2180" spans="1:8">
      <c r="A2180" t="s">
        <v>2186</v>
      </c>
      <c r="B2180" t="s">
        <v>6885</v>
      </c>
      <c r="C2180" t="s">
        <v>9355</v>
      </c>
      <c r="D2180" t="s">
        <v>13423</v>
      </c>
      <c r="E2180" s="2">
        <v>24669</v>
      </c>
      <c r="H2180">
        <f>HYPERLINK("https://www.wikidata.org/wiki/Q2959136", "Q2959136")</f>
        <v>0</v>
      </c>
    </row>
    <row r="2181" spans="1:8">
      <c r="A2181" t="s">
        <v>2187</v>
      </c>
      <c r="B2181" t="s">
        <v>6886</v>
      </c>
      <c r="C2181" t="s">
        <v>10079</v>
      </c>
      <c r="D2181" t="s">
        <v>13404</v>
      </c>
      <c r="E2181" t="s">
        <v>16110</v>
      </c>
      <c r="F2181">
        <f>HYPERLINK("https://www2.assemblee-nationale.fr/sycomore/fiche/(num_dept)/8224", "8224.0")</f>
        <v>0</v>
      </c>
      <c r="H2181">
        <f>HYPERLINK("https://www.wikidata.org/wiki/Q2959142", "Q2959142")</f>
        <v>0</v>
      </c>
    </row>
    <row r="2182" spans="1:8">
      <c r="A2182" t="s">
        <v>2188</v>
      </c>
      <c r="B2182" t="s">
        <v>6887</v>
      </c>
      <c r="C2182" t="s">
        <v>9807</v>
      </c>
      <c r="D2182" t="s">
        <v>13424</v>
      </c>
      <c r="F2182">
        <f>HYPERLINK("https://www2.assemblee-nationale.fr/sycomore/fiche/(num_dept)/8261", "8261.0")</f>
        <v>0</v>
      </c>
      <c r="H2182">
        <f>HYPERLINK("https://www.wikidata.org/wiki/Q8320094", "Q8320094")</f>
        <v>0</v>
      </c>
    </row>
    <row r="2183" spans="1:8">
      <c r="A2183" t="s">
        <v>2189</v>
      </c>
      <c r="B2183" t="s">
        <v>6888</v>
      </c>
      <c r="C2183" t="s">
        <v>7342</v>
      </c>
      <c r="D2183" t="s">
        <v>13425</v>
      </c>
      <c r="E2183" s="2">
        <v>25142</v>
      </c>
      <c r="F2183">
        <f>HYPERLINK("https://www2.assemblee-nationale.fr/sycomore/fiche/(num_dept)/2954", "2954.0")</f>
        <v>0</v>
      </c>
      <c r="H2183">
        <f>HYPERLINK("https://www.wikidata.org/wiki/Q3172165", "Q3172165")</f>
        <v>0</v>
      </c>
    </row>
    <row r="2184" spans="1:8">
      <c r="A2184" t="s">
        <v>2190</v>
      </c>
      <c r="B2184" t="s">
        <v>6889</v>
      </c>
      <c r="C2184" t="s">
        <v>10409</v>
      </c>
      <c r="D2184" t="s">
        <v>13426</v>
      </c>
      <c r="E2184" s="2">
        <v>423</v>
      </c>
      <c r="F2184">
        <f>HYPERLINK("https://www2.assemblee-nationale.fr/sycomore/fiche/(num_dept)/2959", "2959.0")</f>
        <v>0</v>
      </c>
      <c r="H2184">
        <f>HYPERLINK("https://www.wikidata.org/wiki/Q15973218", "Q15973218")</f>
        <v>0</v>
      </c>
    </row>
    <row r="2185" spans="1:8">
      <c r="A2185" t="s">
        <v>2191</v>
      </c>
      <c r="B2185" t="s">
        <v>6890</v>
      </c>
      <c r="C2185" t="s">
        <v>9386</v>
      </c>
      <c r="D2185" t="s">
        <v>13427</v>
      </c>
      <c r="E2185" s="2">
        <v>18813</v>
      </c>
      <c r="F2185">
        <f>HYPERLINK("https://www2.assemblee-nationale.fr/sycomore/fiche/(num_dept)/2960", "2960.0")</f>
        <v>0</v>
      </c>
      <c r="H2185">
        <f>HYPERLINK("https://www.wikidata.org/wiki/Q3420866", "Q3420866")</f>
        <v>0</v>
      </c>
    </row>
    <row r="2186" spans="1:8">
      <c r="A2186" t="s">
        <v>2192</v>
      </c>
      <c r="B2186" t="s">
        <v>6891</v>
      </c>
      <c r="C2186" t="s">
        <v>10410</v>
      </c>
      <c r="D2186" t="s">
        <v>13428</v>
      </c>
      <c r="E2186" s="2">
        <v>8463</v>
      </c>
      <c r="F2186">
        <f>HYPERLINK("https://www2.assemblee-nationale.fr/sycomore/fiche/(num_dept)/2962", "2962.0")</f>
        <v>0</v>
      </c>
      <c r="H2186">
        <f>HYPERLINK("https://www.wikidata.org/wiki/Q16025688", "Q16025688")</f>
        <v>0</v>
      </c>
    </row>
    <row r="2187" spans="1:8">
      <c r="A2187" t="s">
        <v>2193</v>
      </c>
      <c r="B2187" t="s">
        <v>6892</v>
      </c>
      <c r="C2187" t="s">
        <v>5096</v>
      </c>
      <c r="D2187" t="s">
        <v>13429</v>
      </c>
      <c r="E2187" s="2">
        <v>22398</v>
      </c>
      <c r="F2187">
        <f>HYPERLINK("https://www2.assemblee-nationale.fr/sycomore/fiche/(num_dept)/2995", "2995.0")</f>
        <v>0</v>
      </c>
      <c r="H2187">
        <f>HYPERLINK("https://www.wikidata.org/wiki/Q2847791", "Q2847791")</f>
        <v>0</v>
      </c>
    </row>
    <row r="2188" spans="1:8">
      <c r="A2188" t="s">
        <v>2194</v>
      </c>
      <c r="B2188" t="s">
        <v>6893</v>
      </c>
      <c r="C2188" t="s">
        <v>9352</v>
      </c>
      <c r="D2188" t="s">
        <v>13430</v>
      </c>
      <c r="E2188" s="2">
        <v>13788</v>
      </c>
      <c r="F2188">
        <f>HYPERLINK("https://www2.assemblee-nationale.fr/sycomore/fiche/(num_dept)/3183", "3183.0")</f>
        <v>0</v>
      </c>
      <c r="H2188">
        <f>HYPERLINK("https://www.wikidata.org/wiki/Q13077254", "Q13077254")</f>
        <v>0</v>
      </c>
    </row>
    <row r="2189" spans="1:8">
      <c r="A2189" t="s">
        <v>2195</v>
      </c>
      <c r="B2189" t="s">
        <v>6894</v>
      </c>
      <c r="C2189" t="s">
        <v>6888</v>
      </c>
      <c r="D2189" t="s">
        <v>13431</v>
      </c>
      <c r="E2189" s="2">
        <v>16165</v>
      </c>
      <c r="F2189">
        <f>HYPERLINK("https://www2.assemblee-nationale.fr/sycomore/fiche/(num_dept)/3184", "3184.0")</f>
        <v>0</v>
      </c>
      <c r="H2189">
        <f>HYPERLINK("https://www.wikidata.org/wiki/Q16025736", "Q16025736")</f>
        <v>0</v>
      </c>
    </row>
    <row r="2190" spans="1:8">
      <c r="A2190" t="s">
        <v>2196</v>
      </c>
      <c r="B2190" t="s">
        <v>6895</v>
      </c>
      <c r="C2190" t="s">
        <v>9564</v>
      </c>
      <c r="D2190" t="s">
        <v>13432</v>
      </c>
      <c r="E2190" s="2">
        <v>5640</v>
      </c>
      <c r="F2190">
        <f>HYPERLINK("https://www2.assemblee-nationale.fr/sycomore/fiche/(num_dept)/3187", "3187.0")</f>
        <v>0</v>
      </c>
      <c r="H2190">
        <f>HYPERLINK("https://www.wikidata.org/wiki/Q16025738", "Q16025738")</f>
        <v>0</v>
      </c>
    </row>
    <row r="2191" spans="1:8">
      <c r="A2191" t="s">
        <v>2197</v>
      </c>
      <c r="B2191" t="s">
        <v>6896</v>
      </c>
      <c r="C2191" t="s">
        <v>10411</v>
      </c>
      <c r="D2191" t="s">
        <v>13433</v>
      </c>
      <c r="G2191">
        <f>HYPERLINK("https://www.senat.fr/senateur-3eme-republique/gabrielli_thadee0481r3.html", "gabrielli_thadee0481r3")</f>
        <v>0</v>
      </c>
      <c r="H2191">
        <f>HYPERLINK("https://www.wikidata.org/wiki/Q3519412", "Q3519412")</f>
        <v>0</v>
      </c>
    </row>
    <row r="2192" spans="1:8">
      <c r="A2192" t="s">
        <v>2198</v>
      </c>
      <c r="B2192" t="s">
        <v>6897</v>
      </c>
      <c r="C2192" t="s">
        <v>10411</v>
      </c>
      <c r="D2192" t="s">
        <v>13434</v>
      </c>
      <c r="E2192" s="2">
        <v>14711</v>
      </c>
      <c r="F2192">
        <f>HYPERLINK("https://www2.assemblee-nationale.fr/sycomore/fiche/(num_dept)/3190", "3190.0")</f>
        <v>0</v>
      </c>
      <c r="H2192">
        <f>HYPERLINK("https://www.wikidata.org/wiki/Q3519412", "Q3519412")</f>
        <v>0</v>
      </c>
    </row>
    <row r="2193" spans="1:8">
      <c r="A2193" t="s">
        <v>2199</v>
      </c>
      <c r="B2193" t="s">
        <v>6898</v>
      </c>
      <c r="C2193" t="s">
        <v>10082</v>
      </c>
      <c r="D2193" t="s">
        <v>13435</v>
      </c>
      <c r="E2193" s="2">
        <v>21245</v>
      </c>
      <c r="F2193">
        <f>HYPERLINK("https://www2.assemblee-nationale.fr/sycomore/fiche/(num_dept)/7579", "7579.0")</f>
        <v>0</v>
      </c>
      <c r="H2193">
        <f>HYPERLINK("https://www.wikidata.org/wiki/Q3573773", "Q3573773")</f>
        <v>0</v>
      </c>
    </row>
    <row r="2194" spans="1:8">
      <c r="A2194" t="s">
        <v>2200</v>
      </c>
      <c r="B2194" t="s">
        <v>6899</v>
      </c>
      <c r="C2194" t="s">
        <v>10412</v>
      </c>
      <c r="D2194" t="s">
        <v>13436</v>
      </c>
      <c r="E2194" s="2">
        <v>5439</v>
      </c>
      <c r="F2194">
        <f>HYPERLINK("https://www2.assemblee-nationale.fr/sycomore/fiche/(num_dept)/3191", "3191.0")</f>
        <v>0</v>
      </c>
      <c r="G2194">
        <f>HYPERLINK("https://www.senat.fr/senateur-3eme-republique/gacon_jules0043r3.html", "gacon_jules0043r3")</f>
        <v>0</v>
      </c>
      <c r="H2194">
        <f>HYPERLINK("https://www.wikidata.org/wiki/Q3188598", "Q3188598")</f>
        <v>0</v>
      </c>
    </row>
    <row r="2195" spans="1:8">
      <c r="A2195" t="s">
        <v>2201</v>
      </c>
      <c r="B2195" t="s">
        <v>6900</v>
      </c>
      <c r="C2195" t="s">
        <v>10413</v>
      </c>
      <c r="D2195" t="s">
        <v>13334</v>
      </c>
      <c r="E2195" t="s">
        <v>16112</v>
      </c>
      <c r="F2195">
        <f>HYPERLINK("https://www2.assemblee-nationale.fr/sycomore/fiche/(num_dept)/3192", "3192.0")</f>
        <v>0</v>
      </c>
      <c r="G2195">
        <f>HYPERLINK("https://www.senat.fr/senateur-3eme-republique/gadaud_antoine0660r3.html", "gadaud_antoine0660r3")</f>
        <v>0</v>
      </c>
      <c r="H2195">
        <f>HYPERLINK("https://www.wikidata.org/wiki/Q2853966", "Q2853966")</f>
        <v>0</v>
      </c>
    </row>
    <row r="2196" spans="1:8">
      <c r="A2196" t="s">
        <v>2202</v>
      </c>
      <c r="B2196" t="s">
        <v>6900</v>
      </c>
      <c r="C2196" t="s">
        <v>6888</v>
      </c>
      <c r="D2196" t="s">
        <v>13437</v>
      </c>
      <c r="E2196" s="2">
        <v>26720</v>
      </c>
      <c r="F2196">
        <f>HYPERLINK("https://www2.assemblee-nationale.fr/sycomore/fiche/(num_dept)/3193", "3193.0")</f>
        <v>0</v>
      </c>
      <c r="G2196">
        <f>HYPERLINK("https://www.senat.fr/senateur-3eme-republique/gadaud_felix0673r3.html", "gadaud_felix0673r3")</f>
        <v>0</v>
      </c>
      <c r="H2196">
        <f>HYPERLINK("https://www.wikidata.org/wiki/Q3092440", "Q3092440")</f>
        <v>0</v>
      </c>
    </row>
    <row r="2197" spans="1:8">
      <c r="A2197" t="s">
        <v>2203</v>
      </c>
      <c r="B2197" t="s">
        <v>6901</v>
      </c>
      <c r="C2197" t="s">
        <v>9324</v>
      </c>
      <c r="D2197" t="s">
        <v>13438</v>
      </c>
      <c r="G2197">
        <f>HYPERLINK("https://www.senat.fr/senateur-3eme-republique/gaebele_henri1834r3.html", "gaebele_henri1834r3")</f>
        <v>0</v>
      </c>
      <c r="H2197">
        <f>HYPERLINK("https://www.wikidata.org/wiki/Q16916472", "Q16916472")</f>
        <v>0</v>
      </c>
    </row>
    <row r="2198" spans="1:8">
      <c r="A2198" t="s">
        <v>2204</v>
      </c>
      <c r="B2198" t="s">
        <v>6902</v>
      </c>
      <c r="C2198" t="s">
        <v>9346</v>
      </c>
      <c r="D2198" t="s">
        <v>13439</v>
      </c>
      <c r="E2198" s="2">
        <v>15466</v>
      </c>
      <c r="F2198">
        <f>HYPERLINK("https://www2.assemblee-nationale.fr/sycomore/fiche/(num_dept)/3194", "3194.0")</f>
        <v>0</v>
      </c>
      <c r="H2198">
        <f>HYPERLINK("https://www.wikidata.org/wiki/Q16025739", "Q16025739")</f>
        <v>0</v>
      </c>
    </row>
    <row r="2199" spans="1:8">
      <c r="A2199" t="s">
        <v>2205</v>
      </c>
      <c r="B2199" t="s">
        <v>6903</v>
      </c>
      <c r="C2199" t="s">
        <v>10414</v>
      </c>
      <c r="D2199" t="s">
        <v>13440</v>
      </c>
      <c r="E2199" t="s">
        <v>16113</v>
      </c>
      <c r="F2199">
        <f>HYPERLINK("https://www2.assemblee-nationale.fr/sycomore/fiche/(num_dept)/3196", "3196.0")</f>
        <v>0</v>
      </c>
      <c r="H2199">
        <f>HYPERLINK("https://www.wikidata.org/wiki/Q8331563", "Q8331563")</f>
        <v>0</v>
      </c>
    </row>
    <row r="2200" spans="1:8">
      <c r="A2200" t="s">
        <v>2206</v>
      </c>
      <c r="B2200" t="s">
        <v>6904</v>
      </c>
      <c r="C2200" t="s">
        <v>10415</v>
      </c>
      <c r="D2200" t="s">
        <v>13441</v>
      </c>
      <c r="E2200" s="2">
        <v>13231</v>
      </c>
      <c r="F2200">
        <f>HYPERLINK("https://www2.assemblee-nationale.fr/sycomore/fiche/(num_dept)/3204", "3204.0")</f>
        <v>0</v>
      </c>
      <c r="H2200">
        <f>HYPERLINK("https://www.wikidata.org/wiki/Q3143609", "Q3143609")</f>
        <v>0</v>
      </c>
    </row>
    <row r="2201" spans="1:8">
      <c r="A2201" t="s">
        <v>2207</v>
      </c>
      <c r="B2201" t="s">
        <v>6905</v>
      </c>
      <c r="C2201" t="s">
        <v>10416</v>
      </c>
      <c r="D2201" t="s">
        <v>13442</v>
      </c>
      <c r="F2201">
        <f>HYPERLINK("https://www2.assemblee-nationale.fr/sycomore/fiche/(num_dept)/3198", "3198.0")</f>
        <v>0</v>
      </c>
      <c r="H2201">
        <f>HYPERLINK("https://www.wikidata.org/wiki/Q8313102", "Q8313102")</f>
        <v>0</v>
      </c>
    </row>
    <row r="2202" spans="1:8">
      <c r="A2202" t="s">
        <v>2208</v>
      </c>
      <c r="B2202" t="s">
        <v>6905</v>
      </c>
      <c r="C2202" t="s">
        <v>9471</v>
      </c>
      <c r="D2202" t="s">
        <v>13443</v>
      </c>
      <c r="E2202" s="2">
        <v>4041</v>
      </c>
      <c r="F2202">
        <f>HYPERLINK("https://www2.assemblee-nationale.fr/sycomore/fiche/(num_dept)/3202", "3202.0")</f>
        <v>0</v>
      </c>
      <c r="H2202">
        <f>HYPERLINK("https://www.wikidata.org/wiki/Q3188600", "Q3188600")</f>
        <v>0</v>
      </c>
    </row>
    <row r="2203" spans="1:8">
      <c r="A2203" t="s">
        <v>2209</v>
      </c>
      <c r="B2203" t="s">
        <v>6905</v>
      </c>
      <c r="C2203" t="s">
        <v>7025</v>
      </c>
      <c r="D2203" t="s">
        <v>13444</v>
      </c>
      <c r="E2203" t="s">
        <v>16114</v>
      </c>
      <c r="F2203">
        <f>HYPERLINK("https://www2.assemblee-nationale.fr/sycomore/fiche/(num_dept)/7949", "7949.0")</f>
        <v>0</v>
      </c>
      <c r="G2203">
        <f>HYPERLINK("https://www.senat.fr/senateur-3eme-republique/gaillard_gilbert0997r3.html", "gaillard_gilbert0997r3")</f>
        <v>0</v>
      </c>
      <c r="H2203">
        <f>HYPERLINK("https://www.wikidata.org/wiki/Q3105720", "Q3105720")</f>
        <v>0</v>
      </c>
    </row>
    <row r="2204" spans="1:8">
      <c r="A2204" t="s">
        <v>2210</v>
      </c>
      <c r="B2204" t="s">
        <v>6905</v>
      </c>
      <c r="C2204" t="s">
        <v>9471</v>
      </c>
      <c r="D2204" t="s">
        <v>13445</v>
      </c>
      <c r="E2204" s="2">
        <v>12327</v>
      </c>
      <c r="F2204">
        <f>HYPERLINK("https://www2.assemblee-nationale.fr/sycomore/fiche/(num_dept)/3201", "3201.0")</f>
        <v>0</v>
      </c>
      <c r="H2204">
        <f>HYPERLINK("https://www.wikidata.org/wiki/Q3188602", "Q3188602")</f>
        <v>0</v>
      </c>
    </row>
    <row r="2205" spans="1:8">
      <c r="A2205" t="s">
        <v>2211</v>
      </c>
      <c r="B2205" t="s">
        <v>6906</v>
      </c>
      <c r="C2205" t="s">
        <v>7754</v>
      </c>
      <c r="D2205" t="s">
        <v>11686</v>
      </c>
      <c r="E2205" s="2">
        <v>22235</v>
      </c>
      <c r="F2205">
        <f>HYPERLINK("https://www2.assemblee-nationale.fr/sycomore/fiche/(num_dept)/3206", "3206.0")</f>
        <v>0</v>
      </c>
      <c r="G2205">
        <f>HYPERLINK("https://www.senat.fr/senateur-3eme-republique/gaillemin_louis1801r3.html", "gaillemin_louis1801r3")</f>
        <v>0</v>
      </c>
      <c r="H2205">
        <f>HYPERLINK("https://www.wikidata.org/wiki/Q3261993", "Q3261993")</f>
        <v>0</v>
      </c>
    </row>
    <row r="2206" spans="1:8">
      <c r="A2206" t="s">
        <v>2212</v>
      </c>
      <c r="B2206" t="s">
        <v>6907</v>
      </c>
      <c r="C2206" t="s">
        <v>9503</v>
      </c>
      <c r="D2206" t="s">
        <v>11789</v>
      </c>
      <c r="E2206" s="2">
        <v>3932</v>
      </c>
      <c r="G2206">
        <f>HYPERLINK("https://www.senat.fr/senateur-3eme-republique/gailly_gustave0167r3.html", "gailly_gustave0167r3")</f>
        <v>0</v>
      </c>
      <c r="H2206">
        <f>HYPERLINK("https://www.wikidata.org/wiki/Q3121193", "Q3121193")</f>
        <v>0</v>
      </c>
    </row>
    <row r="2207" spans="1:8">
      <c r="A2207" t="s">
        <v>2213</v>
      </c>
      <c r="B2207" t="s">
        <v>6908</v>
      </c>
      <c r="C2207" t="s">
        <v>10417</v>
      </c>
      <c r="D2207" t="s">
        <v>13446</v>
      </c>
      <c r="E2207" s="2">
        <v>3313</v>
      </c>
      <c r="H2207">
        <f>HYPERLINK("https://www.wikidata.org/wiki/Q2958008", "Q2958008")</f>
        <v>0</v>
      </c>
    </row>
    <row r="2208" spans="1:8">
      <c r="A2208" t="s">
        <v>2214</v>
      </c>
      <c r="B2208" t="s">
        <v>6909</v>
      </c>
      <c r="C2208" t="s">
        <v>10418</v>
      </c>
      <c r="D2208" t="s">
        <v>13447</v>
      </c>
      <c r="E2208" s="2">
        <v>13394</v>
      </c>
      <c r="G2208">
        <f>HYPERLINK("https://www.senat.fr/senateur-3eme-republique/gallet_claudius1314r3.html", "gallet_claudius1314r3")</f>
        <v>0</v>
      </c>
      <c r="H2208">
        <f>HYPERLINK("https://www.wikidata.org/wiki/Q2978569", "Q2978569")</f>
        <v>0</v>
      </c>
    </row>
    <row r="2209" spans="1:8">
      <c r="A2209" t="s">
        <v>2215</v>
      </c>
      <c r="B2209" t="s">
        <v>6909</v>
      </c>
      <c r="C2209" t="s">
        <v>9355</v>
      </c>
      <c r="D2209" t="s">
        <v>13448</v>
      </c>
      <c r="E2209" s="2">
        <v>18933</v>
      </c>
      <c r="F2209">
        <f>HYPERLINK("https://www2.assemblee-nationale.fr/sycomore/fiche/(num_dept)/3215", "3215.0")</f>
        <v>0</v>
      </c>
      <c r="H2209">
        <f>HYPERLINK("https://www.wikidata.org/wiki/Q2959161", "Q2959161")</f>
        <v>0</v>
      </c>
    </row>
    <row r="2210" spans="1:8">
      <c r="A2210" t="s">
        <v>2216</v>
      </c>
      <c r="B2210" t="s">
        <v>6910</v>
      </c>
      <c r="C2210" t="s">
        <v>10419</v>
      </c>
      <c r="D2210" t="s">
        <v>13449</v>
      </c>
      <c r="F2210">
        <f>HYPERLINK("https://www2.assemblee-nationale.fr/sycomore/fiche/(num_dept)/3218", "3218.0")</f>
        <v>0</v>
      </c>
      <c r="H2210">
        <f>HYPERLINK("https://www.wikidata.org/wiki/Q16025740", "Q16025740")</f>
        <v>0</v>
      </c>
    </row>
    <row r="2211" spans="1:8">
      <c r="A2211" t="s">
        <v>2217</v>
      </c>
      <c r="B2211" t="s">
        <v>6911</v>
      </c>
      <c r="C2211" t="s">
        <v>10420</v>
      </c>
      <c r="D2211" t="s">
        <v>13450</v>
      </c>
      <c r="E2211" s="2">
        <v>8185</v>
      </c>
      <c r="F2211">
        <f>HYPERLINK("https://www2.assemblee-nationale.fr/sycomore/fiche/(num_dept)/3220", "3220.0")</f>
        <v>0</v>
      </c>
      <c r="H2211">
        <f>HYPERLINK("https://www.wikidata.org/wiki/Q3131155", "Q3131155")</f>
        <v>0</v>
      </c>
    </row>
    <row r="2212" spans="1:8">
      <c r="A2212" t="s">
        <v>2218</v>
      </c>
      <c r="B2212" t="s">
        <v>6912</v>
      </c>
      <c r="C2212" t="s">
        <v>9373</v>
      </c>
      <c r="D2212" t="s">
        <v>12077</v>
      </c>
      <c r="E2212" s="2">
        <v>5992</v>
      </c>
      <c r="H2212">
        <f>HYPERLINK("https://www.wikidata.org/wiki/Q17577", "Q17577")</f>
        <v>0</v>
      </c>
    </row>
    <row r="2213" spans="1:8">
      <c r="A2213" t="s">
        <v>2219</v>
      </c>
      <c r="B2213" t="s">
        <v>6913</v>
      </c>
      <c r="C2213" t="s">
        <v>7341</v>
      </c>
      <c r="D2213" t="s">
        <v>13451</v>
      </c>
      <c r="G2213">
        <f>HYPERLINK("https://www.senat.fr/senateur-3eme-republique/gallini_jean_francois0492r3.html", "gallini_jean_francois0492r3")</f>
        <v>0</v>
      </c>
      <c r="H2213">
        <f>HYPERLINK("https://www.wikidata.org/wiki/Q3165612", "Q3165612")</f>
        <v>0</v>
      </c>
    </row>
    <row r="2214" spans="1:8">
      <c r="A2214" t="s">
        <v>2220</v>
      </c>
      <c r="B2214" t="s">
        <v>6914</v>
      </c>
      <c r="C2214" t="s">
        <v>7754</v>
      </c>
      <c r="D2214" t="s">
        <v>13452</v>
      </c>
      <c r="E2214" s="2">
        <v>9946</v>
      </c>
      <c r="F2214">
        <f>HYPERLINK("https://www2.assemblee-nationale.fr/sycomore/fiche/(num_dept)/3222", "3222.0")</f>
        <v>0</v>
      </c>
      <c r="H2214">
        <f>HYPERLINK("https://www.wikidata.org/wiki/Q16025741", "Q16025741")</f>
        <v>0</v>
      </c>
    </row>
    <row r="2215" spans="1:8">
      <c r="A2215" t="s">
        <v>2221</v>
      </c>
      <c r="B2215" t="s">
        <v>6915</v>
      </c>
      <c r="C2215" t="s">
        <v>10421</v>
      </c>
      <c r="D2215" t="s">
        <v>13199</v>
      </c>
      <c r="E2215" s="2">
        <v>10605</v>
      </c>
      <c r="F2215">
        <f>HYPERLINK("https://www2.assemblee-nationale.fr/sycomore/fiche/(num_dept)/3224", "3224.0")</f>
        <v>0</v>
      </c>
      <c r="H2215">
        <f>HYPERLINK("https://www.wikidata.org/wiki/Q16011276", "Q16011276")</f>
        <v>0</v>
      </c>
    </row>
    <row r="2216" spans="1:8">
      <c r="A2216" t="s">
        <v>2222</v>
      </c>
      <c r="B2216" t="s">
        <v>6916</v>
      </c>
      <c r="C2216" t="s">
        <v>10332</v>
      </c>
      <c r="D2216" t="s">
        <v>13453</v>
      </c>
      <c r="G2216">
        <f>HYPERLINK("https://www.senat.fr/senateur-3eme-republique/galloni_d_istria_jerome0475r3.html", "galloni_d_istria_jerome0475r3")</f>
        <v>0</v>
      </c>
      <c r="H2216">
        <f>HYPERLINK("https://www.wikidata.org/wiki/Q3190909", "Q3190909")</f>
        <v>0</v>
      </c>
    </row>
    <row r="2217" spans="1:8">
      <c r="A2217" t="s">
        <v>2223</v>
      </c>
      <c r="B2217" t="s">
        <v>6917</v>
      </c>
      <c r="C2217" t="s">
        <v>5058</v>
      </c>
      <c r="D2217" t="s">
        <v>13454</v>
      </c>
      <c r="E2217" s="2">
        <v>5534</v>
      </c>
      <c r="F2217">
        <f>HYPERLINK("https://www2.assemblee-nationale.fr/sycomore/fiche/(num_dept)/3225", "3225.0")</f>
        <v>0</v>
      </c>
      <c r="H2217">
        <f>HYPERLINK("https://www.wikidata.org/wiki/Q8339302", "Q8339302")</f>
        <v>0</v>
      </c>
    </row>
    <row r="2218" spans="1:8">
      <c r="A2218" t="s">
        <v>2224</v>
      </c>
      <c r="B2218" t="s">
        <v>6918</v>
      </c>
      <c r="C2218" t="s">
        <v>10422</v>
      </c>
      <c r="D2218" t="s">
        <v>13455</v>
      </c>
      <c r="E2218" s="2">
        <v>11263</v>
      </c>
      <c r="F2218">
        <f>HYPERLINK("https://www2.assemblee-nationale.fr/sycomore/fiche/(num_dept)/3226", "3226.0")</f>
        <v>0</v>
      </c>
      <c r="H2218">
        <f>HYPERLINK("https://www.wikidata.org/wiki/Q3573422", "Q3573422")</f>
        <v>0</v>
      </c>
    </row>
    <row r="2219" spans="1:8">
      <c r="A2219" t="s">
        <v>2225</v>
      </c>
      <c r="B2219" t="s">
        <v>6919</v>
      </c>
      <c r="C2219" t="s">
        <v>7342</v>
      </c>
      <c r="D2219" t="s">
        <v>13456</v>
      </c>
      <c r="E2219" s="2">
        <v>10446</v>
      </c>
      <c r="F2219">
        <f>HYPERLINK("https://www2.assemblee-nationale.fr/sycomore/fiche/(num_dept)/3227", "3227.0")</f>
        <v>0</v>
      </c>
      <c r="H2219">
        <f>HYPERLINK("https://www.wikidata.org/wiki/Q3172205", "Q3172205")</f>
        <v>0</v>
      </c>
    </row>
    <row r="2220" spans="1:8">
      <c r="A2220" t="s">
        <v>2226</v>
      </c>
      <c r="B2220" t="s">
        <v>6920</v>
      </c>
      <c r="C2220" t="s">
        <v>9471</v>
      </c>
      <c r="D2220" t="s">
        <v>13457</v>
      </c>
      <c r="E2220" s="2">
        <v>3176</v>
      </c>
      <c r="F2220">
        <f>HYPERLINK("https://www2.assemblee-nationale.fr/sycomore/fiche/(num_dept)/3228", "3228.0")</f>
        <v>0</v>
      </c>
      <c r="H2220">
        <f>HYPERLINK("https://www.wikidata.org/wiki/Q3188603", "Q3188603")</f>
        <v>0</v>
      </c>
    </row>
    <row r="2221" spans="1:8">
      <c r="A2221" t="s">
        <v>2227</v>
      </c>
      <c r="B2221" t="s">
        <v>6921</v>
      </c>
      <c r="C2221" t="s">
        <v>10423</v>
      </c>
      <c r="D2221" t="s">
        <v>13458</v>
      </c>
      <c r="E2221" t="s">
        <v>16115</v>
      </c>
      <c r="F2221">
        <f>HYPERLINK("https://www2.assemblee-nationale.fr/sycomore/fiche/(num_dept)/8237", "8237.0")</f>
        <v>0</v>
      </c>
      <c r="H2221">
        <f>HYPERLINK("https://www.wikidata.org/wiki/Q8314091", "Q8314091")</f>
        <v>0</v>
      </c>
    </row>
    <row r="2222" spans="1:8">
      <c r="A2222" t="s">
        <v>2228</v>
      </c>
      <c r="B2222" t="s">
        <v>6921</v>
      </c>
      <c r="C2222" t="s">
        <v>9512</v>
      </c>
      <c r="D2222" t="s">
        <v>13459</v>
      </c>
      <c r="E2222" s="2">
        <v>8542</v>
      </c>
      <c r="F2222">
        <f>HYPERLINK("https://www2.assemblee-nationale.fr/sycomore/fiche/(num_dept)/3229", "3229.0")</f>
        <v>0</v>
      </c>
      <c r="H2222">
        <f>HYPERLINK("https://www.wikidata.org/wiki/Q8298734", "Q8298734")</f>
        <v>0</v>
      </c>
    </row>
    <row r="2223" spans="1:8">
      <c r="A2223" t="s">
        <v>2229</v>
      </c>
      <c r="B2223" t="s">
        <v>6922</v>
      </c>
      <c r="C2223" t="s">
        <v>9337</v>
      </c>
      <c r="D2223" t="s">
        <v>13040</v>
      </c>
      <c r="E2223" s="2">
        <v>1553</v>
      </c>
      <c r="F2223">
        <f>HYPERLINK("https://www2.assemblee-nationale.fr/sycomore/fiche/(num_dept)/3230", "3230.0")</f>
        <v>0</v>
      </c>
      <c r="G2223">
        <f>HYPERLINK("https://www.senat.fr/senateur-3eme-republique/galtier_jean0238r3.html", "galtier_jean0238r3")</f>
        <v>0</v>
      </c>
      <c r="H2223">
        <f>HYPERLINK("https://www.wikidata.org/wiki/Q3172204", "Q3172204")</f>
        <v>0</v>
      </c>
    </row>
    <row r="2224" spans="1:8">
      <c r="A2224" t="s">
        <v>2230</v>
      </c>
      <c r="B2224" t="s">
        <v>6923</v>
      </c>
      <c r="C2224" t="s">
        <v>7342</v>
      </c>
      <c r="D2224" t="s">
        <v>13460</v>
      </c>
      <c r="G2224">
        <f>HYPERLINK("https://www.senat.fr/senateur-3eme-republique/galup_jean0738r3.html", "galup_jean0738r3")</f>
        <v>0</v>
      </c>
      <c r="H2224">
        <f>HYPERLINK("https://www.wikidata.org/wiki/Q3172207", "Q3172207")</f>
        <v>0</v>
      </c>
    </row>
    <row r="2225" spans="1:8">
      <c r="A2225" t="s">
        <v>2231</v>
      </c>
      <c r="B2225" t="s">
        <v>6924</v>
      </c>
      <c r="C2225" t="s">
        <v>7782</v>
      </c>
      <c r="D2225" t="s">
        <v>13461</v>
      </c>
      <c r="E2225" s="2">
        <v>7926</v>
      </c>
      <c r="F2225">
        <f>HYPERLINK("https://www2.assemblee-nationale.fr/sycomore/fiche/(num_dept)/3234", "3234.0")</f>
        <v>0</v>
      </c>
      <c r="H2225">
        <f>HYPERLINK("https://www.wikidata.org/wiki/Q3270977", "Q3270977")</f>
        <v>0</v>
      </c>
    </row>
    <row r="2226" spans="1:8">
      <c r="A2226" t="s">
        <v>2232</v>
      </c>
      <c r="B2226" t="s">
        <v>6925</v>
      </c>
      <c r="C2226" t="s">
        <v>7001</v>
      </c>
      <c r="D2226" t="s">
        <v>13462</v>
      </c>
      <c r="E2226" s="2">
        <v>1362</v>
      </c>
      <c r="F2226">
        <f>HYPERLINK("https://www2.assemblee-nationale.fr/sycomore/fiche/(num_dept)/3235", "3235.0")</f>
        <v>0</v>
      </c>
      <c r="H2226">
        <f>HYPERLINK("https://www.wikidata.org/wiki/Q3102747", "Q3102747")</f>
        <v>0</v>
      </c>
    </row>
    <row r="2227" spans="1:8">
      <c r="A2227" t="s">
        <v>2233</v>
      </c>
      <c r="B2227" t="s">
        <v>6925</v>
      </c>
      <c r="C2227" t="s">
        <v>9324</v>
      </c>
      <c r="D2227" t="s">
        <v>13463</v>
      </c>
      <c r="E2227" s="2">
        <v>22596</v>
      </c>
      <c r="F2227">
        <f>HYPERLINK("https://www2.assemblee-nationale.fr/sycomore/fiche/(num_dept)/3236", "3236.0")</f>
        <v>0</v>
      </c>
      <c r="H2227">
        <f>HYPERLINK("https://www.wikidata.org/wiki/Q16025742", "Q16025742")</f>
        <v>0</v>
      </c>
    </row>
    <row r="2228" spans="1:8">
      <c r="A2228" t="s">
        <v>2234</v>
      </c>
      <c r="B2228" t="s">
        <v>6926</v>
      </c>
      <c r="C2228" t="s">
        <v>10424</v>
      </c>
      <c r="D2228" t="s">
        <v>13464</v>
      </c>
      <c r="E2228" t="s">
        <v>16116</v>
      </c>
      <c r="F2228">
        <f>HYPERLINK("https://www2.assemblee-nationale.fr/sycomore/fiche/(num_dept)/3237", "3237.0")</f>
        <v>0</v>
      </c>
      <c r="H2228">
        <f>HYPERLINK("https://www.wikidata.org/wiki/Q295090", "Q295090")</f>
        <v>0</v>
      </c>
    </row>
    <row r="2229" spans="1:8">
      <c r="A2229" t="s">
        <v>2235</v>
      </c>
      <c r="B2229" t="s">
        <v>6927</v>
      </c>
      <c r="C2229" t="s">
        <v>10425</v>
      </c>
      <c r="D2229" t="s">
        <v>13465</v>
      </c>
      <c r="E2229" t="s">
        <v>16117</v>
      </c>
      <c r="F2229">
        <f>HYPERLINK("https://www2.assemblee-nationale.fr/sycomore/fiche/(num_dept)/8186", "8186.0")</f>
        <v>0</v>
      </c>
      <c r="H2229">
        <f>HYPERLINK("https://www.wikidata.org/wiki/Q2959051", "Q2959051")</f>
        <v>0</v>
      </c>
    </row>
    <row r="2230" spans="1:8">
      <c r="A2230" t="s">
        <v>2236</v>
      </c>
      <c r="B2230" t="s">
        <v>6928</v>
      </c>
      <c r="C2230" t="s">
        <v>9512</v>
      </c>
      <c r="D2230" t="s">
        <v>13466</v>
      </c>
      <c r="E2230" t="s">
        <v>16118</v>
      </c>
      <c r="F2230">
        <f>HYPERLINK("https://www2.assemblee-nationale.fr/sycomore/fiche/(num_dept)/3241", "3241.0")</f>
        <v>0</v>
      </c>
      <c r="H2230">
        <f>HYPERLINK("https://www.wikidata.org/wiki/Q3099008", "Q3099008")</f>
        <v>0</v>
      </c>
    </row>
    <row r="2231" spans="1:8">
      <c r="A2231" t="s">
        <v>2237</v>
      </c>
      <c r="B2231" t="s">
        <v>6928</v>
      </c>
      <c r="C2231" t="s">
        <v>9332</v>
      </c>
      <c r="D2231" t="s">
        <v>13467</v>
      </c>
      <c r="E2231" s="2">
        <v>13323</v>
      </c>
      <c r="F2231">
        <f>HYPERLINK("https://www2.assemblee-nationale.fr/sycomore/fiche/(num_dept)/3240", "3240.0")</f>
        <v>0</v>
      </c>
      <c r="H2231">
        <f>HYPERLINK("https://www.wikidata.org/wiki/Q8311015", "Q8311015")</f>
        <v>0</v>
      </c>
    </row>
    <row r="2232" spans="1:8">
      <c r="A2232" t="s">
        <v>2238</v>
      </c>
      <c r="B2232" t="s">
        <v>6929</v>
      </c>
      <c r="C2232" t="s">
        <v>10426</v>
      </c>
      <c r="D2232" t="s">
        <v>13468</v>
      </c>
      <c r="E2232" t="s">
        <v>16119</v>
      </c>
      <c r="F2232">
        <f>HYPERLINK("https://www2.assemblee-nationale.fr/sycomore/fiche/(num_dept)/3242", "3242.0")</f>
        <v>0</v>
      </c>
      <c r="H2232">
        <f>HYPERLINK("https://www.wikidata.org/wiki/Q16025743", "Q16025743")</f>
        <v>0</v>
      </c>
    </row>
    <row r="2233" spans="1:8">
      <c r="A2233" t="s">
        <v>2239</v>
      </c>
      <c r="B2233" t="s">
        <v>6930</v>
      </c>
      <c r="C2233" t="s">
        <v>10427</v>
      </c>
      <c r="D2233" t="s">
        <v>13469</v>
      </c>
      <c r="E2233" t="s">
        <v>16120</v>
      </c>
      <c r="F2233">
        <f>HYPERLINK("https://www2.assemblee-nationale.fr/sycomore/fiche/(num_dept)/7950", "7950.0")</f>
        <v>0</v>
      </c>
      <c r="H2233">
        <f>HYPERLINK("https://www.wikidata.org/wiki/Q16025744", "Q16025744")</f>
        <v>0</v>
      </c>
    </row>
    <row r="2234" spans="1:8">
      <c r="A2234" t="s">
        <v>2240</v>
      </c>
      <c r="B2234" t="s">
        <v>6931</v>
      </c>
      <c r="C2234" t="s">
        <v>9373</v>
      </c>
      <c r="D2234" t="s">
        <v>13470</v>
      </c>
      <c r="E2234" s="2">
        <v>16434</v>
      </c>
      <c r="F2234">
        <f>HYPERLINK("https://www2.assemblee-nationale.fr/sycomore/fiche/(num_dept)/3247", "3247.0")</f>
        <v>0</v>
      </c>
      <c r="H2234">
        <f>HYPERLINK("https://www.wikidata.org/wiki/Q3184989", "Q3184989")</f>
        <v>0</v>
      </c>
    </row>
    <row r="2235" spans="1:8">
      <c r="A2235" t="s">
        <v>2241</v>
      </c>
      <c r="B2235" t="s">
        <v>6932</v>
      </c>
      <c r="C2235" t="s">
        <v>10428</v>
      </c>
      <c r="D2235" t="s">
        <v>13471</v>
      </c>
      <c r="E2235" s="2">
        <v>20863</v>
      </c>
      <c r="F2235">
        <f>HYPERLINK("https://www2.assemblee-nationale.fr/sycomore/fiche/(num_dept)/3250", "3250.0")</f>
        <v>0</v>
      </c>
      <c r="H2235">
        <f>HYPERLINK("https://www.wikidata.org/wiki/Q3172213", "Q3172213")</f>
        <v>0</v>
      </c>
    </row>
    <row r="2236" spans="1:8">
      <c r="A2236" t="s">
        <v>2242</v>
      </c>
      <c r="B2236" t="s">
        <v>6933</v>
      </c>
      <c r="C2236" t="s">
        <v>5033</v>
      </c>
      <c r="D2236" t="s">
        <v>13472</v>
      </c>
      <c r="E2236" s="2">
        <v>21085</v>
      </c>
      <c r="F2236">
        <f>HYPERLINK("https://www2.assemblee-nationale.fr/sycomore/fiche/(num_dept)/3254", "3254.0")</f>
        <v>0</v>
      </c>
      <c r="G2236">
        <f>HYPERLINK("https://www.senat.fr/senateur-3eme-republique/gardey_abel0150r3.html", "gardey_abel0150r3")</f>
        <v>0</v>
      </c>
      <c r="H2236">
        <f>HYPERLINK("https://www.wikidata.org/wiki/Q2821514", "Q2821514")</f>
        <v>0</v>
      </c>
    </row>
    <row r="2237" spans="1:8">
      <c r="A2237" t="s">
        <v>2243</v>
      </c>
      <c r="B2237" t="s">
        <v>6934</v>
      </c>
      <c r="C2237" t="s">
        <v>7754</v>
      </c>
      <c r="D2237" t="s">
        <v>13473</v>
      </c>
      <c r="E2237" s="2">
        <v>17052</v>
      </c>
      <c r="F2237">
        <f>HYPERLINK("https://www2.assemblee-nationale.fr/sycomore/fiche/(num_dept)/3255", "3255.0")</f>
        <v>0</v>
      </c>
      <c r="H2237">
        <f>HYPERLINK("https://www.wikidata.org/wiki/Q3262002", "Q3262002")</f>
        <v>0</v>
      </c>
    </row>
    <row r="2238" spans="1:8">
      <c r="A2238" t="s">
        <v>2244</v>
      </c>
      <c r="B2238" t="s">
        <v>6935</v>
      </c>
      <c r="C2238" t="s">
        <v>10429</v>
      </c>
      <c r="D2238" t="s">
        <v>13474</v>
      </c>
      <c r="E2238" s="2">
        <v>4428</v>
      </c>
      <c r="F2238">
        <f>HYPERLINK("https://www2.assemblee-nationale.fr/sycomore/fiche/(num_dept)/8220", "8220.0")</f>
        <v>0</v>
      </c>
      <c r="H2238">
        <f>HYPERLINK("https://www.wikidata.org/wiki/Q3588524", "Q3588524")</f>
        <v>0</v>
      </c>
    </row>
    <row r="2239" spans="1:8">
      <c r="A2239" t="s">
        <v>2245</v>
      </c>
      <c r="B2239" t="s">
        <v>6936</v>
      </c>
      <c r="C2239" t="s">
        <v>7342</v>
      </c>
      <c r="D2239" t="s">
        <v>13475</v>
      </c>
      <c r="E2239" t="s">
        <v>11588</v>
      </c>
      <c r="F2239">
        <f>HYPERLINK("https://www2.assemblee-nationale.fr/sycomore/fiche/(num_dept)/3265", "3265.0")</f>
        <v>0</v>
      </c>
      <c r="H2239">
        <f>HYPERLINK("https://www.wikidata.org/wiki/Q3172224", "Q3172224")</f>
        <v>0</v>
      </c>
    </row>
    <row r="2240" spans="1:8">
      <c r="A2240" t="s">
        <v>2246</v>
      </c>
      <c r="B2240" t="s">
        <v>6937</v>
      </c>
      <c r="C2240" t="s">
        <v>10430</v>
      </c>
      <c r="D2240" t="s">
        <v>13476</v>
      </c>
      <c r="E2240" t="s">
        <v>16121</v>
      </c>
      <c r="F2240">
        <f>HYPERLINK("https://www2.assemblee-nationale.fr/sycomore/fiche/(num_dept)/3262", "3262.0")</f>
        <v>0</v>
      </c>
      <c r="H2240">
        <f>HYPERLINK("https://www.wikidata.org/wiki/Q16025746", "Q16025746")</f>
        <v>0</v>
      </c>
    </row>
    <row r="2241" spans="1:8">
      <c r="A2241" t="s">
        <v>2247</v>
      </c>
      <c r="B2241" t="s">
        <v>6937</v>
      </c>
      <c r="C2241" t="s">
        <v>10431</v>
      </c>
      <c r="D2241" t="s">
        <v>13477</v>
      </c>
      <c r="E2241" s="2">
        <v>2045</v>
      </c>
      <c r="F2241">
        <f>HYPERLINK("https://www2.assemblee-nationale.fr/sycomore/fiche/(num_dept)/3261", "3261.0")</f>
        <v>0</v>
      </c>
      <c r="G2241">
        <f>HYPERLINK("https://www.senat.fr/senateur-3eme-republique/garnier_frederic0419r3.html", "garnier_frederic0419r3")</f>
        <v>0</v>
      </c>
      <c r="H2241">
        <f>HYPERLINK("https://www.wikidata.org/wiki/Q3089831", "Q3089831")</f>
        <v>0</v>
      </c>
    </row>
    <row r="2242" spans="1:8">
      <c r="A2242" t="s">
        <v>2248</v>
      </c>
      <c r="B2242" t="s">
        <v>6938</v>
      </c>
      <c r="C2242" t="s">
        <v>9430</v>
      </c>
      <c r="D2242" t="s">
        <v>13478</v>
      </c>
      <c r="E2242" s="2">
        <v>15315</v>
      </c>
      <c r="G2242">
        <f>HYPERLINK("https://www.senat.fr/senateur-3eme-republique/garnier_paul0557r3.html", "garnier_paul0557r3")</f>
        <v>0</v>
      </c>
      <c r="H2242">
        <f>HYPERLINK("https://www.wikidata.org/wiki/Q3371287", "Q3371287")</f>
        <v>0</v>
      </c>
    </row>
    <row r="2243" spans="1:8">
      <c r="A2243" t="s">
        <v>2249</v>
      </c>
      <c r="B2243" t="s">
        <v>6939</v>
      </c>
      <c r="C2243" t="s">
        <v>6864</v>
      </c>
      <c r="D2243" t="s">
        <v>13479</v>
      </c>
      <c r="E2243" s="2">
        <v>1093</v>
      </c>
      <c r="G2243">
        <f>HYPERLINK("https://www.senat.fr/senateur-3eme-republique/garran_de_balzan_francois1634r3.html", "garran_de_balzan_francois1634r3")</f>
        <v>0</v>
      </c>
      <c r="H2243">
        <f>HYPERLINK("https://www.wikidata.org/wiki/Q3084690", "Q3084690")</f>
        <v>0</v>
      </c>
    </row>
    <row r="2244" spans="1:8">
      <c r="A2244" t="s">
        <v>2250</v>
      </c>
      <c r="B2244" t="s">
        <v>6940</v>
      </c>
      <c r="C2244" t="s">
        <v>7001</v>
      </c>
      <c r="D2244" t="s">
        <v>13480</v>
      </c>
      <c r="E2244" s="2">
        <v>16040</v>
      </c>
      <c r="G2244">
        <f>HYPERLINK("https://www.senat.fr/senateur-3eme-republique/garreau_georges0555r3.html", "garreau_georges0555r3")</f>
        <v>0</v>
      </c>
      <c r="H2244">
        <f>HYPERLINK("https://www.wikidata.org/wiki/Q3102753", "Q3102753")</f>
        <v>0</v>
      </c>
    </row>
    <row r="2245" spans="1:8">
      <c r="A2245" t="s">
        <v>2251</v>
      </c>
      <c r="B2245" t="s">
        <v>6941</v>
      </c>
      <c r="C2245" t="s">
        <v>7342</v>
      </c>
      <c r="D2245" t="s">
        <v>13481</v>
      </c>
      <c r="E2245" t="s">
        <v>16122</v>
      </c>
      <c r="F2245">
        <f>HYPERLINK("https://www2.assemblee-nationale.fr/sycomore/fiche/(num_dept)/8112", "8112.0")</f>
        <v>0</v>
      </c>
      <c r="G2245">
        <f>HYPERLINK("https://www.senat.fr/senateur-3eme-republique/garrigat_jean0659r3.html", "garrigat_jean0659r3")</f>
        <v>0</v>
      </c>
      <c r="H2245">
        <f>HYPERLINK("https://www.wikidata.org/wiki/Q3172227", "Q3172227")</f>
        <v>0</v>
      </c>
    </row>
    <row r="2246" spans="1:8">
      <c r="A2246" t="s">
        <v>2252</v>
      </c>
      <c r="B2246" t="s">
        <v>6942</v>
      </c>
      <c r="C2246" t="s">
        <v>7754</v>
      </c>
      <c r="D2246" t="s">
        <v>13482</v>
      </c>
      <c r="E2246" s="2">
        <v>24255</v>
      </c>
      <c r="G2246">
        <f>HYPERLINK("https://www.senat.fr/senateur-3eme-republique/garrigou_louis0606r3.html", "garrigou_louis0606r3")</f>
        <v>0</v>
      </c>
      <c r="H2246">
        <f>HYPERLINK("https://www.wikidata.org/wiki/Q3262008", "Q3262008")</f>
        <v>0</v>
      </c>
    </row>
    <row r="2247" spans="1:8">
      <c r="A2247" t="s">
        <v>2253</v>
      </c>
      <c r="B2247" t="s">
        <v>6943</v>
      </c>
      <c r="C2247" t="s">
        <v>9503</v>
      </c>
      <c r="D2247" t="s">
        <v>13483</v>
      </c>
      <c r="E2247" t="s">
        <v>16123</v>
      </c>
      <c r="G2247">
        <f>HYPERLINK("https://www.senat.fr/senateur-3eme-republique/garrisson_gustave1723r3.html", "garrisson_gustave1723r3")</f>
        <v>0</v>
      </c>
      <c r="H2247">
        <f>HYPERLINK("https://www.wikidata.org/wiki/Q3121195", "Q3121195")</f>
        <v>0</v>
      </c>
    </row>
    <row r="2248" spans="1:8">
      <c r="A2248" t="s">
        <v>2254</v>
      </c>
      <c r="B2248" t="s">
        <v>6944</v>
      </c>
      <c r="C2248" t="s">
        <v>9564</v>
      </c>
      <c r="D2248" t="s">
        <v>13484</v>
      </c>
      <c r="E2248" s="2">
        <v>10632</v>
      </c>
      <c r="F2248">
        <f>HYPERLINK("https://www2.assemblee-nationale.fr/sycomore/fiche/(num_dept)/3272", "3272.0")</f>
        <v>0</v>
      </c>
      <c r="H2248">
        <f>HYPERLINK("https://www.wikidata.org/wiki/Q2835142", "Q2835142")</f>
        <v>0</v>
      </c>
    </row>
    <row r="2249" spans="1:8">
      <c r="A2249" t="s">
        <v>2255</v>
      </c>
      <c r="B2249" t="s">
        <v>6945</v>
      </c>
      <c r="C2249" t="s">
        <v>9457</v>
      </c>
      <c r="D2249" t="s">
        <v>13485</v>
      </c>
      <c r="E2249" s="2">
        <v>16720</v>
      </c>
      <c r="G2249">
        <f>HYPERLINK("https://www.senat.fr/senateur-3eme-republique/gasnier_duparc_alphonse0563r3.html", "gasnier_duparc_alphonse0563r3")</f>
        <v>0</v>
      </c>
      <c r="H2249">
        <f>HYPERLINK("https://www.wikidata.org/wiki/Q2839804", "Q2839804")</f>
        <v>0</v>
      </c>
    </row>
    <row r="2250" spans="1:8">
      <c r="A2250" t="s">
        <v>2256</v>
      </c>
      <c r="B2250" t="s">
        <v>6946</v>
      </c>
      <c r="C2250" t="s">
        <v>10432</v>
      </c>
      <c r="D2250" t="s">
        <v>13486</v>
      </c>
      <c r="E2250" s="2">
        <v>2469</v>
      </c>
      <c r="F2250">
        <f>HYPERLINK("https://www2.assemblee-nationale.fr/sycomore/fiche/(num_dept)/3274", "3274.0")</f>
        <v>0</v>
      </c>
      <c r="H2250">
        <f>HYPERLINK("https://www.wikidata.org/wiki/Q16025747", "Q16025747")</f>
        <v>0</v>
      </c>
    </row>
    <row r="2251" spans="1:8">
      <c r="A2251" t="s">
        <v>2257</v>
      </c>
      <c r="B2251" t="s">
        <v>6947</v>
      </c>
      <c r="C2251" t="s">
        <v>10433</v>
      </c>
      <c r="D2251" t="s">
        <v>13487</v>
      </c>
      <c r="E2251" s="2">
        <v>17631</v>
      </c>
      <c r="F2251">
        <f>HYPERLINK("https://www2.assemblee-nationale.fr/sycomore/fiche/(num_dept)/3276", "3276.0")</f>
        <v>0</v>
      </c>
      <c r="H2251">
        <f>HYPERLINK("https://www.wikidata.org/wiki/Q3265516", "Q3265516")</f>
        <v>0</v>
      </c>
    </row>
    <row r="2252" spans="1:8">
      <c r="A2252" t="s">
        <v>2258</v>
      </c>
      <c r="B2252" t="s">
        <v>6948</v>
      </c>
      <c r="C2252" t="s">
        <v>9471</v>
      </c>
      <c r="D2252" t="s">
        <v>13488</v>
      </c>
      <c r="E2252" s="2">
        <v>21333</v>
      </c>
      <c r="G2252">
        <f>HYPERLINK("https://www.senat.fr/senateur-3eme-republique/gasser_jules0350r4.html", "gasser_jules0350r4")</f>
        <v>0</v>
      </c>
      <c r="H2252">
        <f>HYPERLINK("https://www.wikidata.org/wiki/Q3188605", "Q3188605")</f>
        <v>0</v>
      </c>
    </row>
    <row r="2253" spans="1:8">
      <c r="A2253" t="s">
        <v>2259</v>
      </c>
      <c r="B2253" t="s">
        <v>6949</v>
      </c>
      <c r="C2253" t="s">
        <v>9851</v>
      </c>
      <c r="D2253" t="s">
        <v>13489</v>
      </c>
      <c r="E2253" s="2">
        <v>2687</v>
      </c>
      <c r="G2253">
        <f>HYPERLINK("https://www.senat.fr/senateur-3eme-republique/gassier_hippolyte0060r3.html", "gassier_hippolyte0060r3")</f>
        <v>0</v>
      </c>
      <c r="H2253">
        <f>HYPERLINK("https://www.wikidata.org/wiki/Q3136062", "Q3136062")</f>
        <v>0</v>
      </c>
    </row>
    <row r="2254" spans="1:8">
      <c r="A2254" t="s">
        <v>2260</v>
      </c>
      <c r="B2254" t="s">
        <v>6950</v>
      </c>
      <c r="C2254" t="s">
        <v>9851</v>
      </c>
      <c r="D2254" t="s">
        <v>13490</v>
      </c>
      <c r="E2254" s="2">
        <v>2687</v>
      </c>
      <c r="F2254">
        <f>HYPERLINK("https://www2.assemblee-nationale.fr/sycomore/fiche/(num_dept)/3278", "3278.0")</f>
        <v>0</v>
      </c>
      <c r="H2254">
        <f>HYPERLINK("https://www.wikidata.org/wiki/Q3136062", "Q3136062")</f>
        <v>0</v>
      </c>
    </row>
    <row r="2255" spans="1:8">
      <c r="A2255" t="s">
        <v>2261</v>
      </c>
      <c r="B2255" t="s">
        <v>6951</v>
      </c>
      <c r="C2255" t="s">
        <v>5117</v>
      </c>
      <c r="D2255" t="s">
        <v>13491</v>
      </c>
      <c r="E2255" s="2">
        <v>5627</v>
      </c>
      <c r="G2255">
        <f>HYPERLINK("https://www.senat.fr/senateur-3eme-republique/gassis_armand0816r3.html", "gassis_armand0816r3")</f>
        <v>0</v>
      </c>
      <c r="H2255">
        <f>HYPERLINK("https://www.wikidata.org/wiki/Q2861849", "Q2861849")</f>
        <v>0</v>
      </c>
    </row>
    <row r="2256" spans="1:8">
      <c r="A2256" t="s">
        <v>2262</v>
      </c>
      <c r="B2256" t="s">
        <v>6952</v>
      </c>
      <c r="C2256" t="s">
        <v>9482</v>
      </c>
      <c r="D2256" t="s">
        <v>13093</v>
      </c>
      <c r="E2256" s="2">
        <v>16294</v>
      </c>
      <c r="F2256">
        <f>HYPERLINK("https://www2.assemblee-nationale.fr/sycomore/fiche/(num_dept)/3279", "3279.0")</f>
        <v>0</v>
      </c>
      <c r="H2256">
        <f>HYPERLINK("https://www.wikidata.org/wiki/Q8339897", "Q8339897")</f>
        <v>0</v>
      </c>
    </row>
    <row r="2257" spans="1:8">
      <c r="A2257" t="s">
        <v>2263</v>
      </c>
      <c r="B2257" t="s">
        <v>6953</v>
      </c>
      <c r="C2257" t="s">
        <v>10196</v>
      </c>
      <c r="D2257" t="s">
        <v>13492</v>
      </c>
      <c r="E2257" t="s">
        <v>16124</v>
      </c>
      <c r="F2257">
        <f>HYPERLINK("https://www2.assemblee-nationale.fr/sycomore/fiche/(num_dept)/3282", "3282.0")</f>
        <v>0</v>
      </c>
      <c r="H2257">
        <f>HYPERLINK("https://www.wikidata.org/wiki/Q16025749", "Q16025749")</f>
        <v>0</v>
      </c>
    </row>
    <row r="2258" spans="1:8">
      <c r="A2258" t="s">
        <v>2264</v>
      </c>
      <c r="B2258" t="s">
        <v>6954</v>
      </c>
      <c r="C2258" t="s">
        <v>10434</v>
      </c>
      <c r="D2258" t="s">
        <v>13493</v>
      </c>
      <c r="E2258" t="s">
        <v>16125</v>
      </c>
      <c r="F2258">
        <f>HYPERLINK("https://www2.assemblee-nationale.fr/sycomore/fiche/(num_dept)/3280", "3280.0")</f>
        <v>0</v>
      </c>
      <c r="H2258">
        <f>HYPERLINK("https://www.wikidata.org/wiki/Q3185835", "Q3185835")</f>
        <v>0</v>
      </c>
    </row>
    <row r="2259" spans="1:8">
      <c r="A2259" t="s">
        <v>2265</v>
      </c>
      <c r="B2259" t="s">
        <v>6955</v>
      </c>
      <c r="C2259" t="s">
        <v>10435</v>
      </c>
      <c r="D2259" t="s">
        <v>13494</v>
      </c>
      <c r="E2259" t="s">
        <v>16126</v>
      </c>
      <c r="F2259">
        <f>HYPERLINK("https://www2.assemblee-nationale.fr/sycomore/fiche/(num_dept)/8122", "8122.0")</f>
        <v>0</v>
      </c>
      <c r="H2259">
        <f>HYPERLINK("https://www.wikidata.org/wiki/Q16025751", "Q16025751")</f>
        <v>0</v>
      </c>
    </row>
    <row r="2260" spans="1:8">
      <c r="A2260" t="s">
        <v>2266</v>
      </c>
      <c r="B2260" t="s">
        <v>6956</v>
      </c>
      <c r="C2260" t="s">
        <v>9512</v>
      </c>
      <c r="D2260" t="s">
        <v>13495</v>
      </c>
      <c r="E2260" s="2">
        <v>18917</v>
      </c>
      <c r="G2260">
        <f>HYPERLINK("https://www.senat.fr/senateur-3eme-republique/gaudaire_gaston1851r3.html", "gaudaire_gaston1851r3")</f>
        <v>0</v>
      </c>
      <c r="H2260">
        <f>HYPERLINK("https://www.wikidata.org/wiki/Q3099010", "Q3099010")</f>
        <v>0</v>
      </c>
    </row>
    <row r="2261" spans="1:8">
      <c r="A2261" t="s">
        <v>2267</v>
      </c>
      <c r="B2261" t="s">
        <v>6957</v>
      </c>
      <c r="C2261" t="s">
        <v>9362</v>
      </c>
      <c r="D2261" t="s">
        <v>13496</v>
      </c>
      <c r="E2261" s="2">
        <v>11106</v>
      </c>
      <c r="G2261">
        <f>HYPERLINK("https://www.senat.fr/senateur-3eme-republique/gaudin_de_villaine_adrien1041r3.html", "gaudin_de_villaine_adrien1041r3")</f>
        <v>0</v>
      </c>
      <c r="H2261">
        <f>HYPERLINK("https://www.wikidata.org/wiki/Q2825178", "Q2825178")</f>
        <v>0</v>
      </c>
    </row>
    <row r="2262" spans="1:8">
      <c r="A2262" t="s">
        <v>2268</v>
      </c>
      <c r="B2262" t="s">
        <v>6958</v>
      </c>
      <c r="C2262" t="s">
        <v>9944</v>
      </c>
      <c r="D2262" t="s">
        <v>13497</v>
      </c>
      <c r="E2262" t="s">
        <v>12167</v>
      </c>
      <c r="F2262">
        <f>HYPERLINK("https://www2.assemblee-nationale.fr/sycomore/fiche/(num_dept)/8159", "8159.0")</f>
        <v>0</v>
      </c>
      <c r="H2262">
        <f>HYPERLINK("https://www.wikidata.org/wiki/Q3588282", "Q3588282")</f>
        <v>0</v>
      </c>
    </row>
    <row r="2263" spans="1:8">
      <c r="A2263" t="s">
        <v>2269</v>
      </c>
      <c r="B2263" t="s">
        <v>6958</v>
      </c>
      <c r="C2263" t="s">
        <v>10436</v>
      </c>
      <c r="D2263" t="s">
        <v>13498</v>
      </c>
      <c r="E2263" s="2">
        <v>7996</v>
      </c>
      <c r="F2263">
        <f>HYPERLINK("https://www2.assemblee-nationale.fr/sycomore/fiche/(num_dept)/7951", "7951.0")</f>
        <v>0</v>
      </c>
      <c r="H2263">
        <f>HYPERLINK("https://www.wikidata.org/wiki/Q3093543", "Q3093543")</f>
        <v>0</v>
      </c>
    </row>
    <row r="2264" spans="1:8">
      <c r="A2264" t="s">
        <v>2270</v>
      </c>
      <c r="B2264" t="s">
        <v>6959</v>
      </c>
      <c r="C2264" t="s">
        <v>10437</v>
      </c>
      <c r="D2264" t="s">
        <v>13499</v>
      </c>
      <c r="E2264" t="s">
        <v>16065</v>
      </c>
      <c r="G2264">
        <f>HYPERLINK("https://www.senat.fr/senateur-3eme-republique/gaudineau_baptiste1743r3.html", "gaudineau_baptiste1743r3")</f>
        <v>0</v>
      </c>
      <c r="H2264">
        <f>HYPERLINK("https://www.wikidata.org/wiki/Q2883661", "Q2883661")</f>
        <v>0</v>
      </c>
    </row>
    <row r="2265" spans="1:8">
      <c r="A2265" t="s">
        <v>2271</v>
      </c>
      <c r="B2265" t="s">
        <v>6960</v>
      </c>
      <c r="C2265" t="s">
        <v>10438</v>
      </c>
      <c r="D2265" t="s">
        <v>13500</v>
      </c>
      <c r="E2265" t="s">
        <v>15237</v>
      </c>
      <c r="F2265">
        <f>HYPERLINK("https://www2.assemblee-nationale.fr/sycomore/fiche/(num_dept)/8116", "8116.0")</f>
        <v>0</v>
      </c>
      <c r="G2265">
        <f>HYPERLINK("https://www.senat.fr/senateur-3eme-republique/gaudy_felix0676r3.html", "gaudy_felix0676r3")</f>
        <v>0</v>
      </c>
      <c r="H2265">
        <f>HYPERLINK("https://www.wikidata.org/wiki/Q3092448", "Q3092448")</f>
        <v>0</v>
      </c>
    </row>
    <row r="2266" spans="1:8">
      <c r="A2266" t="s">
        <v>2272</v>
      </c>
      <c r="B2266" t="s">
        <v>6961</v>
      </c>
      <c r="C2266" t="s">
        <v>10439</v>
      </c>
      <c r="D2266" t="s">
        <v>13501</v>
      </c>
      <c r="E2266" t="s">
        <v>16127</v>
      </c>
      <c r="F2266">
        <f>HYPERLINK("https://www2.assemblee-nationale.fr/sycomore/fiche/(num_dept)/18089", "18089.0")</f>
        <v>0</v>
      </c>
      <c r="H2266">
        <f>HYPERLINK("https://www.wikidata.org/wiki/Q21169591", "Q21169591")</f>
        <v>0</v>
      </c>
    </row>
    <row r="2267" spans="1:8">
      <c r="A2267" t="s">
        <v>2273</v>
      </c>
      <c r="B2267" t="s">
        <v>6962</v>
      </c>
      <c r="C2267" t="s">
        <v>7754</v>
      </c>
      <c r="D2267" t="s">
        <v>13502</v>
      </c>
      <c r="E2267" t="s">
        <v>16128</v>
      </c>
      <c r="G2267">
        <f>HYPERLINK("https://www.senat.fr/senateur-3eme-republique/gaulthier_de_rumilly_louis1477r3.html", "gaulthier_de_rumilly_louis1477r3")</f>
        <v>0</v>
      </c>
      <c r="H2267">
        <f>HYPERLINK("https://www.wikidata.org/wiki/Q3260695", "Q3260695")</f>
        <v>0</v>
      </c>
    </row>
    <row r="2268" spans="1:8">
      <c r="A2268" t="s">
        <v>2274</v>
      </c>
      <c r="B2268" t="s">
        <v>6963</v>
      </c>
      <c r="C2268" t="s">
        <v>6864</v>
      </c>
      <c r="D2268" t="s">
        <v>13503</v>
      </c>
      <c r="E2268" s="2">
        <v>23382</v>
      </c>
      <c r="F2268">
        <f>HYPERLINK("https://www2.assemblee-nationale.fr/sycomore/fiche/(num_dept)/3298", "3298.0")</f>
        <v>0</v>
      </c>
      <c r="H2268">
        <f>HYPERLINK("https://www.wikidata.org/wiki/Q3084696", "Q3084696")</f>
        <v>0</v>
      </c>
    </row>
    <row r="2269" spans="1:8">
      <c r="A2269" t="s">
        <v>2275</v>
      </c>
      <c r="B2269" t="s">
        <v>6964</v>
      </c>
      <c r="C2269" t="s">
        <v>9634</v>
      </c>
      <c r="D2269" t="s">
        <v>13504</v>
      </c>
      <c r="E2269" s="2">
        <v>1272</v>
      </c>
      <c r="F2269">
        <f>HYPERLINK("https://www2.assemblee-nationale.fr/sycomore/fiche/(num_dept)/3301", "3301.0")</f>
        <v>0</v>
      </c>
      <c r="H2269">
        <f>HYPERLINK("https://www.wikidata.org/wiki/Q3089834", "Q3089834")</f>
        <v>0</v>
      </c>
    </row>
    <row r="2270" spans="1:8">
      <c r="A2270" t="s">
        <v>2276</v>
      </c>
      <c r="B2270" t="s">
        <v>6964</v>
      </c>
      <c r="C2270" t="s">
        <v>10440</v>
      </c>
      <c r="D2270" t="s">
        <v>13505</v>
      </c>
      <c r="F2270">
        <f>HYPERLINK("https://www2.assemblee-nationale.fr/sycomore/fiche/(num_dept)/3302", "3302.0")</f>
        <v>0</v>
      </c>
      <c r="H2270">
        <f>HYPERLINK("https://www.wikidata.org/wiki/Q3484284", "Q3484284")</f>
        <v>0</v>
      </c>
    </row>
    <row r="2271" spans="1:8">
      <c r="A2271" t="s">
        <v>2277</v>
      </c>
      <c r="B2271" t="s">
        <v>6965</v>
      </c>
      <c r="C2271" t="s">
        <v>9503</v>
      </c>
      <c r="D2271" t="s">
        <v>13506</v>
      </c>
      <c r="E2271" s="2">
        <v>17587</v>
      </c>
      <c r="G2271">
        <f>HYPERLINK("https://www.senat.fr/senateur-3eme-republique/gautherot_gustave1274r3.html", "gautherot_gustave1274r3")</f>
        <v>0</v>
      </c>
      <c r="H2271">
        <f>HYPERLINK("https://www.wikidata.org/wiki/Q661623", "Q661623")</f>
        <v>0</v>
      </c>
    </row>
    <row r="2272" spans="1:8">
      <c r="A2272" t="s">
        <v>2278</v>
      </c>
      <c r="B2272" t="s">
        <v>6966</v>
      </c>
      <c r="C2272" t="s">
        <v>5117</v>
      </c>
      <c r="D2272" t="s">
        <v>13507</v>
      </c>
      <c r="E2272" s="2">
        <v>9627</v>
      </c>
      <c r="H2272">
        <f>HYPERLINK("https://www.wikidata.org/wiki/Q2861852", "Q2861852")</f>
        <v>0</v>
      </c>
    </row>
    <row r="2273" spans="1:8">
      <c r="A2273" t="s">
        <v>2279</v>
      </c>
      <c r="B2273" t="s">
        <v>6967</v>
      </c>
      <c r="C2273" t="s">
        <v>9503</v>
      </c>
      <c r="D2273" t="s">
        <v>13508</v>
      </c>
      <c r="E2273" s="2">
        <v>3497</v>
      </c>
      <c r="G2273">
        <f>HYPERLINK("https://www.senat.fr/senateur-3eme-republique/gauthier_gustave1184r3.html", "gauthier_gustave1184r3")</f>
        <v>0</v>
      </c>
      <c r="H2273">
        <f>HYPERLINK("https://www.wikidata.org/wiki/Q3121198", "Q3121198")</f>
        <v>0</v>
      </c>
    </row>
    <row r="2274" spans="1:8">
      <c r="A2274" t="s">
        <v>2280</v>
      </c>
      <c r="B2274" t="s">
        <v>6967</v>
      </c>
      <c r="C2274" t="s">
        <v>5117</v>
      </c>
      <c r="D2274" t="s">
        <v>13509</v>
      </c>
      <c r="E2274" s="2">
        <v>9626</v>
      </c>
      <c r="G2274">
        <f>HYPERLINK("https://www.senat.fr/senateur-3eme-republique/gauthier_armand0264r3.html", "gauthier_armand0264r3")</f>
        <v>0</v>
      </c>
      <c r="H2274">
        <f>HYPERLINK("https://www.wikidata.org/wiki/Q2861852", "Q2861852")</f>
        <v>0</v>
      </c>
    </row>
    <row r="2275" spans="1:8">
      <c r="A2275" t="s">
        <v>2281</v>
      </c>
      <c r="B2275" t="s">
        <v>6968</v>
      </c>
      <c r="C2275" t="s">
        <v>7782</v>
      </c>
      <c r="D2275" t="s">
        <v>13510</v>
      </c>
      <c r="E2275" s="2">
        <v>12215</v>
      </c>
      <c r="F2275">
        <f>HYPERLINK("https://www2.assemblee-nationale.fr/sycomore/fiche/(num_dept)/3307", "3307.0")</f>
        <v>0</v>
      </c>
      <c r="H2275">
        <f>HYPERLINK("https://www.wikidata.org/wiki/Q18214813", "Q18214813")</f>
        <v>0</v>
      </c>
    </row>
    <row r="2276" spans="1:8">
      <c r="A2276" t="s">
        <v>2282</v>
      </c>
      <c r="B2276" t="s">
        <v>6968</v>
      </c>
      <c r="C2276" t="s">
        <v>10441</v>
      </c>
      <c r="D2276" t="s">
        <v>13511</v>
      </c>
      <c r="E2276" s="2">
        <v>13392</v>
      </c>
      <c r="F2276">
        <f>HYPERLINK("https://www2.assemblee-nationale.fr/sycomore/fiche/(num_dept)/3309", "3309.0")</f>
        <v>0</v>
      </c>
      <c r="H2276">
        <f>HYPERLINK("https://www.wikidata.org/wiki/Q16025754", "Q16025754")</f>
        <v>0</v>
      </c>
    </row>
    <row r="2277" spans="1:8">
      <c r="A2277" t="s">
        <v>2283</v>
      </c>
      <c r="B2277" t="s">
        <v>6969</v>
      </c>
      <c r="C2277" t="s">
        <v>9918</v>
      </c>
      <c r="D2277" t="s">
        <v>13512</v>
      </c>
      <c r="E2277" s="2">
        <v>20417</v>
      </c>
      <c r="G2277">
        <f>HYPERLINK("https://www.senat.fr/senateur-3eme-republique/gautier_fernand0260r3.html", "gautier_fernand0260r3")</f>
        <v>0</v>
      </c>
      <c r="H2277">
        <f>HYPERLINK("https://www.wikidata.org/wiki/Q3069165", "Q3069165")</f>
        <v>0</v>
      </c>
    </row>
    <row r="2278" spans="1:8">
      <c r="A2278" t="s">
        <v>2284</v>
      </c>
      <c r="B2278" t="s">
        <v>6968</v>
      </c>
      <c r="C2278" t="s">
        <v>7942</v>
      </c>
      <c r="D2278" t="s">
        <v>13513</v>
      </c>
      <c r="E2278" s="2">
        <v>23911</v>
      </c>
      <c r="F2278">
        <f>HYPERLINK("https://www2.assemblee-nationale.fr/sycomore/fiche/(num_dept)/3308", "3308.0")</f>
        <v>0</v>
      </c>
      <c r="H2278">
        <f>HYPERLINK("https://www.wikidata.org/wiki/Q16025753", "Q16025753")</f>
        <v>0</v>
      </c>
    </row>
    <row r="2279" spans="1:8">
      <c r="A2279" t="s">
        <v>2285</v>
      </c>
      <c r="B2279" t="s">
        <v>6970</v>
      </c>
      <c r="C2279" t="s">
        <v>10442</v>
      </c>
      <c r="D2279" t="s">
        <v>13514</v>
      </c>
      <c r="E2279" s="2">
        <v>4597</v>
      </c>
      <c r="F2279">
        <f>HYPERLINK("https://www2.assemblee-nationale.fr/sycomore/fiche/(num_dept)/3311", "3311.0")</f>
        <v>0</v>
      </c>
      <c r="H2279">
        <f>HYPERLINK("https://www.wikidata.org/wiki/Q3069166", "Q3069166")</f>
        <v>0</v>
      </c>
    </row>
    <row r="2280" spans="1:8">
      <c r="A2280" t="s">
        <v>2286</v>
      </c>
      <c r="B2280" t="s">
        <v>6971</v>
      </c>
      <c r="C2280" t="s">
        <v>7314</v>
      </c>
      <c r="D2280" t="s">
        <v>13515</v>
      </c>
      <c r="E2280" s="2">
        <v>27032</v>
      </c>
      <c r="G2280">
        <f>HYPERLINK("https://www.senat.fr/senateur-3eme-republique/gautron_jacques0774r3.html", "gautron_jacques0774r3")</f>
        <v>0</v>
      </c>
      <c r="H2280">
        <f>HYPERLINK("https://www.wikidata.org/wiki/Q3158981", "Q3158981")</f>
        <v>0</v>
      </c>
    </row>
    <row r="2281" spans="1:8">
      <c r="A2281" t="s">
        <v>2287</v>
      </c>
      <c r="B2281" t="s">
        <v>6972</v>
      </c>
      <c r="C2281" t="s">
        <v>10443</v>
      </c>
      <c r="D2281" t="s">
        <v>11860</v>
      </c>
      <c r="E2281" s="2">
        <v>11493</v>
      </c>
      <c r="F2281">
        <f>HYPERLINK("https://www2.assemblee-nationale.fr/sycomore/fiche/(num_dept)/3312", "3312.0")</f>
        <v>0</v>
      </c>
      <c r="H2281">
        <f>HYPERLINK("https://www.wikidata.org/wiki/Q3061098", "Q3061098")</f>
        <v>0</v>
      </c>
    </row>
    <row r="2282" spans="1:8">
      <c r="A2282" t="s">
        <v>2288</v>
      </c>
      <c r="B2282" t="s">
        <v>6973</v>
      </c>
      <c r="C2282" t="s">
        <v>10443</v>
      </c>
      <c r="D2282" t="s">
        <v>13516</v>
      </c>
      <c r="E2282" s="2">
        <v>11493</v>
      </c>
      <c r="G2282">
        <f>HYPERLINK("https://www.senat.fr/senateur-3eme-republique/gauvin_eusebe0384r3.html", "gauvin_eusebe0384r3")</f>
        <v>0</v>
      </c>
      <c r="H2282">
        <f>HYPERLINK("https://www.wikidata.org/wiki/Q3061098", "Q3061098")</f>
        <v>0</v>
      </c>
    </row>
    <row r="2283" spans="1:8">
      <c r="A2283" t="s">
        <v>2289</v>
      </c>
      <c r="B2283" t="s">
        <v>6972</v>
      </c>
      <c r="C2283" t="s">
        <v>9320</v>
      </c>
      <c r="D2283" t="s">
        <v>11550</v>
      </c>
      <c r="E2283" s="2">
        <v>13074</v>
      </c>
      <c r="F2283">
        <f>HYPERLINK("https://www2.assemblee-nationale.fr/sycomore/fiche/(num_dept)/3313", "3313.0")</f>
        <v>0</v>
      </c>
      <c r="H2283">
        <f>HYPERLINK("https://www.wikidata.org/wiki/Q8299156", "Q8299156")</f>
        <v>0</v>
      </c>
    </row>
    <row r="2284" spans="1:8">
      <c r="A2284" t="s">
        <v>2290</v>
      </c>
      <c r="B2284" t="s">
        <v>6974</v>
      </c>
      <c r="C2284" t="s">
        <v>6413</v>
      </c>
      <c r="D2284" t="s">
        <v>13517</v>
      </c>
      <c r="E2284" s="2">
        <v>5906</v>
      </c>
      <c r="F2284">
        <f>HYPERLINK("https://www2.assemblee-nationale.fr/sycomore/fiche/(num_dept)/3315", "3315.0")</f>
        <v>0</v>
      </c>
      <c r="H2284">
        <f>HYPERLINK("https://www.wikidata.org/wiki/Q3022696", "Q3022696")</f>
        <v>0</v>
      </c>
    </row>
    <row r="2285" spans="1:8">
      <c r="A2285" t="s">
        <v>2291</v>
      </c>
      <c r="B2285" t="s">
        <v>6974</v>
      </c>
      <c r="C2285" t="s">
        <v>9533</v>
      </c>
      <c r="D2285" t="s">
        <v>13518</v>
      </c>
      <c r="E2285" s="2">
        <v>14182</v>
      </c>
      <c r="F2285">
        <f>HYPERLINK("https://www2.assemblee-nationale.fr/sycomore/fiche/(num_dept)/3314", "3314.0")</f>
        <v>0</v>
      </c>
      <c r="G2285">
        <f>HYPERLINK("https://www.senat.fr/senateur-3eme-republique/gavini_antoine0491r3.html", "gavini_antoine0491r3")</f>
        <v>0</v>
      </c>
      <c r="H2285">
        <f>HYPERLINK("https://www.wikidata.org/wiki/Q2853978", "Q2853978")</f>
        <v>0</v>
      </c>
    </row>
    <row r="2286" spans="1:8">
      <c r="A2286" t="s">
        <v>2292</v>
      </c>
      <c r="B2286" t="s">
        <v>6974</v>
      </c>
      <c r="C2286" t="s">
        <v>10444</v>
      </c>
      <c r="D2286" t="s">
        <v>13519</v>
      </c>
      <c r="E2286" s="2">
        <v>14182</v>
      </c>
      <c r="F2286">
        <f>HYPERLINK("https://www2.assemblee-nationale.fr/sycomore/fiche/(num_dept)/3317", "3317.0")</f>
        <v>0</v>
      </c>
      <c r="H2286">
        <f>HYPERLINK("https://www.wikidata.org/wiki/Q3510093", "Q3510093")</f>
        <v>0</v>
      </c>
    </row>
    <row r="2287" spans="1:8">
      <c r="A2287" t="s">
        <v>2293</v>
      </c>
      <c r="B2287" t="s">
        <v>6975</v>
      </c>
      <c r="C2287" t="s">
        <v>9386</v>
      </c>
      <c r="D2287" t="s">
        <v>12278</v>
      </c>
      <c r="E2287" s="2">
        <v>13535</v>
      </c>
      <c r="F2287">
        <f>HYPERLINK("https://www2.assemblee-nationale.fr/sycomore/fiche/(num_dept)/3318", "3318.0")</f>
        <v>0</v>
      </c>
      <c r="H2287">
        <f>HYPERLINK("https://www.wikidata.org/wiki/Q16025756", "Q16025756")</f>
        <v>0</v>
      </c>
    </row>
    <row r="2288" spans="1:8">
      <c r="A2288" t="s">
        <v>2294</v>
      </c>
      <c r="B2288" t="s">
        <v>6976</v>
      </c>
      <c r="C2288" t="s">
        <v>10445</v>
      </c>
      <c r="D2288" t="s">
        <v>13520</v>
      </c>
      <c r="E2288" s="2">
        <v>589</v>
      </c>
      <c r="F2288">
        <f>HYPERLINK("https://www2.assemblee-nationale.fr/sycomore/fiche/(num_dept)/7585", "7585.0")</f>
        <v>0</v>
      </c>
      <c r="H2288">
        <f>HYPERLINK("https://www.wikidata.org/wiki/Q16025958", "Q16025958")</f>
        <v>0</v>
      </c>
    </row>
    <row r="2289" spans="1:8">
      <c r="A2289" t="s">
        <v>2295</v>
      </c>
      <c r="B2289" t="s">
        <v>6977</v>
      </c>
      <c r="C2289" t="s">
        <v>9851</v>
      </c>
      <c r="D2289" t="s">
        <v>13521</v>
      </c>
      <c r="E2289" s="2">
        <v>11024</v>
      </c>
      <c r="G2289">
        <f>HYPERLINK("https://www.senat.fr/senateur-3eme-republique/gay_de_savary_hippolyte1696r3.html", "gay_de_savary_hippolyte1696r3")</f>
        <v>0</v>
      </c>
      <c r="H2289">
        <f>HYPERLINK("https://www.wikidata.org/wiki/Q2825179", "Q2825179")</f>
        <v>0</v>
      </c>
    </row>
    <row r="2290" spans="1:8">
      <c r="A2290" t="s">
        <v>2296</v>
      </c>
      <c r="B2290" t="s">
        <v>6978</v>
      </c>
      <c r="C2290" t="s">
        <v>9438</v>
      </c>
      <c r="D2290" t="s">
        <v>13522</v>
      </c>
      <c r="E2290" s="2">
        <v>1463</v>
      </c>
      <c r="F2290">
        <f>HYPERLINK("https://www2.assemblee-nationale.fr/sycomore/fiche/(num_dept)/3321", "3321.0")</f>
        <v>0</v>
      </c>
      <c r="H2290">
        <f>HYPERLINK("https://www.wikidata.org/wiki/Q15969762", "Q15969762")</f>
        <v>0</v>
      </c>
    </row>
    <row r="2291" spans="1:8">
      <c r="A2291" t="s">
        <v>2297</v>
      </c>
      <c r="B2291" t="s">
        <v>6979</v>
      </c>
      <c r="C2291" t="s">
        <v>6864</v>
      </c>
      <c r="D2291" t="s">
        <v>13523</v>
      </c>
      <c r="E2291" s="2">
        <v>18713</v>
      </c>
      <c r="G2291">
        <f>HYPERLINK("https://www.senat.fr/senateur-3eme-republique/gay_francois1265r3.html", "gay_francois1265r3")</f>
        <v>0</v>
      </c>
      <c r="H2291">
        <f>HYPERLINK("https://www.wikidata.org/wiki/Q3084708", "Q3084708")</f>
        <v>0</v>
      </c>
    </row>
    <row r="2292" spans="1:8">
      <c r="A2292" t="s">
        <v>2298</v>
      </c>
      <c r="B2292" t="s">
        <v>6978</v>
      </c>
      <c r="C2292" t="s">
        <v>9430</v>
      </c>
      <c r="D2292" t="s">
        <v>13524</v>
      </c>
      <c r="E2292" s="2">
        <v>13904</v>
      </c>
      <c r="F2292">
        <f>HYPERLINK("https://www2.assemblee-nationale.fr/sycomore/fiche/(num_dept)/3320", "3320.0")</f>
        <v>0</v>
      </c>
      <c r="H2292">
        <f>HYPERLINK("https://www.wikidata.org/wiki/Q8317080", "Q8317080")</f>
        <v>0</v>
      </c>
    </row>
    <row r="2293" spans="1:8">
      <c r="A2293" t="s">
        <v>2299</v>
      </c>
      <c r="B2293" t="s">
        <v>6980</v>
      </c>
      <c r="C2293" t="s">
        <v>9524</v>
      </c>
      <c r="D2293" t="s">
        <v>13525</v>
      </c>
      <c r="E2293" s="2">
        <v>3359</v>
      </c>
      <c r="G2293">
        <f>HYPERLINK("https://www.senat.fr/senateur-3eme-republique/gayot_emile0221r3.html", "gayot_emile0221r3")</f>
        <v>0</v>
      </c>
      <c r="H2293">
        <f>HYPERLINK("https://www.wikidata.org/wiki/Q3588530", "Q3588530")</f>
        <v>0</v>
      </c>
    </row>
    <row r="2294" spans="1:8">
      <c r="A2294" t="s">
        <v>2300</v>
      </c>
      <c r="B2294" t="s">
        <v>6981</v>
      </c>
      <c r="C2294" t="s">
        <v>9851</v>
      </c>
      <c r="D2294" t="s">
        <v>13526</v>
      </c>
      <c r="E2294" s="2">
        <v>4368</v>
      </c>
      <c r="F2294">
        <f>HYPERLINK("https://www2.assemblee-nationale.fr/sycomore/fiche/(num_dept)/3325", "3325.0")</f>
        <v>0</v>
      </c>
      <c r="H2294">
        <f>HYPERLINK("https://www.wikidata.org/wiki/Q2820867", "Q2820867")</f>
        <v>0</v>
      </c>
    </row>
    <row r="2295" spans="1:8">
      <c r="A2295" t="s">
        <v>2301</v>
      </c>
      <c r="B2295" t="s">
        <v>6982</v>
      </c>
      <c r="C2295" t="s">
        <v>9414</v>
      </c>
      <c r="D2295" t="s">
        <v>13527</v>
      </c>
      <c r="G2295">
        <f>HYPERLINK("https://www.senat.fr/senateur-3eme-republique/gazagne_ferdinand0825r3.html", "gazagne_ferdinand0825r3")</f>
        <v>0</v>
      </c>
      <c r="H2295">
        <f>HYPERLINK("https://www.wikidata.org/wiki/Q1405304", "Q1405304")</f>
        <v>0</v>
      </c>
    </row>
    <row r="2296" spans="1:8">
      <c r="A2296" t="s">
        <v>2302</v>
      </c>
      <c r="B2296" t="s">
        <v>6983</v>
      </c>
      <c r="C2296" t="s">
        <v>10444</v>
      </c>
      <c r="D2296" t="s">
        <v>13528</v>
      </c>
      <c r="E2296" s="2">
        <v>12832</v>
      </c>
      <c r="G2296">
        <f>HYPERLINK("https://www.senat.fr/senateur-3eme-republique/gegauff_sebastien1117r3.html", "gegauff_sebastien1117r3")</f>
        <v>0</v>
      </c>
      <c r="H2296">
        <f>HYPERLINK("https://www.wikidata.org/wiki/Q3510095", "Q3510095")</f>
        <v>0</v>
      </c>
    </row>
    <row r="2297" spans="1:8">
      <c r="A2297" t="s">
        <v>2303</v>
      </c>
      <c r="B2297" t="s">
        <v>6984</v>
      </c>
      <c r="C2297" t="s">
        <v>8006</v>
      </c>
      <c r="D2297" t="s">
        <v>13529</v>
      </c>
      <c r="E2297" s="2">
        <v>23489</v>
      </c>
      <c r="F2297">
        <f>HYPERLINK("https://www2.assemblee-nationale.fr/sycomore/fiche/(num_dept)/3328", "3328.0")</f>
        <v>0</v>
      </c>
      <c r="H2297">
        <f>HYPERLINK("https://www.wikidata.org/wiki/Q3309731", "Q3309731")</f>
        <v>0</v>
      </c>
    </row>
    <row r="2298" spans="1:8">
      <c r="A2298" t="s">
        <v>2304</v>
      </c>
      <c r="B2298" t="s">
        <v>6985</v>
      </c>
      <c r="C2298" t="s">
        <v>9524</v>
      </c>
      <c r="D2298" t="s">
        <v>13530</v>
      </c>
      <c r="E2298" s="2">
        <v>22757</v>
      </c>
      <c r="F2298">
        <f>HYPERLINK("https://www2.assemblee-nationale.fr/sycomore/fiche/(num_dept)/3332", "3332.0")</f>
        <v>0</v>
      </c>
      <c r="H2298">
        <f>HYPERLINK("https://www.wikidata.org/wiki/Q3588531", "Q3588531")</f>
        <v>0</v>
      </c>
    </row>
    <row r="2299" spans="1:8">
      <c r="A2299" t="s">
        <v>2305</v>
      </c>
      <c r="B2299" t="s">
        <v>6986</v>
      </c>
      <c r="C2299" t="s">
        <v>9332</v>
      </c>
      <c r="D2299" t="s">
        <v>13531</v>
      </c>
      <c r="E2299" s="2">
        <v>3431</v>
      </c>
      <c r="F2299">
        <f>HYPERLINK("https://www2.assemblee-nationale.fr/sycomore/fiche/(num_dept)/3330", "3330.0")</f>
        <v>0</v>
      </c>
      <c r="H2299">
        <f>HYPERLINK("https://www.wikidata.org/wiki/Q16025759", "Q16025759")</f>
        <v>0</v>
      </c>
    </row>
    <row r="2300" spans="1:8">
      <c r="A2300" t="s">
        <v>2306</v>
      </c>
      <c r="B2300" t="s">
        <v>6987</v>
      </c>
      <c r="C2300" t="s">
        <v>9386</v>
      </c>
      <c r="D2300" t="s">
        <v>13532</v>
      </c>
      <c r="E2300" s="2">
        <v>6407</v>
      </c>
      <c r="F2300">
        <f>HYPERLINK("https://www2.assemblee-nationale.fr/sycomore/fiche/(num_dept)/3333", "3333.0")</f>
        <v>0</v>
      </c>
      <c r="H2300">
        <f>HYPERLINK("https://www.wikidata.org/wiki/Q16025761", "Q16025761")</f>
        <v>0</v>
      </c>
    </row>
    <row r="2301" spans="1:8">
      <c r="A2301" t="s">
        <v>2307</v>
      </c>
      <c r="B2301" t="s">
        <v>6988</v>
      </c>
      <c r="C2301" t="s">
        <v>9368</v>
      </c>
      <c r="D2301" t="s">
        <v>13533</v>
      </c>
      <c r="E2301" s="2">
        <v>1573</v>
      </c>
      <c r="F2301">
        <f>HYPERLINK("https://www2.assemblee-nationale.fr/sycomore/fiche/(num_dept)/3336", "3336.0")</f>
        <v>0</v>
      </c>
      <c r="H2301">
        <f>HYPERLINK("https://www.wikidata.org/wiki/Q9295203", "Q9295203")</f>
        <v>0</v>
      </c>
    </row>
    <row r="2302" spans="1:8">
      <c r="A2302" t="s">
        <v>2308</v>
      </c>
      <c r="B2302" t="s">
        <v>6989</v>
      </c>
      <c r="C2302" t="s">
        <v>7001</v>
      </c>
      <c r="D2302" t="s">
        <v>13534</v>
      </c>
      <c r="E2302" s="2">
        <v>7201</v>
      </c>
      <c r="G2302">
        <f>HYPERLINK("https://www.senat.fr/senateur-3eme-republique/genet_georges0420r3.html", "genet_georges0420r3")</f>
        <v>0</v>
      </c>
      <c r="H2302">
        <f>HYPERLINK("https://www.wikidata.org/wiki/Q3102767", "Q3102767")</f>
        <v>0</v>
      </c>
    </row>
    <row r="2303" spans="1:8">
      <c r="A2303" t="s">
        <v>2309</v>
      </c>
      <c r="B2303" t="s">
        <v>6990</v>
      </c>
      <c r="C2303" t="s">
        <v>9377</v>
      </c>
      <c r="D2303" t="s">
        <v>13535</v>
      </c>
      <c r="E2303" s="2">
        <v>14538</v>
      </c>
      <c r="F2303">
        <f>HYPERLINK("https://www2.assemblee-nationale.fr/sycomore/fiche/(num_dept)/3342", "3342.0")</f>
        <v>0</v>
      </c>
      <c r="H2303">
        <f>HYPERLINK("https://www.wikidata.org/wiki/Q3265538", "Q3265538")</f>
        <v>0</v>
      </c>
    </row>
    <row r="2304" spans="1:8">
      <c r="A2304" t="s">
        <v>2310</v>
      </c>
      <c r="B2304" t="s">
        <v>6991</v>
      </c>
      <c r="C2304" t="s">
        <v>9438</v>
      </c>
      <c r="D2304" t="s">
        <v>13536</v>
      </c>
      <c r="E2304" s="2">
        <v>8998</v>
      </c>
      <c r="G2304">
        <f>HYPERLINK("https://www.senat.fr/senateur-3eme-republique/genoux_prachee_victor1171r3.html", "genoux_prachee_victor1171r3")</f>
        <v>0</v>
      </c>
      <c r="H2304">
        <f>HYPERLINK("https://www.wikidata.org/wiki/Q3557323", "Q3557323")</f>
        <v>0</v>
      </c>
    </row>
    <row r="2305" spans="1:8">
      <c r="A2305" t="s">
        <v>2311</v>
      </c>
      <c r="B2305" t="s">
        <v>6992</v>
      </c>
      <c r="C2305" t="s">
        <v>9438</v>
      </c>
      <c r="D2305" t="s">
        <v>13536</v>
      </c>
      <c r="E2305" s="2">
        <v>8998</v>
      </c>
      <c r="F2305">
        <f>HYPERLINK("https://www2.assemblee-nationale.fr/sycomore/fiche/(num_dept)/3343", "3343.0")</f>
        <v>0</v>
      </c>
      <c r="H2305">
        <f>HYPERLINK("https://www.wikidata.org/wiki/Q3557323", "Q3557323")</f>
        <v>0</v>
      </c>
    </row>
    <row r="2306" spans="1:8">
      <c r="A2306" t="s">
        <v>2312</v>
      </c>
      <c r="B2306" t="s">
        <v>6993</v>
      </c>
      <c r="C2306" t="s">
        <v>10446</v>
      </c>
      <c r="D2306" t="s">
        <v>13537</v>
      </c>
      <c r="E2306" t="s">
        <v>16129</v>
      </c>
      <c r="F2306">
        <f>HYPERLINK("https://www2.assemblee-nationale.fr/sycomore/fiche/(num_dept)/8282", "8282.0")</f>
        <v>0</v>
      </c>
      <c r="G2306">
        <f>HYPERLINK("https://www.senat.fr/senateur-3eme-republique/gent_alphonse1701r3.html", "gent_alphonse1701r3")</f>
        <v>0</v>
      </c>
      <c r="H2306">
        <f>HYPERLINK("https://www.wikidata.org/wiki/Q2839812", "Q2839812")</f>
        <v>0</v>
      </c>
    </row>
    <row r="2307" spans="1:8">
      <c r="A2307" t="s">
        <v>2313</v>
      </c>
      <c r="B2307" t="s">
        <v>6994</v>
      </c>
      <c r="C2307" t="s">
        <v>9851</v>
      </c>
      <c r="D2307" t="s">
        <v>13538</v>
      </c>
      <c r="E2307" s="2">
        <v>13035</v>
      </c>
      <c r="G2307">
        <f>HYPERLINK("https://www.senat.fr/senateur-3eme-republique/gentil_hippolyte1639r3.html", "gentil_hippolyte1639r3")</f>
        <v>0</v>
      </c>
      <c r="H2307">
        <f>HYPERLINK("https://www.wikidata.org/wiki/Q3136063", "Q3136063")</f>
        <v>0</v>
      </c>
    </row>
    <row r="2308" spans="1:8">
      <c r="A2308" t="s">
        <v>2314</v>
      </c>
      <c r="B2308" t="s">
        <v>6995</v>
      </c>
      <c r="C2308" t="s">
        <v>9851</v>
      </c>
      <c r="D2308" t="s">
        <v>13539</v>
      </c>
      <c r="E2308" s="2">
        <v>13035</v>
      </c>
      <c r="F2308">
        <f>HYPERLINK("https://www2.assemblee-nationale.fr/sycomore/fiche/(num_dept)/3345", "3345.0")</f>
        <v>0</v>
      </c>
      <c r="H2308">
        <f>HYPERLINK("https://www.wikidata.org/wiki/Q3136063", "Q3136063")</f>
        <v>0</v>
      </c>
    </row>
    <row r="2309" spans="1:8">
      <c r="A2309" t="s">
        <v>2315</v>
      </c>
      <c r="B2309" t="s">
        <v>6996</v>
      </c>
      <c r="C2309" t="s">
        <v>9355</v>
      </c>
      <c r="D2309" t="s">
        <v>13540</v>
      </c>
      <c r="E2309" s="2">
        <v>6986</v>
      </c>
      <c r="G2309">
        <f>HYPERLINK("https://www.senat.fr/senateur-3eme-republique/gentilliez_charles0037r3.html", "gentilliez_charles0037r3")</f>
        <v>0</v>
      </c>
      <c r="H2309">
        <f>HYPERLINK("https://www.wikidata.org/wiki/Q2959187", "Q2959187")</f>
        <v>0</v>
      </c>
    </row>
    <row r="2310" spans="1:8">
      <c r="A2310" t="s">
        <v>2316</v>
      </c>
      <c r="B2310" t="s">
        <v>6997</v>
      </c>
      <c r="C2310" t="s">
        <v>9918</v>
      </c>
      <c r="D2310" t="s">
        <v>13541</v>
      </c>
      <c r="E2310" s="2">
        <v>16916</v>
      </c>
      <c r="F2310">
        <f>HYPERLINK("https://www2.assemblee-nationale.fr/sycomore/fiche/(num_dept)/3346", "3346.0")</f>
        <v>0</v>
      </c>
      <c r="H2310">
        <f>HYPERLINK("https://www.wikidata.org/wiki/Q3069167", "Q3069167")</f>
        <v>0</v>
      </c>
    </row>
    <row r="2311" spans="1:8">
      <c r="A2311" t="s">
        <v>2317</v>
      </c>
      <c r="B2311" t="s">
        <v>6998</v>
      </c>
      <c r="C2311" t="s">
        <v>5096</v>
      </c>
      <c r="D2311" t="s">
        <v>13542</v>
      </c>
      <c r="E2311" s="2">
        <v>25232</v>
      </c>
      <c r="F2311">
        <f>HYPERLINK("https://www2.assemblee-nationale.fr/sycomore/fiche/(num_dept)/3348", "3348.0")</f>
        <v>0</v>
      </c>
      <c r="H2311">
        <f>HYPERLINK("https://www.wikidata.org/wiki/Q2847827", "Q2847827")</f>
        <v>0</v>
      </c>
    </row>
    <row r="2312" spans="1:8">
      <c r="A2312" t="s">
        <v>2318</v>
      </c>
      <c r="B2312" t="s">
        <v>6999</v>
      </c>
      <c r="C2312" t="s">
        <v>6686</v>
      </c>
      <c r="D2312" t="s">
        <v>13543</v>
      </c>
      <c r="E2312" s="2">
        <v>17526</v>
      </c>
      <c r="F2312">
        <f>HYPERLINK("https://www2.assemblee-nationale.fr/sycomore/fiche/(num_dept)/3353", "3353.0")</f>
        <v>0</v>
      </c>
      <c r="H2312">
        <f>HYPERLINK("https://www.wikidata.org/wiki/Q3592180", "Q3592180")</f>
        <v>0</v>
      </c>
    </row>
    <row r="2313" spans="1:8">
      <c r="A2313" t="s">
        <v>2319</v>
      </c>
      <c r="B2313" t="s">
        <v>7000</v>
      </c>
      <c r="C2313" t="s">
        <v>10447</v>
      </c>
      <c r="D2313" t="s">
        <v>13544</v>
      </c>
      <c r="G2313">
        <f>HYPERLINK("https://www.senat.fr/senateur-3eme-republique/george_eustache1808r3.html", "george_eustache1808r3")</f>
        <v>0</v>
      </c>
      <c r="H2313">
        <f>HYPERLINK("https://www.wikidata.org/wiki/Q3588533", "Q3588533")</f>
        <v>0</v>
      </c>
    </row>
    <row r="2314" spans="1:8">
      <c r="A2314" t="s">
        <v>2320</v>
      </c>
      <c r="B2314" t="s">
        <v>7001</v>
      </c>
      <c r="C2314" t="s">
        <v>8653</v>
      </c>
      <c r="D2314" t="s">
        <v>13545</v>
      </c>
      <c r="E2314" s="2">
        <v>23050</v>
      </c>
      <c r="F2314">
        <f>HYPERLINK("https://www2.assemblee-nationale.fr/sycomore/fiche/(num_dept)/3356", "3356.0")</f>
        <v>0</v>
      </c>
      <c r="H2314">
        <f>HYPERLINK("https://www.wikidata.org/wiki/Q8325344", "Q8325344")</f>
        <v>0</v>
      </c>
    </row>
    <row r="2315" spans="1:8">
      <c r="A2315" t="s">
        <v>2321</v>
      </c>
      <c r="B2315" t="s">
        <v>7002</v>
      </c>
      <c r="C2315" t="s">
        <v>5058</v>
      </c>
      <c r="D2315" t="s">
        <v>13546</v>
      </c>
      <c r="E2315" s="2">
        <v>15737</v>
      </c>
      <c r="G2315">
        <f>HYPERLINK("https://www.senat.fr/senateur-3eme-republique/gerard_albert0168r3.html", "gerard_albert0168r3")</f>
        <v>0</v>
      </c>
      <c r="H2315">
        <f>HYPERLINK("https://www.wikidata.org/wiki/Q2831224", "Q2831224")</f>
        <v>0</v>
      </c>
    </row>
    <row r="2316" spans="1:8">
      <c r="A2316" t="s">
        <v>2322</v>
      </c>
      <c r="B2316" t="s">
        <v>7003</v>
      </c>
      <c r="C2316" t="s">
        <v>9430</v>
      </c>
      <c r="D2316" t="s">
        <v>13547</v>
      </c>
      <c r="E2316" t="s">
        <v>16130</v>
      </c>
      <c r="F2316">
        <f>HYPERLINK("https://www2.assemblee-nationale.fr/sycomore/fiche/(num_dept)/3366", "3366.0")</f>
        <v>0</v>
      </c>
      <c r="H2316">
        <f>HYPERLINK("https://www.wikidata.org/wiki/Q16025766", "Q16025766")</f>
        <v>0</v>
      </c>
    </row>
    <row r="2317" spans="1:8">
      <c r="A2317" t="s">
        <v>2323</v>
      </c>
      <c r="B2317" t="s">
        <v>7004</v>
      </c>
      <c r="C2317" t="s">
        <v>9430</v>
      </c>
      <c r="D2317" t="s">
        <v>13140</v>
      </c>
      <c r="E2317" s="2">
        <v>9181</v>
      </c>
      <c r="G2317">
        <f>HYPERLINK("https://www.senat.fr/senateur-3eme-republique/gerbe_paul1230r3.html", "gerbe_paul1230r3")</f>
        <v>0</v>
      </c>
      <c r="H2317">
        <f>HYPERLINK("https://www.wikidata.org/wiki/Q3371305", "Q3371305")</f>
        <v>0</v>
      </c>
    </row>
    <row r="2318" spans="1:8">
      <c r="A2318" t="s">
        <v>2324</v>
      </c>
      <c r="B2318" t="s">
        <v>7005</v>
      </c>
      <c r="C2318" t="s">
        <v>6864</v>
      </c>
      <c r="D2318" t="s">
        <v>13548</v>
      </c>
      <c r="E2318" s="2">
        <v>18195</v>
      </c>
      <c r="F2318">
        <f>HYPERLINK("https://www2.assemblee-nationale.fr/sycomore/fiche/(num_dept)/3369", "3369.0")</f>
        <v>0</v>
      </c>
      <c r="H2318">
        <f>HYPERLINK("https://www.wikidata.org/wiki/Q16025767", "Q16025767")</f>
        <v>0</v>
      </c>
    </row>
    <row r="2319" spans="1:8">
      <c r="A2319" t="s">
        <v>2325</v>
      </c>
      <c r="B2319" t="s">
        <v>7006</v>
      </c>
      <c r="C2319" t="s">
        <v>9430</v>
      </c>
      <c r="D2319" t="s">
        <v>13549</v>
      </c>
      <c r="E2319" s="2">
        <v>4935</v>
      </c>
      <c r="G2319">
        <f>HYPERLINK("https://www.senat.fr/senateur-3eme-republique/gerente_paul0838r3.html", "gerente_paul0838r3")</f>
        <v>0</v>
      </c>
      <c r="H2319">
        <f>HYPERLINK("https://www.wikidata.org/wiki/Q20027762", "Q20027762")</f>
        <v>0</v>
      </c>
    </row>
    <row r="2320" spans="1:8">
      <c r="A2320" t="s">
        <v>2326</v>
      </c>
      <c r="B2320" t="s">
        <v>7007</v>
      </c>
      <c r="C2320" t="s">
        <v>10448</v>
      </c>
      <c r="D2320" t="s">
        <v>13550</v>
      </c>
      <c r="E2320" s="2">
        <v>17810</v>
      </c>
      <c r="F2320">
        <f>HYPERLINK("https://www2.assemblee-nationale.fr/sycomore/fiche/(num_dept)/3378", "3378.0")</f>
        <v>0</v>
      </c>
      <c r="H2320">
        <f>HYPERLINK("https://www.wikidata.org/wiki/Q3262030", "Q3262030")</f>
        <v>0</v>
      </c>
    </row>
    <row r="2321" spans="1:8">
      <c r="A2321" t="s">
        <v>2327</v>
      </c>
      <c r="B2321" t="s">
        <v>7008</v>
      </c>
      <c r="C2321" t="s">
        <v>10449</v>
      </c>
      <c r="D2321" t="s">
        <v>13551</v>
      </c>
      <c r="E2321" s="2">
        <v>1860</v>
      </c>
      <c r="F2321">
        <f>HYPERLINK("https://www2.assemblee-nationale.fr/sycomore/fiche/(num_dept)/3372", "3372.0")</f>
        <v>0</v>
      </c>
      <c r="H2321">
        <f>HYPERLINK("https://www.wikidata.org/wiki/Q327403", "Q327403")</f>
        <v>0</v>
      </c>
    </row>
    <row r="2322" spans="1:8">
      <c r="A2322" t="s">
        <v>2328</v>
      </c>
      <c r="B2322" t="s">
        <v>7008</v>
      </c>
      <c r="C2322" t="s">
        <v>6006</v>
      </c>
      <c r="D2322" t="s">
        <v>13552</v>
      </c>
      <c r="E2322" t="s">
        <v>16131</v>
      </c>
      <c r="F2322">
        <f>HYPERLINK("https://www2.assemblee-nationale.fr/sycomore/fiche/(num_dept)/3374", "3374.0")</f>
        <v>0</v>
      </c>
      <c r="H2322">
        <f>HYPERLINK("https://www.wikidata.org/wiki/Q16025768", "Q16025768")</f>
        <v>0</v>
      </c>
    </row>
    <row r="2323" spans="1:8">
      <c r="A2323" t="s">
        <v>2329</v>
      </c>
      <c r="B2323" t="s">
        <v>7009</v>
      </c>
      <c r="C2323" t="s">
        <v>9430</v>
      </c>
      <c r="D2323" t="s">
        <v>13553</v>
      </c>
      <c r="E2323" s="2">
        <v>16180</v>
      </c>
      <c r="G2323">
        <f>HYPERLINK("https://www.senat.fr/senateur-3eme-republique/germain_paul0307r3.html", "germain_paul0307r3")</f>
        <v>0</v>
      </c>
      <c r="H2323">
        <f>HYPERLINK("https://www.wikidata.org/wiki/Q3371308", "Q3371308")</f>
        <v>0</v>
      </c>
    </row>
    <row r="2324" spans="1:8">
      <c r="A2324" t="s">
        <v>2330</v>
      </c>
      <c r="B2324" t="s">
        <v>7010</v>
      </c>
      <c r="C2324" t="s">
        <v>9355</v>
      </c>
      <c r="D2324" t="s">
        <v>13554</v>
      </c>
      <c r="E2324" s="2">
        <v>12110</v>
      </c>
      <c r="F2324">
        <f>HYPERLINK("https://www2.assemblee-nationale.fr/sycomore/fiche/(num_dept)/3385", "3385.0")</f>
        <v>0</v>
      </c>
      <c r="G2324">
        <f>HYPERLINK("https://www.senat.fr/senateur-3eme-republique/gervais_charles1585r3.html", "gervais_charles1585r3")</f>
        <v>0</v>
      </c>
      <c r="H2324">
        <f>HYPERLINK("https://www.wikidata.org/wiki/Q3188616", "Q3188616")</f>
        <v>0</v>
      </c>
    </row>
    <row r="2325" spans="1:8">
      <c r="A2325" t="s">
        <v>2331</v>
      </c>
      <c r="B2325" t="s">
        <v>7010</v>
      </c>
      <c r="C2325" t="s">
        <v>9337</v>
      </c>
      <c r="D2325" t="s">
        <v>13555</v>
      </c>
      <c r="E2325" s="2">
        <v>6452</v>
      </c>
      <c r="F2325">
        <f>HYPERLINK("https://www2.assemblee-nationale.fr/sycomore/fiche/(num_dept)/3384", "3384.0")</f>
        <v>0</v>
      </c>
      <c r="G2325">
        <f>HYPERLINK("https://www.senat.fr/senateur-3eme-republique/gervais_auguste1416r3.html", "gervais_auguste1416r3")</f>
        <v>0</v>
      </c>
      <c r="H2325">
        <f>HYPERLINK("https://www.wikidata.org/wiki/Q2871200", "Q2871200")</f>
        <v>0</v>
      </c>
    </row>
    <row r="2326" spans="1:8">
      <c r="A2326" t="s">
        <v>2332</v>
      </c>
      <c r="B2326" t="s">
        <v>7011</v>
      </c>
      <c r="C2326" t="s">
        <v>10297</v>
      </c>
      <c r="D2326" t="s">
        <v>13556</v>
      </c>
      <c r="E2326" s="2">
        <v>14588</v>
      </c>
      <c r="F2326">
        <f>HYPERLINK("https://www2.assemblee-nationale.fr/sycomore/fiche/(num_dept)/3386", "3386.0")</f>
        <v>0</v>
      </c>
      <c r="H2326">
        <f>HYPERLINK("https://www.wikidata.org/wiki/Q3266127", "Q3266127")</f>
        <v>0</v>
      </c>
    </row>
    <row r="2327" spans="1:8">
      <c r="A2327" t="s">
        <v>2333</v>
      </c>
      <c r="B2327" t="s">
        <v>7012</v>
      </c>
      <c r="C2327" t="s">
        <v>10450</v>
      </c>
      <c r="D2327" t="s">
        <v>12184</v>
      </c>
      <c r="E2327" s="2">
        <v>3073</v>
      </c>
      <c r="F2327">
        <f>HYPERLINK("https://www2.assemblee-nationale.fr/sycomore/fiche/(num_dept)/3387", "3387.0")</f>
        <v>0</v>
      </c>
      <c r="H2327">
        <f>HYPERLINK("https://www.wikidata.org/wiki/Q3099023", "Q3099023")</f>
        <v>0</v>
      </c>
    </row>
    <row r="2328" spans="1:8">
      <c r="A2328" t="s">
        <v>2334</v>
      </c>
      <c r="B2328" t="s">
        <v>7013</v>
      </c>
      <c r="C2328" t="s">
        <v>9324</v>
      </c>
      <c r="D2328" t="s">
        <v>13557</v>
      </c>
      <c r="E2328" s="2">
        <v>6819</v>
      </c>
      <c r="F2328">
        <f>HYPERLINK("https://www2.assemblee-nationale.fr/sycomore/fiche/(num_dept)/3394", "3394.0")</f>
        <v>0</v>
      </c>
      <c r="H2328">
        <f>HYPERLINK("https://www.wikidata.org/wiki/Q16011304", "Q16011304")</f>
        <v>0</v>
      </c>
    </row>
    <row r="2329" spans="1:8">
      <c r="A2329" t="s">
        <v>2335</v>
      </c>
      <c r="B2329" t="s">
        <v>7014</v>
      </c>
      <c r="C2329" t="s">
        <v>9373</v>
      </c>
      <c r="D2329" t="s">
        <v>13558</v>
      </c>
      <c r="E2329" s="2">
        <v>18459</v>
      </c>
      <c r="F2329">
        <f>HYPERLINK("https://www2.assemblee-nationale.fr/sycomore/fiche/(num_dept)/3395", "3395.0")</f>
        <v>0</v>
      </c>
      <c r="H2329">
        <f>HYPERLINK("https://www.wikidata.org/wiki/Q16025769", "Q16025769")</f>
        <v>0</v>
      </c>
    </row>
    <row r="2330" spans="1:8">
      <c r="A2330" t="s">
        <v>2336</v>
      </c>
      <c r="B2330" t="s">
        <v>7015</v>
      </c>
      <c r="C2330" t="s">
        <v>9471</v>
      </c>
      <c r="D2330" t="s">
        <v>13559</v>
      </c>
      <c r="E2330" s="2">
        <v>7285</v>
      </c>
      <c r="G2330">
        <f>HYPERLINK("https://www.senat.fr/senateur-3eme-republique/giaccobi_jules0472r3.html", "giaccobi_jules0472r3")</f>
        <v>0</v>
      </c>
      <c r="H2330">
        <f>HYPERLINK("https://www.wikidata.org/wiki/Q3293802", "Q3293802")</f>
        <v>0</v>
      </c>
    </row>
    <row r="2331" spans="1:8">
      <c r="A2331" t="s">
        <v>2337</v>
      </c>
      <c r="B2331" t="s">
        <v>7016</v>
      </c>
      <c r="C2331" t="s">
        <v>9953</v>
      </c>
      <c r="D2331" t="s">
        <v>13559</v>
      </c>
      <c r="E2331" s="2">
        <v>7285</v>
      </c>
      <c r="F2331">
        <f>HYPERLINK("https://www2.assemblee-nationale.fr/sycomore/fiche/(num_dept)/3398", "3398.0")</f>
        <v>0</v>
      </c>
      <c r="H2331">
        <f>HYPERLINK("https://www.wikidata.org/wiki/Q3293802", "Q3293802")</f>
        <v>0</v>
      </c>
    </row>
    <row r="2332" spans="1:8">
      <c r="A2332" t="s">
        <v>2338</v>
      </c>
      <c r="B2332" t="s">
        <v>7017</v>
      </c>
      <c r="C2332" t="s">
        <v>9430</v>
      </c>
      <c r="D2332" t="s">
        <v>13560</v>
      </c>
      <c r="E2332" s="2">
        <v>18723</v>
      </c>
      <c r="G2332">
        <f>HYPERLINK("https://www.senat.fr/senateur-3eme-republique/giacobbi_paul0474r3.html", "giacobbi_paul0474r3")</f>
        <v>0</v>
      </c>
      <c r="H2332">
        <f>HYPERLINK("https://www.wikidata.org/wiki/Q1857945", "Q1857945")</f>
        <v>0</v>
      </c>
    </row>
    <row r="2333" spans="1:8">
      <c r="A2333" t="s">
        <v>2339</v>
      </c>
      <c r="B2333" t="s">
        <v>7018</v>
      </c>
      <c r="C2333" t="s">
        <v>10219</v>
      </c>
      <c r="D2333" t="s">
        <v>13561</v>
      </c>
      <c r="E2333" s="2">
        <v>17870</v>
      </c>
      <c r="F2333">
        <f>HYPERLINK("https://www2.assemblee-nationale.fr/sycomore/fiche/(num_dept)/3401", "3401.0")</f>
        <v>0</v>
      </c>
      <c r="G2333">
        <f>HYPERLINK("https://www.senat.fr/senateur-3eme-republique/gianotti_antonin0126r3.html", "gianotti_antonin0126r3")</f>
        <v>0</v>
      </c>
      <c r="H2333">
        <f>HYPERLINK("https://www.wikidata.org/wiki/Q2857116", "Q2857116")</f>
        <v>0</v>
      </c>
    </row>
    <row r="2334" spans="1:8">
      <c r="A2334" t="s">
        <v>2340</v>
      </c>
      <c r="B2334" t="s">
        <v>7019</v>
      </c>
      <c r="C2334" t="s">
        <v>10451</v>
      </c>
      <c r="D2334" t="s">
        <v>13562</v>
      </c>
      <c r="E2334" s="2">
        <v>3143</v>
      </c>
      <c r="F2334">
        <f>HYPERLINK("https://www2.assemblee-nationale.fr/sycomore/fiche/(num_dept)/8199", "8199.0")</f>
        <v>0</v>
      </c>
      <c r="H2334">
        <f>HYPERLINK("https://www.wikidata.org/wiki/Q322638", "Q322638")</f>
        <v>0</v>
      </c>
    </row>
    <row r="2335" spans="1:8">
      <c r="A2335" t="s">
        <v>2341</v>
      </c>
      <c r="B2335" t="s">
        <v>7020</v>
      </c>
      <c r="C2335" t="s">
        <v>10452</v>
      </c>
      <c r="D2335" t="s">
        <v>13563</v>
      </c>
      <c r="E2335" s="2">
        <v>5634</v>
      </c>
      <c r="F2335">
        <f>HYPERLINK("https://www2.assemblee-nationale.fr/sycomore/fiche/(num_dept)/3403", "3403.0")</f>
        <v>0</v>
      </c>
      <c r="H2335">
        <f>HYPERLINK("https://www.wikidata.org/wiki/Q16025770", "Q16025770")</f>
        <v>0</v>
      </c>
    </row>
    <row r="2336" spans="1:8">
      <c r="A2336" t="s">
        <v>2342</v>
      </c>
      <c r="B2336" t="s">
        <v>7021</v>
      </c>
      <c r="C2336" t="s">
        <v>10453</v>
      </c>
      <c r="D2336" t="s">
        <v>13564</v>
      </c>
      <c r="E2336" s="2">
        <v>24945</v>
      </c>
      <c r="F2336">
        <f>HYPERLINK("https://www2.assemblee-nationale.fr/sycomore/fiche/(num_dept)/3404", "3404.0")</f>
        <v>0</v>
      </c>
      <c r="H2336">
        <f>HYPERLINK("https://www.wikidata.org/wiki/Q2976757", "Q2976757")</f>
        <v>0</v>
      </c>
    </row>
    <row r="2337" spans="1:8">
      <c r="A2337" t="s">
        <v>2343</v>
      </c>
      <c r="B2337" t="s">
        <v>7022</v>
      </c>
      <c r="C2337" t="s">
        <v>9346</v>
      </c>
      <c r="D2337" t="s">
        <v>13565</v>
      </c>
      <c r="E2337" s="2">
        <v>9819</v>
      </c>
      <c r="G2337">
        <f>HYPERLINK("https://www.senat.fr/senateur-3eme-republique/gigon_edouard1253r3.html", "gigon_edouard1253r3")</f>
        <v>0</v>
      </c>
      <c r="H2337">
        <f>HYPERLINK("https://www.wikidata.org/wiki/Q3579860", "Q3579860")</f>
        <v>0</v>
      </c>
    </row>
    <row r="2338" spans="1:8">
      <c r="A2338" t="s">
        <v>2344</v>
      </c>
      <c r="B2338" t="s">
        <v>7023</v>
      </c>
      <c r="C2338" t="s">
        <v>10057</v>
      </c>
      <c r="D2338" t="s">
        <v>13566</v>
      </c>
      <c r="E2338" s="2">
        <v>5461</v>
      </c>
      <c r="F2338">
        <f>HYPERLINK("https://www2.assemblee-nationale.fr/sycomore/fiche/(num_dept)/3405", "3405.0")</f>
        <v>0</v>
      </c>
      <c r="G2338">
        <f>HYPERLINK("https://www.senat.fr/senateur-3eme-republique/giguet_honore0009r3.html", "giguet_honore0009r3")</f>
        <v>0</v>
      </c>
      <c r="H2338">
        <f>HYPERLINK("https://www.wikidata.org/wiki/Q3140225", "Q3140225")</f>
        <v>0</v>
      </c>
    </row>
    <row r="2339" spans="1:8">
      <c r="A2339" t="s">
        <v>2345</v>
      </c>
      <c r="B2339" t="s">
        <v>7024</v>
      </c>
      <c r="C2339" t="s">
        <v>9355</v>
      </c>
      <c r="D2339" t="s">
        <v>13567</v>
      </c>
      <c r="E2339" t="s">
        <v>16132</v>
      </c>
      <c r="G2339">
        <f>HYPERLINK("https://www.senat.fr/senateur-3eme-republique/gilbert_boucher_charles1651r3.html", "gilbert_boucher_charles1651r3")</f>
        <v>0</v>
      </c>
      <c r="H2339">
        <f>HYPERLINK("https://www.wikidata.org/wiki/Q2959203", "Q2959203")</f>
        <v>0</v>
      </c>
    </row>
    <row r="2340" spans="1:8">
      <c r="A2340" t="s">
        <v>2346</v>
      </c>
      <c r="B2340" t="s">
        <v>7025</v>
      </c>
      <c r="C2340" t="s">
        <v>10454</v>
      </c>
      <c r="D2340" t="s">
        <v>11978</v>
      </c>
      <c r="E2340" s="2">
        <v>1210</v>
      </c>
      <c r="F2340">
        <f>HYPERLINK("https://www2.assemblee-nationale.fr/sycomore/fiche/(num_dept)/3406", "3406.0")</f>
        <v>0</v>
      </c>
      <c r="H2340">
        <f>HYPERLINK("https://www.wikidata.org/wiki/Q16707826", "Q16707826")</f>
        <v>0</v>
      </c>
    </row>
    <row r="2341" spans="1:8">
      <c r="A2341" t="s">
        <v>2347</v>
      </c>
      <c r="B2341" t="s">
        <v>7026</v>
      </c>
      <c r="C2341" t="s">
        <v>9386</v>
      </c>
      <c r="D2341" t="s">
        <v>13568</v>
      </c>
      <c r="E2341" s="2">
        <v>20714</v>
      </c>
      <c r="G2341">
        <f>HYPERLINK("https://www.senat.fr/senateur-3eme-republique/gilbert_raymond0781r3.html", "gilbert_raymond0781r3")</f>
        <v>0</v>
      </c>
      <c r="H2341">
        <f>HYPERLINK("https://www.wikidata.org/wiki/Q3420886", "Q3420886")</f>
        <v>0</v>
      </c>
    </row>
    <row r="2342" spans="1:8">
      <c r="A2342" t="s">
        <v>2348</v>
      </c>
      <c r="B2342" t="s">
        <v>7027</v>
      </c>
      <c r="C2342" t="s">
        <v>9320</v>
      </c>
      <c r="D2342" t="s">
        <v>13569</v>
      </c>
      <c r="E2342" s="2">
        <v>8408</v>
      </c>
      <c r="F2342">
        <f>HYPERLINK("https://www2.assemblee-nationale.fr/sycomore/fiche/(num_dept)/7953", "7953.0")</f>
        <v>0</v>
      </c>
      <c r="H2342">
        <f>HYPERLINK("https://www.wikidata.org/wiki/Q17350157", "Q17350157")</f>
        <v>0</v>
      </c>
    </row>
    <row r="2343" spans="1:8">
      <c r="A2343" t="s">
        <v>2349</v>
      </c>
      <c r="B2343" t="s">
        <v>7028</v>
      </c>
      <c r="C2343" t="s">
        <v>9373</v>
      </c>
      <c r="D2343" t="s">
        <v>13570</v>
      </c>
      <c r="E2343" s="2">
        <v>12214</v>
      </c>
      <c r="F2343">
        <f>HYPERLINK("https://www2.assemblee-nationale.fr/sycomore/fiche/(num_dept)/3408", "3408.0")</f>
        <v>0</v>
      </c>
      <c r="H2343">
        <f>HYPERLINK("https://www.wikidata.org/wiki/Q3185014", "Q3185014")</f>
        <v>0</v>
      </c>
    </row>
    <row r="2344" spans="1:8">
      <c r="A2344" t="s">
        <v>2350</v>
      </c>
      <c r="B2344" t="s">
        <v>7029</v>
      </c>
      <c r="C2344" t="s">
        <v>10455</v>
      </c>
      <c r="D2344" t="s">
        <v>13571</v>
      </c>
      <c r="E2344" t="s">
        <v>16133</v>
      </c>
      <c r="F2344">
        <f>HYPERLINK("https://www2.assemblee-nationale.fr/sycomore/fiche/(num_dept)/8231", "8231.0")</f>
        <v>0</v>
      </c>
      <c r="H2344">
        <f>HYPERLINK("https://www.wikidata.org/wiki/Q16025771", "Q16025771")</f>
        <v>0</v>
      </c>
    </row>
    <row r="2345" spans="1:8">
      <c r="A2345" t="s">
        <v>2351</v>
      </c>
      <c r="B2345" t="s">
        <v>7030</v>
      </c>
      <c r="C2345" t="s">
        <v>7782</v>
      </c>
      <c r="D2345" t="s">
        <v>11971</v>
      </c>
      <c r="E2345" s="2">
        <v>2881</v>
      </c>
      <c r="F2345">
        <f>HYPERLINK("https://www2.assemblee-nationale.fr/sycomore/fiche/(num_dept)/3411", "3411.0")</f>
        <v>0</v>
      </c>
      <c r="G2345">
        <f>HYPERLINK("https://www.senat.fr/senateur-3eme-republique/gillot_leon1209r3.html", "gillot_leon1209r3")</f>
        <v>0</v>
      </c>
      <c r="H2345">
        <f>HYPERLINK("https://www.wikidata.org/wiki/Q3270992", "Q3270992")</f>
        <v>0</v>
      </c>
    </row>
    <row r="2346" spans="1:8">
      <c r="A2346" t="s">
        <v>2352</v>
      </c>
      <c r="B2346" t="s">
        <v>7031</v>
      </c>
      <c r="C2346" t="s">
        <v>10456</v>
      </c>
      <c r="D2346" t="s">
        <v>13572</v>
      </c>
      <c r="E2346" t="s">
        <v>16134</v>
      </c>
      <c r="F2346">
        <f>HYPERLINK("https://www2.assemblee-nationale.fr/sycomore/fiche/(num_dept)/3413", "3413.0")</f>
        <v>0</v>
      </c>
      <c r="H2346">
        <f>HYPERLINK("https://www.wikidata.org/wiki/Q3346264", "Q3346264")</f>
        <v>0</v>
      </c>
    </row>
    <row r="2347" spans="1:8">
      <c r="A2347" t="s">
        <v>2353</v>
      </c>
      <c r="B2347" t="s">
        <v>7032</v>
      </c>
      <c r="C2347" t="s">
        <v>10457</v>
      </c>
      <c r="D2347" t="s">
        <v>13573</v>
      </c>
      <c r="E2347" t="s">
        <v>16135</v>
      </c>
      <c r="F2347">
        <f>HYPERLINK("https://www2.assemblee-nationale.fr/sycomore/fiche/(num_dept)/7954", "7954.0")</f>
        <v>0</v>
      </c>
      <c r="H2347">
        <f>HYPERLINK("https://www.wikidata.org/wiki/Q8325403", "Q8325403")</f>
        <v>0</v>
      </c>
    </row>
    <row r="2348" spans="1:8">
      <c r="A2348" t="s">
        <v>2354</v>
      </c>
      <c r="B2348" t="s">
        <v>7032</v>
      </c>
      <c r="C2348" t="s">
        <v>9355</v>
      </c>
      <c r="D2348" t="s">
        <v>13574</v>
      </c>
      <c r="E2348" s="2">
        <v>13882</v>
      </c>
      <c r="F2348">
        <f>HYPERLINK("https://www2.assemblee-nationale.fr/sycomore/fiche/(num_dept)/3418", "3418.0")</f>
        <v>0</v>
      </c>
      <c r="H2348">
        <f>HYPERLINK("https://www.wikidata.org/wiki/Q2959214", "Q2959214")</f>
        <v>0</v>
      </c>
    </row>
    <row r="2349" spans="1:8">
      <c r="A2349" t="s">
        <v>2355</v>
      </c>
      <c r="B2349" t="s">
        <v>7033</v>
      </c>
      <c r="C2349" t="s">
        <v>9373</v>
      </c>
      <c r="D2349" t="s">
        <v>13575</v>
      </c>
      <c r="E2349" s="2">
        <v>15064</v>
      </c>
      <c r="F2349">
        <f>HYPERLINK("https://www2.assemblee-nationale.fr/sycomore/fiche/(num_dept)/3420", "3420.0")</f>
        <v>0</v>
      </c>
      <c r="G2349">
        <f>HYPERLINK("https://www.senat.fr/senateur-3eme-republique/giordan_joseph0494r3.html", "giordan_joseph0494r3")</f>
        <v>0</v>
      </c>
      <c r="H2349">
        <f>HYPERLINK("https://www.wikidata.org/wiki/Q3185017", "Q3185017")</f>
        <v>0</v>
      </c>
    </row>
    <row r="2350" spans="1:8">
      <c r="A2350" t="s">
        <v>2356</v>
      </c>
      <c r="B2350" t="s">
        <v>7034</v>
      </c>
      <c r="C2350" t="s">
        <v>9312</v>
      </c>
      <c r="D2350" t="s">
        <v>13576</v>
      </c>
      <c r="E2350" s="2">
        <v>15436</v>
      </c>
      <c r="F2350">
        <f>HYPERLINK("https://www2.assemblee-nationale.fr/sycomore/fiche/(num_dept)/3421", "3421.0")</f>
        <v>0</v>
      </c>
      <c r="H2350">
        <f>HYPERLINK("https://www.wikidata.org/wiki/Q16025772", "Q16025772")</f>
        <v>0</v>
      </c>
    </row>
    <row r="2351" spans="1:8">
      <c r="A2351" t="s">
        <v>2357</v>
      </c>
      <c r="B2351" t="s">
        <v>7035</v>
      </c>
      <c r="C2351" t="s">
        <v>10030</v>
      </c>
      <c r="D2351" t="s">
        <v>13577</v>
      </c>
      <c r="E2351" s="2">
        <v>10871</v>
      </c>
      <c r="F2351">
        <f>HYPERLINK("https://www2.assemblee-nationale.fr/sycomore/fiche/(num_dept)/3433", "3433.0")</f>
        <v>0</v>
      </c>
      <c r="H2351">
        <f>HYPERLINK("https://www.wikidata.org/wiki/Q16025773", "Q16025773")</f>
        <v>0</v>
      </c>
    </row>
    <row r="2352" spans="1:8">
      <c r="A2352" t="s">
        <v>2358</v>
      </c>
      <c r="B2352" t="s">
        <v>7036</v>
      </c>
      <c r="C2352" t="s">
        <v>10064</v>
      </c>
      <c r="D2352" t="s">
        <v>13578</v>
      </c>
      <c r="E2352" s="2">
        <v>208</v>
      </c>
      <c r="F2352">
        <f>HYPERLINK("https://www2.assemblee-nationale.fr/sycomore/fiche/(num_dept)/3426", "3426.0")</f>
        <v>0</v>
      </c>
      <c r="H2352">
        <f>HYPERLINK("https://www.wikidata.org/wiki/Q16025774", "Q16025774")</f>
        <v>0</v>
      </c>
    </row>
    <row r="2353" spans="1:8">
      <c r="A2353" t="s">
        <v>2359</v>
      </c>
      <c r="B2353" t="s">
        <v>7036</v>
      </c>
      <c r="C2353" t="s">
        <v>10458</v>
      </c>
      <c r="D2353" t="s">
        <v>12198</v>
      </c>
      <c r="E2353" s="2">
        <v>4010</v>
      </c>
      <c r="F2353">
        <f>HYPERLINK("https://www2.assemblee-nationale.fr/sycomore/fiche/(num_dept)/8201", "8201.0")</f>
        <v>0</v>
      </c>
      <c r="G2353">
        <f>HYPERLINK("https://www.senat.fr/senateur-3eme-republique/girard_alfred1403r3.html", "girard_alfred1403r3")</f>
        <v>0</v>
      </c>
      <c r="H2353">
        <f>HYPERLINK("https://www.wikidata.org/wiki/Q2835150", "Q2835150")</f>
        <v>0</v>
      </c>
    </row>
    <row r="2354" spans="1:8">
      <c r="A2354" t="s">
        <v>2360</v>
      </c>
      <c r="B2354" t="s">
        <v>7036</v>
      </c>
      <c r="C2354" t="s">
        <v>10211</v>
      </c>
      <c r="D2354" t="s">
        <v>13579</v>
      </c>
      <c r="E2354" s="2">
        <v>6861</v>
      </c>
      <c r="G2354">
        <f>HYPERLINK("https://www.senat.fr/senateur-3eme-republique/girard_theodore1638r3.html", "girard_theodore1638r3")</f>
        <v>0</v>
      </c>
      <c r="H2354">
        <f>HYPERLINK("https://www.wikidata.org/wiki/Q3526426", "Q3526426")</f>
        <v>0</v>
      </c>
    </row>
    <row r="2355" spans="1:8">
      <c r="A2355" t="s">
        <v>2361</v>
      </c>
      <c r="B2355" t="s">
        <v>7036</v>
      </c>
      <c r="C2355" t="s">
        <v>9337</v>
      </c>
      <c r="D2355" t="s">
        <v>13580</v>
      </c>
      <c r="E2355" s="2">
        <v>10037</v>
      </c>
      <c r="F2355">
        <f>HYPERLINK("https://www2.assemblee-nationale.fr/sycomore/fiche/(num_dept)/3427", "3427.0")</f>
        <v>0</v>
      </c>
      <c r="H2355">
        <f>HYPERLINK("https://www.wikidata.org/wiki/Q16025776", "Q16025776")</f>
        <v>0</v>
      </c>
    </row>
    <row r="2356" spans="1:8">
      <c r="A2356" t="s">
        <v>2362</v>
      </c>
      <c r="B2356" t="s">
        <v>7036</v>
      </c>
      <c r="C2356" t="s">
        <v>9359</v>
      </c>
      <c r="D2356" t="s">
        <v>13581</v>
      </c>
      <c r="E2356" s="2">
        <v>24794</v>
      </c>
      <c r="F2356">
        <f>HYPERLINK("https://www2.assemblee-nationale.fr/sycomore/fiche/(num_dept)/3431", "3431.0")</f>
        <v>0</v>
      </c>
      <c r="H2356">
        <f>HYPERLINK("https://www.wikidata.org/wiki/Q16025777", "Q16025777")</f>
        <v>0</v>
      </c>
    </row>
    <row r="2357" spans="1:8">
      <c r="A2357" t="s">
        <v>2363</v>
      </c>
      <c r="B2357" t="s">
        <v>7037</v>
      </c>
      <c r="C2357" t="s">
        <v>9337</v>
      </c>
      <c r="D2357" t="s">
        <v>13582</v>
      </c>
      <c r="E2357" s="2">
        <v>5779</v>
      </c>
      <c r="F2357">
        <f>HYPERLINK("https://www2.assemblee-nationale.fr/sycomore/fiche/(num_dept)/3434", "3434.0")</f>
        <v>0</v>
      </c>
      <c r="H2357">
        <f>HYPERLINK("https://www.wikidata.org/wiki/Q16025778", "Q16025778")</f>
        <v>0</v>
      </c>
    </row>
    <row r="2358" spans="1:8">
      <c r="A2358" t="s">
        <v>2364</v>
      </c>
      <c r="B2358" t="s">
        <v>7038</v>
      </c>
      <c r="C2358" t="s">
        <v>10459</v>
      </c>
      <c r="D2358" t="s">
        <v>13583</v>
      </c>
      <c r="E2358" t="s">
        <v>16136</v>
      </c>
      <c r="F2358">
        <f>HYPERLINK("https://www2.assemblee-nationale.fr/sycomore/fiche/(num_dept)/8268", "8268.0")</f>
        <v>0</v>
      </c>
      <c r="H2358">
        <f>HYPERLINK("https://www.wikidata.org/wiki/Q16025780", "Q16025780")</f>
        <v>0</v>
      </c>
    </row>
    <row r="2359" spans="1:8">
      <c r="A2359" t="s">
        <v>2365</v>
      </c>
      <c r="B2359" t="s">
        <v>7038</v>
      </c>
      <c r="C2359" t="s">
        <v>7262</v>
      </c>
      <c r="D2359" t="s">
        <v>13584</v>
      </c>
      <c r="E2359" s="2">
        <v>12514</v>
      </c>
      <c r="F2359">
        <f>HYPERLINK("https://www2.assemblee-nationale.fr/sycomore/fiche/(num_dept)/3437", "3437.0")</f>
        <v>0</v>
      </c>
      <c r="H2359">
        <f>HYPERLINK("https://www.wikidata.org/wiki/Q16025781", "Q16025781")</f>
        <v>0</v>
      </c>
    </row>
    <row r="2360" spans="1:8">
      <c r="A2360" t="s">
        <v>2366</v>
      </c>
      <c r="B2360" t="s">
        <v>7039</v>
      </c>
      <c r="C2360" t="s">
        <v>10460</v>
      </c>
      <c r="D2360" t="s">
        <v>13290</v>
      </c>
      <c r="E2360" s="2">
        <v>13300</v>
      </c>
      <c r="G2360">
        <f>HYPERLINK("https://www.senat.fr/senateur-3eme-republique/giraud_irenee1151r3.html", "giraud_irenee1151r3")</f>
        <v>0</v>
      </c>
      <c r="H2360">
        <f>HYPERLINK("https://www.wikidata.org/wiki/Q3154691", "Q3154691")</f>
        <v>0</v>
      </c>
    </row>
    <row r="2361" spans="1:8">
      <c r="A2361" t="s">
        <v>2367</v>
      </c>
      <c r="B2361" t="s">
        <v>7040</v>
      </c>
      <c r="C2361" t="s">
        <v>7342</v>
      </c>
      <c r="D2361" t="s">
        <v>13585</v>
      </c>
      <c r="E2361" s="2">
        <v>16102</v>
      </c>
      <c r="H2361">
        <f>HYPERLINK("https://www.wikidata.org/wiki/Q309974", "Q309974")</f>
        <v>0</v>
      </c>
    </row>
    <row r="2362" spans="1:8">
      <c r="A2362" t="s">
        <v>2368</v>
      </c>
      <c r="B2362" t="s">
        <v>7041</v>
      </c>
      <c r="C2362" t="s">
        <v>7342</v>
      </c>
      <c r="D2362" t="s">
        <v>13586</v>
      </c>
      <c r="E2362" s="2">
        <v>3394</v>
      </c>
      <c r="F2362">
        <f>HYPERLINK("https://www2.assemblee-nationale.fr/sycomore/fiche/(num_dept)/8090", "8090.0")</f>
        <v>0</v>
      </c>
      <c r="G2362">
        <f>HYPERLINK("https://www.senat.fr/senateur-3eme-republique/girault_jean0426r3.html", "girault_jean0426r3")</f>
        <v>0</v>
      </c>
      <c r="H2362">
        <f>HYPERLINK("https://www.wikidata.org/wiki/Q3172313", "Q3172313")</f>
        <v>0</v>
      </c>
    </row>
    <row r="2363" spans="1:8">
      <c r="A2363" t="s">
        <v>2369</v>
      </c>
      <c r="B2363" t="s">
        <v>7041</v>
      </c>
      <c r="C2363" t="s">
        <v>9429</v>
      </c>
      <c r="D2363" t="s">
        <v>13587</v>
      </c>
      <c r="F2363">
        <f>HYPERLINK("https://www2.assemblee-nationale.fr/sycomore/fiche/(num_dept)/3440", "3440.0")</f>
        <v>0</v>
      </c>
      <c r="H2363">
        <f>HYPERLINK("https://www.wikidata.org/wiki/Q13077222", "Q13077222")</f>
        <v>0</v>
      </c>
    </row>
    <row r="2364" spans="1:8">
      <c r="A2364" t="s">
        <v>2370</v>
      </c>
      <c r="B2364" t="s">
        <v>7042</v>
      </c>
      <c r="C2364" t="s">
        <v>9312</v>
      </c>
      <c r="D2364" t="s">
        <v>13588</v>
      </c>
      <c r="E2364" s="2">
        <v>11522</v>
      </c>
      <c r="F2364">
        <f>HYPERLINK("https://www2.assemblee-nationale.fr/sycomore/fiche/(num_dept)/3442", "3442.0")</f>
        <v>0</v>
      </c>
      <c r="H2364">
        <f>HYPERLINK("https://www.wikidata.org/wiki/Q16025782", "Q16025782")</f>
        <v>0</v>
      </c>
    </row>
    <row r="2365" spans="1:8">
      <c r="A2365" t="s">
        <v>2371</v>
      </c>
      <c r="B2365" t="s">
        <v>7043</v>
      </c>
      <c r="C2365" t="s">
        <v>9346</v>
      </c>
      <c r="D2365" t="s">
        <v>13589</v>
      </c>
      <c r="E2365" s="2">
        <v>5201</v>
      </c>
      <c r="G2365">
        <f>HYPERLINK("https://www.senat.fr/senateur-3eme-republique/giresse_edouard0736r3.html", "giresse_edouard0736r3")</f>
        <v>0</v>
      </c>
      <c r="H2365">
        <f>HYPERLINK("https://www.wikidata.org/wiki/Q3579863", "Q3579863")</f>
        <v>0</v>
      </c>
    </row>
    <row r="2366" spans="1:8">
      <c r="A2366" t="s">
        <v>2372</v>
      </c>
      <c r="B2366" t="s">
        <v>7044</v>
      </c>
      <c r="C2366" t="s">
        <v>7754</v>
      </c>
      <c r="D2366" t="s">
        <v>13590</v>
      </c>
      <c r="E2366" s="2">
        <v>8181</v>
      </c>
      <c r="F2366">
        <f>HYPERLINK("https://www2.assemblee-nationale.fr/sycomore/fiche/(num_dept)/3444", "3444.0")</f>
        <v>0</v>
      </c>
      <c r="H2366">
        <f>HYPERLINK("https://www.wikidata.org/wiki/Q16025784", "Q16025784")</f>
        <v>0</v>
      </c>
    </row>
    <row r="2367" spans="1:8">
      <c r="A2367" t="s">
        <v>2373</v>
      </c>
      <c r="B2367" t="s">
        <v>7044</v>
      </c>
      <c r="C2367" t="s">
        <v>10461</v>
      </c>
      <c r="D2367" t="s">
        <v>13591</v>
      </c>
      <c r="E2367" s="2">
        <v>12363</v>
      </c>
      <c r="F2367">
        <f>HYPERLINK("https://www2.assemblee-nationale.fr/sycomore/fiche/(num_dept)/3443", "3443.0")</f>
        <v>0</v>
      </c>
      <c r="H2367">
        <f>HYPERLINK("https://www.wikidata.org/wiki/Q16025783", "Q16025783")</f>
        <v>0</v>
      </c>
    </row>
    <row r="2368" spans="1:8">
      <c r="A2368" t="s">
        <v>2374</v>
      </c>
      <c r="B2368" t="s">
        <v>7045</v>
      </c>
      <c r="C2368" t="s">
        <v>9524</v>
      </c>
      <c r="D2368" t="s">
        <v>13592</v>
      </c>
      <c r="E2368" t="s">
        <v>16137</v>
      </c>
      <c r="F2368">
        <f>HYPERLINK("https://www2.assemblee-nationale.fr/sycomore/fiche/(num_dept)/3445", "3445.0")</f>
        <v>0</v>
      </c>
      <c r="H2368">
        <f>HYPERLINK("https://www.wikidata.org/wiki/Q3588534", "Q3588534")</f>
        <v>0</v>
      </c>
    </row>
    <row r="2369" spans="1:8">
      <c r="A2369" t="s">
        <v>2375</v>
      </c>
      <c r="B2369" t="s">
        <v>7046</v>
      </c>
      <c r="C2369" t="s">
        <v>6864</v>
      </c>
      <c r="D2369" t="s">
        <v>13593</v>
      </c>
      <c r="E2369" t="s">
        <v>16138</v>
      </c>
      <c r="G2369">
        <f>HYPERLINK("https://www.senat.fr/senateur-3eme-republique/girot_pouzol_francois1003r3.html", "girot_pouzol_francois1003r3")</f>
        <v>0</v>
      </c>
      <c r="H2369">
        <f>HYPERLINK("https://www.wikidata.org/wiki/Q3084738", "Q3084738")</f>
        <v>0</v>
      </c>
    </row>
    <row r="2370" spans="1:8">
      <c r="A2370" t="s">
        <v>2376</v>
      </c>
      <c r="B2370" t="s">
        <v>7047</v>
      </c>
      <c r="C2370" t="s">
        <v>10462</v>
      </c>
      <c r="D2370" t="s">
        <v>13594</v>
      </c>
      <c r="E2370" t="s">
        <v>16138</v>
      </c>
      <c r="F2370">
        <f>HYPERLINK("https://www2.assemblee-nationale.fr/sycomore/fiche/(num_dept)/8215", "8215.0")</f>
        <v>0</v>
      </c>
      <c r="H2370">
        <f>HYPERLINK("https://www.wikidata.org/wiki/Q3084738", "Q3084738")</f>
        <v>0</v>
      </c>
    </row>
    <row r="2371" spans="1:8">
      <c r="A2371" t="s">
        <v>2377</v>
      </c>
      <c r="B2371" t="s">
        <v>7048</v>
      </c>
      <c r="C2371" t="s">
        <v>7001</v>
      </c>
      <c r="D2371" t="s">
        <v>13595</v>
      </c>
      <c r="E2371" s="2">
        <v>5950</v>
      </c>
      <c r="F2371">
        <f>HYPERLINK("https://www2.assemblee-nationale.fr/sycomore/fiche/(num_dept)/3446", "3446.0")</f>
        <v>0</v>
      </c>
      <c r="H2371">
        <f>HYPERLINK("https://www.wikidata.org/wiki/Q13080881", "Q13080881")</f>
        <v>0</v>
      </c>
    </row>
    <row r="2372" spans="1:8">
      <c r="A2372" t="s">
        <v>2378</v>
      </c>
      <c r="B2372" t="s">
        <v>7049</v>
      </c>
      <c r="C2372" t="s">
        <v>10196</v>
      </c>
      <c r="D2372" t="s">
        <v>13596</v>
      </c>
      <c r="E2372" t="s">
        <v>16139</v>
      </c>
      <c r="F2372">
        <f>HYPERLINK("https://www2.assemblee-nationale.fr/sycomore/fiche/(num_dept)/8191", "8191.0")</f>
        <v>0</v>
      </c>
      <c r="H2372">
        <f>HYPERLINK("https://www.wikidata.org/wiki/Q16025787", "Q16025787")</f>
        <v>0</v>
      </c>
    </row>
    <row r="2373" spans="1:8">
      <c r="A2373" t="s">
        <v>2379</v>
      </c>
      <c r="B2373" t="s">
        <v>7050</v>
      </c>
      <c r="C2373" t="s">
        <v>9430</v>
      </c>
      <c r="D2373" t="s">
        <v>13597</v>
      </c>
      <c r="E2373" s="2">
        <v>12367</v>
      </c>
      <c r="F2373">
        <f>HYPERLINK("https://www2.assemblee-nationale.fr/sycomore/fiche/(num_dept)/3454", "3454.0")</f>
        <v>0</v>
      </c>
      <c r="H2373">
        <f>HYPERLINK("https://www.wikidata.org/wiki/Q3371327", "Q3371327")</f>
        <v>0</v>
      </c>
    </row>
    <row r="2374" spans="1:8">
      <c r="A2374" t="s">
        <v>2380</v>
      </c>
      <c r="B2374" t="s">
        <v>7051</v>
      </c>
      <c r="C2374" t="s">
        <v>10463</v>
      </c>
      <c r="D2374" t="s">
        <v>13598</v>
      </c>
      <c r="E2374" s="2">
        <v>2083</v>
      </c>
      <c r="F2374">
        <f>HYPERLINK("https://www2.assemblee-nationale.fr/sycomore/fiche/(num_dept)/3457", "3457.0")</f>
        <v>0</v>
      </c>
      <c r="H2374">
        <f>HYPERLINK("https://www.wikidata.org/wiki/Q559645", "Q559645")</f>
        <v>0</v>
      </c>
    </row>
    <row r="2375" spans="1:8">
      <c r="A2375" t="s">
        <v>2381</v>
      </c>
      <c r="B2375" t="s">
        <v>7051</v>
      </c>
      <c r="C2375" t="s">
        <v>9320</v>
      </c>
      <c r="D2375" t="s">
        <v>13599</v>
      </c>
      <c r="E2375" s="2">
        <v>2083</v>
      </c>
      <c r="G2375">
        <f>HYPERLINK("https://www.senat.fr/senateur-3eme-republique/goblet_rene1409r3.html", "goblet_rene1409r3")</f>
        <v>0</v>
      </c>
      <c r="H2375">
        <f>HYPERLINK("https://www.wikidata.org/wiki/Q559645", "Q559645")</f>
        <v>0</v>
      </c>
    </row>
    <row r="2376" spans="1:8">
      <c r="A2376" t="s">
        <v>2382</v>
      </c>
      <c r="B2376" t="s">
        <v>7052</v>
      </c>
      <c r="C2376" t="s">
        <v>9503</v>
      </c>
      <c r="D2376" t="s">
        <v>13600</v>
      </c>
      <c r="E2376" s="2">
        <v>4288</v>
      </c>
      <c r="F2376">
        <f>HYPERLINK("https://www2.assemblee-nationale.fr/sycomore/fiche/(num_dept)/3458", "3458.0")</f>
        <v>0</v>
      </c>
      <c r="G2376">
        <f>HYPERLINK("https://www.senat.fr/senateur-3eme-republique/gobron_gustave0175r3.html", "gobron_gustave0175r3")</f>
        <v>0</v>
      </c>
      <c r="H2376">
        <f>HYPERLINK("https://www.wikidata.org/wiki/Q3121199", "Q3121199")</f>
        <v>0</v>
      </c>
    </row>
    <row r="2377" spans="1:8">
      <c r="A2377" t="s">
        <v>2383</v>
      </c>
      <c r="B2377" t="s">
        <v>7053</v>
      </c>
      <c r="C2377" t="s">
        <v>10171</v>
      </c>
      <c r="D2377" t="s">
        <v>13601</v>
      </c>
      <c r="E2377" s="2">
        <v>20802</v>
      </c>
      <c r="F2377">
        <f>HYPERLINK("https://www2.assemblee-nationale.fr/sycomore/fiche/(num_dept)/3460", "3460.0")</f>
        <v>0</v>
      </c>
      <c r="G2377">
        <f>HYPERLINK("https://www.senat.fr/senateur-3eme-republique/godart_justin1138r3.html", "godart_justin1138r3")</f>
        <v>0</v>
      </c>
      <c r="H2377">
        <f>HYPERLINK("https://www.wikidata.org/wiki/Q3190446", "Q3190446")</f>
        <v>0</v>
      </c>
    </row>
    <row r="2378" spans="1:8">
      <c r="A2378" t="s">
        <v>2384</v>
      </c>
      <c r="B2378" t="s">
        <v>7054</v>
      </c>
      <c r="C2378" t="s">
        <v>9352</v>
      </c>
      <c r="D2378" t="s">
        <v>13058</v>
      </c>
      <c r="E2378" t="s">
        <v>16140</v>
      </c>
      <c r="F2378">
        <f>HYPERLINK("https://www2.assemblee-nationale.fr/sycomore/fiche/(num_dept)/3462", "3462.0")</f>
        <v>0</v>
      </c>
      <c r="H2378">
        <f>HYPERLINK("https://www.wikidata.org/wiki/Q16025790", "Q16025790")</f>
        <v>0</v>
      </c>
    </row>
    <row r="2379" spans="1:8">
      <c r="A2379" t="s">
        <v>2385</v>
      </c>
      <c r="B2379" t="s">
        <v>7055</v>
      </c>
      <c r="C2379" t="s">
        <v>9634</v>
      </c>
      <c r="D2379" t="s">
        <v>13602</v>
      </c>
      <c r="E2379" s="2">
        <v>11814</v>
      </c>
      <c r="F2379">
        <f>HYPERLINK("https://www2.assemblee-nationale.fr/sycomore/fiche/(num_dept)/3463", "3463.0")</f>
        <v>0</v>
      </c>
      <c r="H2379">
        <f>HYPERLINK("https://www.wikidata.org/wiki/Q16025792", "Q16025792")</f>
        <v>0</v>
      </c>
    </row>
    <row r="2380" spans="1:8">
      <c r="A2380" t="s">
        <v>2386</v>
      </c>
      <c r="B2380" t="s">
        <v>7056</v>
      </c>
      <c r="C2380" t="s">
        <v>9471</v>
      </c>
      <c r="D2380" t="s">
        <v>13603</v>
      </c>
      <c r="E2380" s="2">
        <v>9487</v>
      </c>
      <c r="G2380">
        <f>HYPERLINK("https://www.senat.fr/senateur-3eme-republique/godin_jules1831r3.html", "godin_jules1831r3")</f>
        <v>0</v>
      </c>
      <c r="H2380">
        <f>HYPERLINK("https://www.wikidata.org/wiki/Q3188626", "Q3188626")</f>
        <v>0</v>
      </c>
    </row>
    <row r="2381" spans="1:8">
      <c r="A2381" t="s">
        <v>2387</v>
      </c>
      <c r="B2381" t="s">
        <v>7057</v>
      </c>
      <c r="C2381" t="s">
        <v>8384</v>
      </c>
      <c r="D2381" t="s">
        <v>13604</v>
      </c>
      <c r="E2381" t="s">
        <v>16141</v>
      </c>
      <c r="G2381">
        <f>HYPERLINK("https://www.senat.fr/senateur-3eme-republique/goguet_pierre1632r3.html", "goguet_pierre1632r3")</f>
        <v>0</v>
      </c>
      <c r="H2381">
        <f>HYPERLINK("https://www.wikidata.org/wiki/Q3385259", "Q3385259")</f>
        <v>0</v>
      </c>
    </row>
    <row r="2382" spans="1:8">
      <c r="A2382" t="s">
        <v>2388</v>
      </c>
      <c r="B2382" t="s">
        <v>7058</v>
      </c>
      <c r="C2382" t="s">
        <v>6864</v>
      </c>
      <c r="D2382" t="s">
        <v>13605</v>
      </c>
      <c r="E2382" s="2">
        <v>9956</v>
      </c>
      <c r="H2382">
        <f>HYPERLINK("https://www.wikidata.org/wiki/Q3084746", "Q3084746")</f>
        <v>0</v>
      </c>
    </row>
    <row r="2383" spans="1:8">
      <c r="A2383" t="s">
        <v>2389</v>
      </c>
      <c r="B2383" t="s">
        <v>7059</v>
      </c>
      <c r="C2383" t="s">
        <v>9529</v>
      </c>
      <c r="D2383" t="s">
        <v>13606</v>
      </c>
      <c r="E2383" s="2">
        <v>9674</v>
      </c>
      <c r="F2383">
        <f>HYPERLINK("https://www2.assemblee-nationale.fr/sycomore/fiche/(num_dept)/3472", "3472.0")</f>
        <v>0</v>
      </c>
      <c r="G2383">
        <f>HYPERLINK("https://www.senat.fr/senateur-3eme-republique/goirand_leopold1625r3.html", "goirand_leopold1625r3")</f>
        <v>0</v>
      </c>
      <c r="H2383">
        <f>HYPERLINK("https://www.wikidata.org/wiki/Q3271812", "Q3271812")</f>
        <v>0</v>
      </c>
    </row>
    <row r="2384" spans="1:8">
      <c r="A2384" t="s">
        <v>2390</v>
      </c>
      <c r="B2384" t="s">
        <v>7059</v>
      </c>
      <c r="C2384" t="s">
        <v>5096</v>
      </c>
      <c r="D2384" t="s">
        <v>13607</v>
      </c>
      <c r="E2384" s="2">
        <v>19193</v>
      </c>
      <c r="F2384">
        <f>HYPERLINK("https://www2.assemblee-nationale.fr/sycomore/fiche/(num_dept)/3471", "3471.0")</f>
        <v>0</v>
      </c>
      <c r="G2384">
        <f>HYPERLINK("https://www.senat.fr/senateur-3eme-republique/goirand_andre1629r3.html", "goirand_andre1629r3")</f>
        <v>0</v>
      </c>
      <c r="H2384">
        <f>HYPERLINK("https://www.wikidata.org/wiki/Q2847861", "Q2847861")</f>
        <v>0</v>
      </c>
    </row>
    <row r="2385" spans="1:8">
      <c r="A2385" t="s">
        <v>2391</v>
      </c>
      <c r="B2385" t="s">
        <v>7060</v>
      </c>
      <c r="C2385" t="s">
        <v>9851</v>
      </c>
      <c r="D2385" t="s">
        <v>13608</v>
      </c>
      <c r="E2385" s="2">
        <v>10174</v>
      </c>
      <c r="G2385">
        <f>HYPERLINK("https://www.senat.fr/senateur-3eme-republique/gomot_hippolyte0986r3.html", "gomot_hippolyte0986r3")</f>
        <v>0</v>
      </c>
      <c r="H2385">
        <f>HYPERLINK("https://www.wikidata.org/wiki/Q3136064", "Q3136064")</f>
        <v>0</v>
      </c>
    </row>
    <row r="2386" spans="1:8">
      <c r="A2386" t="s">
        <v>2392</v>
      </c>
      <c r="B2386" t="s">
        <v>7061</v>
      </c>
      <c r="C2386" t="s">
        <v>10352</v>
      </c>
      <c r="D2386" t="s">
        <v>13609</v>
      </c>
      <c r="E2386" s="2">
        <v>10174</v>
      </c>
      <c r="F2386">
        <f>HYPERLINK("https://www2.assemblee-nationale.fr/sycomore/fiche/(num_dept)/7956", "7956.0")</f>
        <v>0</v>
      </c>
      <c r="H2386">
        <f>HYPERLINK("https://www.wikidata.org/wiki/Q3136064", "Q3136064")</f>
        <v>0</v>
      </c>
    </row>
    <row r="2387" spans="1:8">
      <c r="A2387" t="s">
        <v>2393</v>
      </c>
      <c r="B2387" t="s">
        <v>7062</v>
      </c>
      <c r="C2387" t="s">
        <v>9355</v>
      </c>
      <c r="D2387" t="s">
        <v>13610</v>
      </c>
      <c r="E2387" s="2">
        <v>21932</v>
      </c>
      <c r="F2387">
        <f>HYPERLINK("https://www2.assemblee-nationale.fr/sycomore/fiche/(num_dept)/3477", "3477.0")</f>
        <v>0</v>
      </c>
      <c r="H2387">
        <f>HYPERLINK("https://www.wikidata.org/wiki/Q16025794", "Q16025794")</f>
        <v>0</v>
      </c>
    </row>
    <row r="2388" spans="1:8">
      <c r="A2388" t="s">
        <v>2394</v>
      </c>
      <c r="B2388" t="s">
        <v>7063</v>
      </c>
      <c r="C2388" t="s">
        <v>10464</v>
      </c>
      <c r="D2388" t="s">
        <v>13611</v>
      </c>
      <c r="E2388" t="s">
        <v>16142</v>
      </c>
      <c r="F2388">
        <f>HYPERLINK("https://www2.assemblee-nationale.fr/sycomore/fiche/(num_dept)/3478", "3478.0")</f>
        <v>0</v>
      </c>
      <c r="H2388">
        <f>HYPERLINK("https://www.wikidata.org/wiki/Q16025795", "Q16025795")</f>
        <v>0</v>
      </c>
    </row>
    <row r="2389" spans="1:8">
      <c r="A2389" t="s">
        <v>2395</v>
      </c>
      <c r="B2389" t="s">
        <v>7063</v>
      </c>
      <c r="C2389" t="s">
        <v>10465</v>
      </c>
      <c r="D2389" t="s">
        <v>13612</v>
      </c>
      <c r="E2389" s="2">
        <v>17904</v>
      </c>
      <c r="F2389">
        <f>HYPERLINK("https://www2.assemblee-nationale.fr/sycomore/fiche/(num_dept)/3479", "3479.0")</f>
        <v>0</v>
      </c>
      <c r="H2389">
        <f>HYPERLINK("https://www.wikidata.org/wiki/Q16025796", "Q16025796")</f>
        <v>0</v>
      </c>
    </row>
    <row r="2390" spans="1:8">
      <c r="A2390" t="s">
        <v>2396</v>
      </c>
      <c r="B2390" t="s">
        <v>7064</v>
      </c>
      <c r="C2390" t="s">
        <v>9525</v>
      </c>
      <c r="D2390" t="s">
        <v>12718</v>
      </c>
      <c r="E2390" s="2">
        <v>8841</v>
      </c>
      <c r="F2390">
        <f>HYPERLINK("https://www2.assemblee-nationale.fr/sycomore/fiche/(num_dept)/3482", "3482.0")</f>
        <v>0</v>
      </c>
      <c r="H2390">
        <f>HYPERLINK("https://www.wikidata.org/wiki/Q3185836", "Q3185836")</f>
        <v>0</v>
      </c>
    </row>
    <row r="2391" spans="1:8">
      <c r="A2391" t="s">
        <v>2397</v>
      </c>
      <c r="B2391" t="s">
        <v>7064</v>
      </c>
      <c r="C2391" t="s">
        <v>10466</v>
      </c>
      <c r="D2391" t="s">
        <v>13613</v>
      </c>
      <c r="E2391" s="2">
        <v>14343</v>
      </c>
      <c r="F2391">
        <f>HYPERLINK("https://www2.assemblee-nationale.fr/sycomore/fiche/(num_dept)/3481", "3481.0")</f>
        <v>0</v>
      </c>
      <c r="H2391">
        <f>HYPERLINK("https://www.wikidata.org/wiki/Q2898813", "Q2898813")</f>
        <v>0</v>
      </c>
    </row>
    <row r="2392" spans="1:8">
      <c r="A2392" t="s">
        <v>2398</v>
      </c>
      <c r="B2392" t="s">
        <v>7065</v>
      </c>
      <c r="C2392" t="s">
        <v>9429</v>
      </c>
      <c r="D2392" t="s">
        <v>13614</v>
      </c>
      <c r="E2392" s="2">
        <v>25041</v>
      </c>
      <c r="G2392">
        <f>HYPERLINK("https://www.senat.fr/senateur-3eme-republique/gore_alexandre0881r3.html", "gore_alexandre0881r3")</f>
        <v>0</v>
      </c>
      <c r="H2392">
        <f>HYPERLINK("https://www.wikidata.org/wiki/Q2833711", "Q2833711")</f>
        <v>0</v>
      </c>
    </row>
    <row r="2393" spans="1:8">
      <c r="A2393" t="s">
        <v>2399</v>
      </c>
      <c r="B2393" t="s">
        <v>7066</v>
      </c>
      <c r="C2393" t="s">
        <v>10467</v>
      </c>
      <c r="D2393" t="s">
        <v>13615</v>
      </c>
      <c r="E2393" s="2">
        <v>11057</v>
      </c>
      <c r="F2393">
        <f>HYPERLINK("https://www2.assemblee-nationale.fr/sycomore/fiche/(num_dept)/3489", "3489.0")</f>
        <v>0</v>
      </c>
      <c r="G2393">
        <f>HYPERLINK("https://www.senat.fr/senateur-3eme-republique/gotteron_andre1785r3.html", "gotteron_andre1785r3")</f>
        <v>0</v>
      </c>
      <c r="H2393">
        <f>HYPERLINK("https://www.wikidata.org/wiki/Q2847866", "Q2847866")</f>
        <v>0</v>
      </c>
    </row>
    <row r="2394" spans="1:8">
      <c r="A2394" t="s">
        <v>2400</v>
      </c>
      <c r="B2394" t="s">
        <v>7067</v>
      </c>
      <c r="C2394" t="s">
        <v>9524</v>
      </c>
      <c r="D2394" t="s">
        <v>13616</v>
      </c>
      <c r="E2394" s="2">
        <v>15308</v>
      </c>
      <c r="F2394">
        <f>HYPERLINK("https://www2.assemblee-nationale.fr/sycomore/fiche/(num_dept)/3491", "3491.0")</f>
        <v>0</v>
      </c>
      <c r="H2394">
        <f>HYPERLINK("https://www.wikidata.org/wiki/Q3588541", "Q3588541")</f>
        <v>0</v>
      </c>
    </row>
    <row r="2395" spans="1:8">
      <c r="A2395" t="s">
        <v>2401</v>
      </c>
      <c r="B2395" t="s">
        <v>7068</v>
      </c>
      <c r="C2395" t="s">
        <v>9320</v>
      </c>
      <c r="D2395" t="s">
        <v>13617</v>
      </c>
      <c r="E2395" s="2">
        <v>9191</v>
      </c>
      <c r="G2395">
        <f>HYPERLINK("https://www.senat.fr/senateur-3eme-republique/gouge_rene1681r3.html", "gouge_rene1681r3")</f>
        <v>0</v>
      </c>
      <c r="H2395">
        <f>HYPERLINK("https://www.wikidata.org/wiki/Q3426284", "Q3426284")</f>
        <v>0</v>
      </c>
    </row>
    <row r="2396" spans="1:8">
      <c r="A2396" t="s">
        <v>2402</v>
      </c>
      <c r="B2396" t="s">
        <v>7069</v>
      </c>
      <c r="C2396" t="s">
        <v>9337</v>
      </c>
      <c r="D2396" t="s">
        <v>13618</v>
      </c>
      <c r="E2396" t="s">
        <v>16143</v>
      </c>
      <c r="H2396">
        <f>HYPERLINK("https://www.wikidata.org/wiki/Q2871207", "Q2871207")</f>
        <v>0</v>
      </c>
    </row>
    <row r="2397" spans="1:8">
      <c r="A2397" t="s">
        <v>2403</v>
      </c>
      <c r="B2397" t="s">
        <v>7070</v>
      </c>
      <c r="C2397" t="s">
        <v>10468</v>
      </c>
      <c r="D2397" t="s">
        <v>13619</v>
      </c>
      <c r="E2397" s="2">
        <v>28423</v>
      </c>
      <c r="F2397">
        <f>HYPERLINK("https://www2.assemblee-nationale.fr/sycomore/fiche/(num_dept)/3496", "3496.0")</f>
        <v>0</v>
      </c>
      <c r="H2397">
        <f>HYPERLINK("https://www.wikidata.org/wiki/Q381187", "Q381187")</f>
        <v>0</v>
      </c>
    </row>
    <row r="2398" spans="1:8">
      <c r="A2398" t="s">
        <v>2404</v>
      </c>
      <c r="B2398" t="s">
        <v>7071</v>
      </c>
      <c r="C2398" t="s">
        <v>9548</v>
      </c>
      <c r="D2398" t="s">
        <v>13620</v>
      </c>
      <c r="E2398" s="2">
        <v>9849</v>
      </c>
      <c r="F2398">
        <f>HYPERLINK("https://www2.assemblee-nationale.fr/sycomore/fiche/(num_dept)/3497", "3497.0")</f>
        <v>0</v>
      </c>
      <c r="H2398">
        <f>HYPERLINK("https://www.wikidata.org/wiki/Q7124392", "Q7124392")</f>
        <v>0</v>
      </c>
    </row>
    <row r="2399" spans="1:8">
      <c r="A2399" t="s">
        <v>2405</v>
      </c>
      <c r="B2399" t="s">
        <v>7072</v>
      </c>
      <c r="C2399" t="s">
        <v>10469</v>
      </c>
      <c r="D2399" t="s">
        <v>13621</v>
      </c>
      <c r="E2399" s="2">
        <v>823</v>
      </c>
      <c r="F2399">
        <f>HYPERLINK("https://www2.assemblee-nationale.fr/sycomore/fiche/(num_dept)/3502", "3502.0")</f>
        <v>0</v>
      </c>
      <c r="H2399">
        <f>HYPERLINK("https://www.wikidata.org/wiki/Q3526657", "Q3526657")</f>
        <v>0</v>
      </c>
    </row>
    <row r="2400" spans="1:8">
      <c r="A2400" t="s">
        <v>2406</v>
      </c>
      <c r="B2400" t="s">
        <v>7073</v>
      </c>
      <c r="C2400" t="s">
        <v>6686</v>
      </c>
      <c r="D2400" t="s">
        <v>13622</v>
      </c>
      <c r="E2400" s="2">
        <v>2898</v>
      </c>
      <c r="G2400">
        <f>HYPERLINK("https://www.senat.fr/senateur-3eme-republique/goujon_etienne0018r3.html", "goujon_etienne0018r3")</f>
        <v>0</v>
      </c>
      <c r="H2400">
        <f>HYPERLINK("https://www.wikidata.org/wiki/Q3592185", "Q3592185")</f>
        <v>0</v>
      </c>
    </row>
    <row r="2401" spans="1:8">
      <c r="A2401" t="s">
        <v>2407</v>
      </c>
      <c r="B2401" t="s">
        <v>7072</v>
      </c>
      <c r="C2401" t="s">
        <v>9453</v>
      </c>
      <c r="D2401" t="s">
        <v>13623</v>
      </c>
      <c r="E2401" s="2">
        <v>4461</v>
      </c>
      <c r="F2401">
        <f>HYPERLINK("https://www2.assemblee-nationale.fr/sycomore/fiche/(num_dept)/3498", "3498.0")</f>
        <v>0</v>
      </c>
      <c r="G2401">
        <f>HYPERLINK("https://www.senat.fr/senateur-3eme-republique/goujon_julien1586r3.html", "goujon_julien1586r3")</f>
        <v>0</v>
      </c>
      <c r="H2401">
        <f>HYPERLINK("https://www.wikidata.org/wiki/Q3189509", "Q3189509")</f>
        <v>0</v>
      </c>
    </row>
    <row r="2402" spans="1:8">
      <c r="A2402" t="s">
        <v>2408</v>
      </c>
      <c r="B2402" t="s">
        <v>7072</v>
      </c>
      <c r="C2402" t="s">
        <v>10470</v>
      </c>
      <c r="D2402" t="s">
        <v>13624</v>
      </c>
      <c r="E2402" s="2">
        <v>22024</v>
      </c>
      <c r="F2402">
        <f>HYPERLINK("https://www2.assemblee-nationale.fr/sycomore/fiche/(num_dept)/3499", "3499.0")</f>
        <v>0</v>
      </c>
      <c r="H2402">
        <f>HYPERLINK("https://www.wikidata.org/wiki/Q3220006", "Q3220006")</f>
        <v>0</v>
      </c>
    </row>
    <row r="2403" spans="1:8">
      <c r="A2403" t="s">
        <v>2409</v>
      </c>
      <c r="B2403" t="s">
        <v>7072</v>
      </c>
      <c r="C2403" t="s">
        <v>8384</v>
      </c>
      <c r="D2403" t="s">
        <v>13625</v>
      </c>
      <c r="E2403" s="2">
        <v>5351</v>
      </c>
      <c r="F2403">
        <f>HYPERLINK("https://www2.assemblee-nationale.fr/sycomore/fiche/(num_dept)/3501", "3501.0")</f>
        <v>0</v>
      </c>
      <c r="H2403">
        <f>HYPERLINK("https://www.wikidata.org/wiki/Q3385281", "Q3385281")</f>
        <v>0</v>
      </c>
    </row>
    <row r="2404" spans="1:8">
      <c r="A2404" t="s">
        <v>2410</v>
      </c>
      <c r="B2404" t="s">
        <v>7074</v>
      </c>
      <c r="C2404" t="s">
        <v>9320</v>
      </c>
      <c r="D2404" t="s">
        <v>13626</v>
      </c>
      <c r="E2404" s="2">
        <v>30599</v>
      </c>
      <c r="F2404">
        <f>HYPERLINK("https://www2.assemblee-nationale.fr/sycomore/fiche/(num_dept)/3506", "3506.0")</f>
        <v>0</v>
      </c>
      <c r="G2404">
        <f>HYPERLINK("https://www.senat.fr/senateur-3eme-republique/gounin_rene0402r3.html", "gounin_rene0402r3")</f>
        <v>0</v>
      </c>
      <c r="H2404">
        <f>HYPERLINK("https://www.wikidata.org/wiki/Q3426287", "Q3426287")</f>
        <v>0</v>
      </c>
    </row>
    <row r="2405" spans="1:8">
      <c r="A2405" t="s">
        <v>2411</v>
      </c>
      <c r="B2405" t="s">
        <v>7075</v>
      </c>
      <c r="C2405" t="s">
        <v>10070</v>
      </c>
      <c r="D2405" t="s">
        <v>13627</v>
      </c>
      <c r="E2405" s="2">
        <v>14273</v>
      </c>
      <c r="F2405">
        <f>HYPERLINK("https://www2.assemblee-nationale.fr/sycomore/fiche/(num_dept)/3507", "3507.0")</f>
        <v>0</v>
      </c>
      <c r="H2405">
        <f>HYPERLINK("https://www.wikidata.org/wiki/Q16025797", "Q16025797")</f>
        <v>0</v>
      </c>
    </row>
    <row r="2406" spans="1:8">
      <c r="A2406" t="s">
        <v>2412</v>
      </c>
      <c r="B2406" t="s">
        <v>7076</v>
      </c>
      <c r="C2406" t="s">
        <v>9457</v>
      </c>
      <c r="D2406" t="s">
        <v>13628</v>
      </c>
      <c r="E2406" s="2">
        <v>9489</v>
      </c>
      <c r="F2406">
        <f>HYPERLINK("https://www2.assemblee-nationale.fr/sycomore/fiche/(num_dept)/3508", "3508.0")</f>
        <v>0</v>
      </c>
      <c r="H2406">
        <f>HYPERLINK("https://www.wikidata.org/wiki/Q13626920", "Q13626920")</f>
        <v>0</v>
      </c>
    </row>
    <row r="2407" spans="1:8">
      <c r="A2407" t="s">
        <v>2413</v>
      </c>
      <c r="B2407" t="s">
        <v>7077</v>
      </c>
      <c r="C2407" t="s">
        <v>9512</v>
      </c>
      <c r="D2407" t="s">
        <v>13629</v>
      </c>
      <c r="E2407" s="2">
        <v>21102</v>
      </c>
      <c r="F2407">
        <f>HYPERLINK("https://www2.assemblee-nationale.fr/sycomore/fiche/(num_dept)/3509", "3509.0")</f>
        <v>0</v>
      </c>
      <c r="H2407">
        <f>HYPERLINK("https://www.wikidata.org/wiki/Q3099021", "Q3099021")</f>
        <v>0</v>
      </c>
    </row>
    <row r="2408" spans="1:8">
      <c r="A2408" t="s">
        <v>2414</v>
      </c>
      <c r="B2408" t="s">
        <v>7078</v>
      </c>
      <c r="C2408" t="s">
        <v>10357</v>
      </c>
      <c r="D2408" t="s">
        <v>13630</v>
      </c>
      <c r="E2408" s="2">
        <v>16734</v>
      </c>
      <c r="F2408">
        <f>HYPERLINK("https://www2.assemblee-nationale.fr/sycomore/fiche/(num_dept)/3511", "3511.0")</f>
        <v>0</v>
      </c>
      <c r="H2408">
        <f>HYPERLINK("https://www.wikidata.org/wiki/Q16025798", "Q16025798")</f>
        <v>0</v>
      </c>
    </row>
    <row r="2409" spans="1:8">
      <c r="A2409" t="s">
        <v>2415</v>
      </c>
      <c r="B2409" t="s">
        <v>7079</v>
      </c>
      <c r="C2409" t="s">
        <v>10219</v>
      </c>
      <c r="D2409" t="s">
        <v>13631</v>
      </c>
      <c r="E2409" s="2">
        <v>9566</v>
      </c>
      <c r="G2409">
        <f>HYPERLINK("https://www.senat.fr/senateur-3eme-republique/gourju_antonin1136r3.html", "gourju_antonin1136r3")</f>
        <v>0</v>
      </c>
      <c r="H2409">
        <f>HYPERLINK("https://www.wikidata.org/wiki/Q2857119", "Q2857119")</f>
        <v>0</v>
      </c>
    </row>
    <row r="2410" spans="1:8">
      <c r="A2410" t="s">
        <v>2416</v>
      </c>
      <c r="B2410" t="s">
        <v>7080</v>
      </c>
      <c r="C2410" t="s">
        <v>9524</v>
      </c>
      <c r="D2410" t="s">
        <v>13632</v>
      </c>
      <c r="E2410" t="s">
        <v>16144</v>
      </c>
      <c r="F2410">
        <f>HYPERLINK("https://www2.assemblee-nationale.fr/sycomore/fiche/(num_dept)/3516", "3516.0")</f>
        <v>0</v>
      </c>
      <c r="H2410">
        <f>HYPERLINK("https://www.wikidata.org/wiki/Q3588542", "Q3588542")</f>
        <v>0</v>
      </c>
    </row>
    <row r="2411" spans="1:8">
      <c r="A2411" t="s">
        <v>2417</v>
      </c>
      <c r="B2411" t="s">
        <v>7081</v>
      </c>
      <c r="C2411" t="s">
        <v>9524</v>
      </c>
      <c r="D2411" t="s">
        <v>13633</v>
      </c>
      <c r="E2411" s="2">
        <v>11050</v>
      </c>
      <c r="F2411">
        <f>HYPERLINK("https://www2.assemblee-nationale.fr/sycomore/fiche/(num_dept)/3517", "3517.0")</f>
        <v>0</v>
      </c>
      <c r="H2411">
        <f>HYPERLINK("https://www.wikidata.org/wiki/Q13091124", "Q13091124")</f>
        <v>0</v>
      </c>
    </row>
    <row r="2412" spans="1:8">
      <c r="A2412" t="s">
        <v>2418</v>
      </c>
      <c r="B2412" t="s">
        <v>7082</v>
      </c>
      <c r="C2412" t="s">
        <v>9337</v>
      </c>
      <c r="D2412" t="s">
        <v>13634</v>
      </c>
      <c r="E2412" s="2">
        <v>17927</v>
      </c>
      <c r="F2412">
        <f>HYPERLINK("https://www2.assemblee-nationale.fr/sycomore/fiche/(num_dept)/3519", "3519.0")</f>
        <v>0</v>
      </c>
      <c r="H2412">
        <f>HYPERLINK("https://www.wikidata.org/wiki/Q8331251", "Q8331251")</f>
        <v>0</v>
      </c>
    </row>
    <row r="2413" spans="1:8">
      <c r="A2413" t="s">
        <v>2419</v>
      </c>
      <c r="B2413" t="s">
        <v>7083</v>
      </c>
      <c r="C2413" t="s">
        <v>9324</v>
      </c>
      <c r="D2413" t="s">
        <v>13635</v>
      </c>
      <c r="E2413" s="2">
        <v>19700</v>
      </c>
      <c r="F2413">
        <f>HYPERLINK("https://www2.assemblee-nationale.fr/sycomore/fiche/(num_dept)/3520", "3520.0")</f>
        <v>0</v>
      </c>
      <c r="H2413">
        <f>HYPERLINK("https://www.wikidata.org/wiki/Q603191", "Q603191")</f>
        <v>0</v>
      </c>
    </row>
    <row r="2414" spans="1:8">
      <c r="A2414" t="s">
        <v>2420</v>
      </c>
      <c r="B2414" t="s">
        <v>7084</v>
      </c>
      <c r="C2414" t="s">
        <v>9355</v>
      </c>
      <c r="D2414" t="s">
        <v>13636</v>
      </c>
      <c r="E2414" s="2">
        <v>2528</v>
      </c>
      <c r="G2414">
        <f>HYPERLINK("https://www.senat.fr/senateur-3eme-republique/goutant_charles0174r3.html", "goutant_charles0174r3")</f>
        <v>0</v>
      </c>
      <c r="H2414">
        <f>HYPERLINK("https://www.wikidata.org/wiki/Q2959245", "Q2959245")</f>
        <v>0</v>
      </c>
    </row>
    <row r="2415" spans="1:8">
      <c r="A2415" t="s">
        <v>2421</v>
      </c>
      <c r="B2415" t="s">
        <v>7085</v>
      </c>
      <c r="C2415" t="s">
        <v>8691</v>
      </c>
      <c r="D2415" t="s">
        <v>13637</v>
      </c>
      <c r="E2415" t="s">
        <v>16145</v>
      </c>
      <c r="G2415">
        <f>HYPERLINK("https://www.senat.fr/senateur-3eme-republique/goutay_robert0984r3.html", "goutay_robert0984r3")</f>
        <v>0</v>
      </c>
      <c r="H2415">
        <f>HYPERLINK("https://www.wikidata.org/wiki/Q3435264", "Q3435264")</f>
        <v>0</v>
      </c>
    </row>
    <row r="2416" spans="1:8">
      <c r="A2416" t="s">
        <v>2422</v>
      </c>
      <c r="B2416" t="s">
        <v>7086</v>
      </c>
      <c r="C2416" t="s">
        <v>6864</v>
      </c>
      <c r="D2416" t="s">
        <v>13638</v>
      </c>
      <c r="E2416" s="2">
        <v>24458</v>
      </c>
      <c r="F2416">
        <f>HYPERLINK("https://www2.assemblee-nationale.fr/sycomore/fiche/(num_dept)/3524", "3524.0")</f>
        <v>0</v>
      </c>
      <c r="H2416">
        <f>HYPERLINK("https://www.wikidata.org/wiki/Q16025801", "Q16025801")</f>
        <v>0</v>
      </c>
    </row>
    <row r="2417" spans="1:8">
      <c r="A2417" t="s">
        <v>2423</v>
      </c>
      <c r="B2417" t="s">
        <v>7087</v>
      </c>
      <c r="C2417" t="s">
        <v>10471</v>
      </c>
      <c r="D2417" t="s">
        <v>13639</v>
      </c>
      <c r="E2417" s="2">
        <v>6132</v>
      </c>
      <c r="F2417">
        <f>HYPERLINK("https://www2.assemblee-nationale.fr/sycomore/fiche/(num_dept)/3527", "3527.0")</f>
        <v>0</v>
      </c>
      <c r="H2417">
        <f>HYPERLINK("https://www.wikidata.org/wiki/Q16025799", "Q16025799")</f>
        <v>0</v>
      </c>
    </row>
    <row r="2418" spans="1:8">
      <c r="A2418" t="s">
        <v>2424</v>
      </c>
      <c r="B2418" t="s">
        <v>7088</v>
      </c>
      <c r="C2418" t="s">
        <v>9430</v>
      </c>
      <c r="D2418" t="s">
        <v>13640</v>
      </c>
      <c r="E2418" s="2">
        <v>7116</v>
      </c>
      <c r="F2418">
        <f>HYPERLINK("https://www2.assemblee-nationale.fr/sycomore/fiche/(num_dept)/3530", "3530.0")</f>
        <v>0</v>
      </c>
      <c r="G2418">
        <f>HYPERLINK("https://www.senat.fr/senateur-3eme-republique/gouzy_paul1686r3.html", "gouzy_paul1686r3")</f>
        <v>0</v>
      </c>
      <c r="H2418">
        <f>HYPERLINK("https://www.wikidata.org/wiki/Q3371348", "Q3371348")</f>
        <v>0</v>
      </c>
    </row>
    <row r="2419" spans="1:8">
      <c r="A2419" t="s">
        <v>2425</v>
      </c>
      <c r="B2419" t="s">
        <v>7089</v>
      </c>
      <c r="C2419" t="s">
        <v>9524</v>
      </c>
      <c r="D2419" t="s">
        <v>13641</v>
      </c>
      <c r="E2419" s="2">
        <v>9188</v>
      </c>
      <c r="G2419">
        <f>HYPERLINK("https://www.senat.fr/senateur-3eme-republique/goy_emile1320r3.html", "goy_emile1320r3")</f>
        <v>0</v>
      </c>
      <c r="H2419">
        <f>HYPERLINK("https://www.wikidata.org/wiki/Q3588546", "Q3588546")</f>
        <v>0</v>
      </c>
    </row>
    <row r="2420" spans="1:8">
      <c r="A2420" t="s">
        <v>2426</v>
      </c>
      <c r="B2420" t="s">
        <v>7090</v>
      </c>
      <c r="C2420" t="s">
        <v>7342</v>
      </c>
      <c r="D2420" t="s">
        <v>13642</v>
      </c>
      <c r="E2420" s="2">
        <v>16129</v>
      </c>
      <c r="F2420">
        <f>HYPERLINK("https://www2.assemblee-nationale.fr/sycomore/fiche/(num_dept)/3531", "3531.0")</f>
        <v>0</v>
      </c>
      <c r="H2420">
        <f>HYPERLINK("https://www.wikidata.org/wiki/Q3172356", "Q3172356")</f>
        <v>0</v>
      </c>
    </row>
    <row r="2421" spans="1:8">
      <c r="A2421" t="s">
        <v>2427</v>
      </c>
      <c r="B2421" t="s">
        <v>7091</v>
      </c>
      <c r="C2421" t="s">
        <v>10472</v>
      </c>
      <c r="D2421" t="s">
        <v>13643</v>
      </c>
      <c r="E2421" s="2">
        <v>6701</v>
      </c>
      <c r="F2421">
        <f>HYPERLINK("https://www2.assemblee-nationale.fr/sycomore/fiche/(num_dept)/3533", "3533.0")</f>
        <v>0</v>
      </c>
      <c r="H2421">
        <f>HYPERLINK("https://www.wikidata.org/wiki/Q2828011", "Q2828011")</f>
        <v>0</v>
      </c>
    </row>
    <row r="2422" spans="1:8">
      <c r="A2422" t="s">
        <v>2428</v>
      </c>
      <c r="B2422" t="s">
        <v>7092</v>
      </c>
      <c r="C2422" t="s">
        <v>9368</v>
      </c>
      <c r="D2422" t="s">
        <v>13644</v>
      </c>
      <c r="E2422" s="2">
        <v>3439</v>
      </c>
      <c r="G2422">
        <f>HYPERLINK("https://www.senat.fr/senateur-3eme-republique/gouin_eugene1478r3.html", "gouin_eugene1478r3")</f>
        <v>0</v>
      </c>
      <c r="H2422">
        <f>HYPERLINK("https://www.wikidata.org/wiki/Q3059899", "Q3059899")</f>
        <v>0</v>
      </c>
    </row>
    <row r="2423" spans="1:8">
      <c r="A2423" t="s">
        <v>2429</v>
      </c>
      <c r="B2423" t="s">
        <v>7093</v>
      </c>
      <c r="C2423" t="s">
        <v>10473</v>
      </c>
      <c r="D2423" t="s">
        <v>13645</v>
      </c>
      <c r="E2423" s="2">
        <v>26249</v>
      </c>
      <c r="F2423">
        <f>HYPERLINK("https://www2.assemblee-nationale.fr/sycomore/fiche/(num_dept)/3538", "3538.0")</f>
        <v>0</v>
      </c>
      <c r="H2423">
        <f>HYPERLINK("https://www.wikidata.org/wiki/Q8325574", "Q8325574")</f>
        <v>0</v>
      </c>
    </row>
    <row r="2424" spans="1:8">
      <c r="A2424" t="s">
        <v>2430</v>
      </c>
      <c r="B2424" t="s">
        <v>7094</v>
      </c>
      <c r="C2424" t="s">
        <v>9564</v>
      </c>
      <c r="D2424" t="s">
        <v>13646</v>
      </c>
      <c r="E2424" s="2">
        <v>13699</v>
      </c>
      <c r="G2424">
        <f>HYPERLINK("https://www.senat.fr/senateur-3eme-republique/grand_alfred0620r3.html", "grand_alfred0620r3")</f>
        <v>0</v>
      </c>
      <c r="H2424">
        <f>HYPERLINK("https://www.wikidata.org/wiki/Q2835157", "Q2835157")</f>
        <v>0</v>
      </c>
    </row>
    <row r="2425" spans="1:8">
      <c r="A2425" t="s">
        <v>2431</v>
      </c>
      <c r="B2425" t="s">
        <v>7094</v>
      </c>
      <c r="C2425" t="s">
        <v>8716</v>
      </c>
      <c r="D2425" t="s">
        <v>13647</v>
      </c>
      <c r="E2425" s="2">
        <v>22792</v>
      </c>
      <c r="G2425">
        <f>HYPERLINK("https://www.senat.fr/senateur-3eme-republique/grand_roger0912r3.html", "grand_roger0912r3")</f>
        <v>0</v>
      </c>
      <c r="H2425">
        <f>HYPERLINK("https://www.wikidata.org/wiki/Q3439046", "Q3439046")</f>
        <v>0</v>
      </c>
    </row>
    <row r="2426" spans="1:8">
      <c r="A2426" t="s">
        <v>2432</v>
      </c>
      <c r="B2426" t="s">
        <v>7095</v>
      </c>
      <c r="C2426" t="s">
        <v>7001</v>
      </c>
      <c r="D2426" t="s">
        <v>13648</v>
      </c>
      <c r="E2426" s="2">
        <v>12496</v>
      </c>
      <c r="F2426">
        <f>HYPERLINK("https://www2.assemblee-nationale.fr/sycomore/fiche/(num_dept)/3541", "3541.0")</f>
        <v>0</v>
      </c>
      <c r="H2426">
        <f>HYPERLINK("https://www.wikidata.org/wiki/Q16025802", "Q16025802")</f>
        <v>0</v>
      </c>
    </row>
    <row r="2427" spans="1:8">
      <c r="A2427" t="s">
        <v>2433</v>
      </c>
      <c r="B2427" t="s">
        <v>7096</v>
      </c>
      <c r="C2427" t="s">
        <v>10474</v>
      </c>
      <c r="D2427" t="s">
        <v>13649</v>
      </c>
      <c r="E2427" s="2">
        <v>383</v>
      </c>
      <c r="F2427">
        <f>HYPERLINK("https://www2.assemblee-nationale.fr/sycomore/fiche/(num_dept)/7562", "7562.0")</f>
        <v>0</v>
      </c>
      <c r="H2427">
        <f>HYPERLINK("https://www.wikidata.org/wiki/Q2959601", "Q2959601")</f>
        <v>0</v>
      </c>
    </row>
    <row r="2428" spans="1:8">
      <c r="A2428" t="s">
        <v>2434</v>
      </c>
      <c r="B2428" t="s">
        <v>7096</v>
      </c>
      <c r="C2428" t="s">
        <v>10475</v>
      </c>
      <c r="D2428" t="s">
        <v>12720</v>
      </c>
      <c r="E2428" s="2">
        <v>16043</v>
      </c>
      <c r="F2428">
        <f>HYPERLINK("https://www2.assemblee-nationale.fr/sycomore/fiche/(num_dept)/3542", "3542.0")</f>
        <v>0</v>
      </c>
      <c r="H2428">
        <f>HYPERLINK("https://www.wikidata.org/wiki/Q3103201", "Q3103201")</f>
        <v>0</v>
      </c>
    </row>
    <row r="2429" spans="1:8">
      <c r="A2429" t="s">
        <v>2435</v>
      </c>
      <c r="B2429" t="s">
        <v>7096</v>
      </c>
      <c r="C2429" t="s">
        <v>10476</v>
      </c>
      <c r="D2429" t="s">
        <v>13650</v>
      </c>
      <c r="E2429" s="2">
        <v>27046</v>
      </c>
      <c r="F2429">
        <f>HYPERLINK("https://www2.assemblee-nationale.fr/sycomore/fiche/(num_dept)/7563", "7563.0")</f>
        <v>0</v>
      </c>
      <c r="H2429">
        <f>HYPERLINK("https://www.wikidata.org/wiki/Q3173069", "Q3173069")</f>
        <v>0</v>
      </c>
    </row>
    <row r="2430" spans="1:8">
      <c r="A2430" t="s">
        <v>2436</v>
      </c>
      <c r="B2430" t="s">
        <v>7096</v>
      </c>
      <c r="C2430" t="s">
        <v>10477</v>
      </c>
      <c r="D2430" t="s">
        <v>11843</v>
      </c>
      <c r="E2430" s="2">
        <v>30169</v>
      </c>
      <c r="F2430">
        <f>HYPERLINK("https://www2.assemblee-nationale.fr/sycomore/fiche/(num_dept)/3544", "3544.0")</f>
        <v>0</v>
      </c>
      <c r="H2430">
        <f>HYPERLINK("https://www.wikidata.org/wiki/Q3435925", "Q3435925")</f>
        <v>0</v>
      </c>
    </row>
    <row r="2431" spans="1:8">
      <c r="A2431" t="s">
        <v>2437</v>
      </c>
      <c r="B2431" t="s">
        <v>7097</v>
      </c>
      <c r="C2431" t="s">
        <v>10211</v>
      </c>
      <c r="D2431" t="s">
        <v>13651</v>
      </c>
      <c r="E2431" t="s">
        <v>16146</v>
      </c>
      <c r="G2431">
        <f>HYPERLINK("https://www.senat.fr/senateur-3eme-republique/grandperret_theodore1479r3.html", "grandperret_theodore1479r3")</f>
        <v>0</v>
      </c>
      <c r="H2431">
        <f>HYPERLINK("https://www.wikidata.org/wiki/Q3309803", "Q3309803")</f>
        <v>0</v>
      </c>
    </row>
    <row r="2432" spans="1:8">
      <c r="A2432" t="s">
        <v>2438</v>
      </c>
      <c r="B2432" t="s">
        <v>7098</v>
      </c>
      <c r="C2432" t="s">
        <v>10478</v>
      </c>
      <c r="D2432" t="s">
        <v>13652</v>
      </c>
      <c r="E2432" s="2">
        <v>13221</v>
      </c>
      <c r="F2432">
        <f>HYPERLINK("https://www2.assemblee-nationale.fr/sycomore/fiche/(num_dept)/3547", "3547.0")</f>
        <v>0</v>
      </c>
      <c r="H2432">
        <f>HYPERLINK("https://www.wikidata.org/wiki/Q3092454", "Q3092454")</f>
        <v>0</v>
      </c>
    </row>
    <row r="2433" spans="1:8">
      <c r="A2433" t="s">
        <v>2439</v>
      </c>
      <c r="B2433" t="s">
        <v>7099</v>
      </c>
      <c r="C2433" t="s">
        <v>9332</v>
      </c>
      <c r="D2433" t="s">
        <v>13653</v>
      </c>
      <c r="E2433" s="2">
        <v>5255</v>
      </c>
      <c r="F2433">
        <f>HYPERLINK("https://www2.assemblee-nationale.fr/sycomore/fiche/(num_dept)/3549", "3549.0")</f>
        <v>0</v>
      </c>
      <c r="H2433">
        <f>HYPERLINK("https://www.wikidata.org/wiki/Q3056990", "Q3056990")</f>
        <v>0</v>
      </c>
    </row>
    <row r="2434" spans="1:8">
      <c r="A2434" t="s">
        <v>2440</v>
      </c>
      <c r="B2434" t="s">
        <v>7100</v>
      </c>
      <c r="C2434" t="s">
        <v>8793</v>
      </c>
      <c r="D2434" t="s">
        <v>13654</v>
      </c>
      <c r="E2434" t="s">
        <v>16147</v>
      </c>
      <c r="G2434">
        <f>HYPERLINK("https://www.senat.fr/senateur-3eme-republique/granier_regis1700r3.html", "granier_regis1700r3")</f>
        <v>0</v>
      </c>
      <c r="H2434">
        <f>HYPERLINK("https://www.wikidata.org/wiki/Q3089851", "Q3089851")</f>
        <v>0</v>
      </c>
    </row>
    <row r="2435" spans="1:8">
      <c r="A2435" t="s">
        <v>2441</v>
      </c>
      <c r="B2435" t="s">
        <v>7101</v>
      </c>
      <c r="C2435" t="s">
        <v>9533</v>
      </c>
      <c r="D2435" t="s">
        <v>13655</v>
      </c>
      <c r="E2435" s="2">
        <v>6344</v>
      </c>
      <c r="F2435">
        <f>HYPERLINK("https://www2.assemblee-nationale.fr/sycomore/fiche/(num_dept)/3551", "3551.0")</f>
        <v>0</v>
      </c>
      <c r="H2435">
        <f>HYPERLINK("https://www.wikidata.org/wiki/Q16025805", "Q16025805")</f>
        <v>0</v>
      </c>
    </row>
    <row r="2436" spans="1:8">
      <c r="A2436" t="s">
        <v>2442</v>
      </c>
      <c r="B2436" t="s">
        <v>7102</v>
      </c>
      <c r="C2436" t="s">
        <v>10167</v>
      </c>
      <c r="D2436" t="s">
        <v>13656</v>
      </c>
      <c r="E2436" s="2">
        <v>14241</v>
      </c>
      <c r="G2436">
        <f>HYPERLINK("https://www.senat.fr/senateur-3eme-republique/gras_anatole1179r3.html", "gras_anatole1179r3")</f>
        <v>0</v>
      </c>
      <c r="H2436">
        <f>HYPERLINK("https://www.wikidata.org/wiki/Q2845580", "Q2845580")</f>
        <v>0</v>
      </c>
    </row>
    <row r="2437" spans="1:8">
      <c r="A2437" t="s">
        <v>2443</v>
      </c>
      <c r="B2437" t="s">
        <v>7103</v>
      </c>
      <c r="C2437" t="s">
        <v>9337</v>
      </c>
      <c r="D2437" t="s">
        <v>13657</v>
      </c>
      <c r="E2437" s="2">
        <v>16634</v>
      </c>
      <c r="F2437">
        <f>HYPERLINK("https://www2.assemblee-nationale.fr/sycomore/fiche/(num_dept)/3558", "3558.0")</f>
        <v>0</v>
      </c>
      <c r="H2437">
        <f>HYPERLINK("https://www.wikidata.org/wiki/Q2871211", "Q2871211")</f>
        <v>0</v>
      </c>
    </row>
    <row r="2438" spans="1:8">
      <c r="A2438" t="s">
        <v>2444</v>
      </c>
      <c r="B2438" t="s">
        <v>7104</v>
      </c>
      <c r="C2438" t="s">
        <v>10479</v>
      </c>
      <c r="D2438" t="s">
        <v>13658</v>
      </c>
      <c r="E2438" s="2">
        <v>277</v>
      </c>
      <c r="F2438">
        <f>HYPERLINK("https://www2.assemblee-nationale.fr/sycomore/fiche/(num_dept)/3559", "3559.0")</f>
        <v>0</v>
      </c>
      <c r="H2438">
        <f>HYPERLINK("https://www.wikidata.org/wiki/Q16025808", "Q16025808")</f>
        <v>0</v>
      </c>
    </row>
    <row r="2439" spans="1:8">
      <c r="A2439" t="s">
        <v>2445</v>
      </c>
      <c r="B2439" t="s">
        <v>7105</v>
      </c>
      <c r="C2439" t="s">
        <v>6864</v>
      </c>
      <c r="D2439" t="s">
        <v>13659</v>
      </c>
      <c r="E2439" s="2">
        <v>7838</v>
      </c>
      <c r="G2439">
        <f>HYPERLINK("https://www.senat.fr/senateur-3eme-republique/gravin_francois1296r3.html", "gravin_francois1296r3")</f>
        <v>0</v>
      </c>
      <c r="H2439">
        <f>HYPERLINK("https://www.wikidata.org/wiki/Q3084765", "Q3084765")</f>
        <v>0</v>
      </c>
    </row>
    <row r="2440" spans="1:8">
      <c r="A2440" t="s">
        <v>2446</v>
      </c>
      <c r="B2440" t="s">
        <v>7106</v>
      </c>
      <c r="C2440" t="s">
        <v>10480</v>
      </c>
      <c r="D2440" t="s">
        <v>13660</v>
      </c>
      <c r="E2440" s="2">
        <v>2374</v>
      </c>
      <c r="F2440">
        <f>HYPERLINK("https://www2.assemblee-nationale.fr/sycomore/fiche/(num_dept)/8098", "8098.0")</f>
        <v>0</v>
      </c>
      <c r="H2440">
        <f>HYPERLINK("https://www.wikidata.org/wiki/Q16025809", "Q16025809")</f>
        <v>0</v>
      </c>
    </row>
    <row r="2441" spans="1:8">
      <c r="A2441" t="s">
        <v>2447</v>
      </c>
      <c r="B2441" t="s">
        <v>7106</v>
      </c>
      <c r="C2441" t="s">
        <v>10481</v>
      </c>
      <c r="D2441" t="s">
        <v>13661</v>
      </c>
      <c r="E2441" s="2">
        <v>15658</v>
      </c>
      <c r="F2441">
        <f>HYPERLINK("https://www2.assemblee-nationale.fr/sycomore/fiche/(num_dept)/3564", "3564.0")</f>
        <v>0</v>
      </c>
      <c r="H2441">
        <f>HYPERLINK("https://www.wikidata.org/wiki/Q16025810", "Q16025810")</f>
        <v>0</v>
      </c>
    </row>
    <row r="2442" spans="1:8">
      <c r="A2442" t="s">
        <v>2448</v>
      </c>
      <c r="B2442" t="s">
        <v>7107</v>
      </c>
      <c r="C2442" t="s">
        <v>9368</v>
      </c>
      <c r="D2442" t="s">
        <v>13662</v>
      </c>
      <c r="E2442" s="2">
        <v>21193</v>
      </c>
      <c r="F2442">
        <f>HYPERLINK("https://www2.assemblee-nationale.fr/sycomore/fiche/(num_dept)/3536", "3536.0")</f>
        <v>0</v>
      </c>
      <c r="H2442">
        <f>HYPERLINK("https://www.wikidata.org/wiki/Q15971701", "Q15971701")</f>
        <v>0</v>
      </c>
    </row>
    <row r="2443" spans="1:8">
      <c r="A2443" t="s">
        <v>2449</v>
      </c>
      <c r="B2443" t="s">
        <v>7108</v>
      </c>
      <c r="C2443" t="s">
        <v>9324</v>
      </c>
      <c r="D2443" t="s">
        <v>13663</v>
      </c>
      <c r="E2443" s="2">
        <v>11779</v>
      </c>
      <c r="F2443">
        <f>HYPERLINK("https://www2.assemblee-nationale.fr/sycomore/fiche/(num_dept)/3566", "3566.0")</f>
        <v>0</v>
      </c>
      <c r="H2443">
        <f>HYPERLINK("https://www.wikidata.org/wiki/Q3132810", "Q3132810")</f>
        <v>0</v>
      </c>
    </row>
    <row r="2444" spans="1:8">
      <c r="A2444" t="s">
        <v>2450</v>
      </c>
      <c r="B2444" t="s">
        <v>7109</v>
      </c>
      <c r="C2444" t="s">
        <v>8370</v>
      </c>
      <c r="D2444" t="s">
        <v>13664</v>
      </c>
      <c r="E2444" s="2">
        <v>16156</v>
      </c>
      <c r="F2444">
        <f>HYPERLINK("https://www2.assemblee-nationale.fr/sycomore/fiche/(num_dept)/3573", "3573.0")</f>
        <v>0</v>
      </c>
      <c r="H2444">
        <f>HYPERLINK("https://www.wikidata.org/wiki/Q979149", "Q979149")</f>
        <v>0</v>
      </c>
    </row>
    <row r="2445" spans="1:8">
      <c r="A2445" t="s">
        <v>2451</v>
      </c>
      <c r="B2445" t="s">
        <v>7110</v>
      </c>
      <c r="C2445" t="s">
        <v>9930</v>
      </c>
      <c r="D2445" t="s">
        <v>13665</v>
      </c>
      <c r="E2445" t="s">
        <v>16148</v>
      </c>
      <c r="F2445">
        <f>HYPERLINK("https://www2.assemblee-nationale.fr/sycomore/fiche/(num_dept)/3574", "3574.0")</f>
        <v>0</v>
      </c>
      <c r="H2445">
        <f>HYPERLINK("https://www.wikidata.org/wiki/Q3262079", "Q3262079")</f>
        <v>0</v>
      </c>
    </row>
    <row r="2446" spans="1:8">
      <c r="A2446" t="s">
        <v>2452</v>
      </c>
      <c r="B2446" t="s">
        <v>7111</v>
      </c>
      <c r="C2446" t="s">
        <v>9324</v>
      </c>
      <c r="D2446" t="s">
        <v>13666</v>
      </c>
      <c r="E2446" t="s">
        <v>16149</v>
      </c>
      <c r="G2446">
        <f>HYPERLINK("https://www.senat.fr/senateur-3eme-republique/gresley_henri1482r3.html", "gresley_henri1482r3")</f>
        <v>0</v>
      </c>
      <c r="H2446">
        <f>HYPERLINK("https://www.wikidata.org/wiki/Q1605837", "Q1605837")</f>
        <v>0</v>
      </c>
    </row>
    <row r="2447" spans="1:8">
      <c r="A2447" t="s">
        <v>2453</v>
      </c>
      <c r="B2447" t="s">
        <v>7112</v>
      </c>
      <c r="C2447" t="s">
        <v>9430</v>
      </c>
      <c r="D2447" t="s">
        <v>13146</v>
      </c>
      <c r="E2447" s="2">
        <v>5329</v>
      </c>
      <c r="G2447">
        <f>HYPERLINK("https://www.senat.fr/senateur-3eme-republique/grevy_paul0427r3.html", "grevy_paul0427r3")</f>
        <v>0</v>
      </c>
      <c r="H2447">
        <f>HYPERLINK("https://www.wikidata.org/wiki/Q3371376", "Q3371376")</f>
        <v>0</v>
      </c>
    </row>
    <row r="2448" spans="1:8">
      <c r="A2448" t="s">
        <v>2454</v>
      </c>
      <c r="B2448" t="s">
        <v>7112</v>
      </c>
      <c r="C2448" t="s">
        <v>5058</v>
      </c>
      <c r="D2448" t="s">
        <v>13667</v>
      </c>
      <c r="E2448" t="s">
        <v>16150</v>
      </c>
      <c r="G2448">
        <f>HYPERLINK("https://www.senat.fr/senateur-3eme-republique/grevy_albert1483r3.html", "grevy_albert1483r3")</f>
        <v>0</v>
      </c>
      <c r="H2448">
        <f>HYPERLINK("https://www.wikidata.org/wiki/Q2831215", "Q2831215")</f>
        <v>0</v>
      </c>
    </row>
    <row r="2449" spans="1:8">
      <c r="A2449" t="s">
        <v>2455</v>
      </c>
      <c r="B2449" t="s">
        <v>7113</v>
      </c>
      <c r="C2449" t="s">
        <v>9355</v>
      </c>
      <c r="D2449" t="s">
        <v>13668</v>
      </c>
      <c r="E2449" t="s">
        <v>16151</v>
      </c>
      <c r="G2449">
        <f>HYPERLINK("https://www.senat.fr/senateur-3eme-republique/griffe_charles0248r3.html", "griffe_charles0248r3")</f>
        <v>0</v>
      </c>
      <c r="H2449">
        <f>HYPERLINK("https://www.wikidata.org/wiki/Q2959258", "Q2959258")</f>
        <v>0</v>
      </c>
    </row>
    <row r="2450" spans="1:8">
      <c r="A2450" t="s">
        <v>2456</v>
      </c>
      <c r="B2450" t="s">
        <v>7114</v>
      </c>
      <c r="C2450" t="s">
        <v>7342</v>
      </c>
      <c r="D2450" t="s">
        <v>13669</v>
      </c>
      <c r="E2450" s="2">
        <v>9018</v>
      </c>
      <c r="F2450">
        <f>HYPERLINK("https://www2.assemblee-nationale.fr/sycomore/fiche/(num_dept)/3581", "3581.0")</f>
        <v>0</v>
      </c>
      <c r="H2450">
        <f>HYPERLINK("https://www.wikidata.org/wiki/Q3172387", "Q3172387")</f>
        <v>0</v>
      </c>
    </row>
    <row r="2451" spans="1:8">
      <c r="A2451" t="s">
        <v>2457</v>
      </c>
      <c r="B2451" t="s">
        <v>7115</v>
      </c>
      <c r="C2451" t="s">
        <v>9373</v>
      </c>
      <c r="D2451" t="s">
        <v>13670</v>
      </c>
      <c r="E2451" s="2">
        <v>5285</v>
      </c>
      <c r="F2451">
        <f>HYPERLINK("https://www2.assemblee-nationale.fr/sycomore/fiche/(num_dept)/3585", "3585.0")</f>
        <v>0</v>
      </c>
      <c r="G2451">
        <f>HYPERLINK("https://www.senat.fr/senateur-3eme-republique/grimaud_joseph0083r3.html", "grimaud_joseph0083r3")</f>
        <v>0</v>
      </c>
      <c r="H2451">
        <f>HYPERLINK("https://www.wikidata.org/wiki/Q3185036", "Q3185036")</f>
        <v>0</v>
      </c>
    </row>
    <row r="2452" spans="1:8">
      <c r="A2452" t="s">
        <v>2458</v>
      </c>
      <c r="B2452" t="s">
        <v>7115</v>
      </c>
      <c r="C2452" t="s">
        <v>9332</v>
      </c>
      <c r="D2452" t="s">
        <v>13671</v>
      </c>
      <c r="E2452" s="2">
        <v>25725</v>
      </c>
      <c r="F2452">
        <f>HYPERLINK("https://www2.assemblee-nationale.fr/sycomore/fiche/(num_dept)/3582", "3582.0")</f>
        <v>0</v>
      </c>
      <c r="H2452">
        <f>HYPERLINK("https://www.wikidata.org/wiki/Q16025811", "Q16025811")</f>
        <v>0</v>
      </c>
    </row>
    <row r="2453" spans="1:8">
      <c r="A2453" t="s">
        <v>2459</v>
      </c>
      <c r="B2453" t="s">
        <v>7116</v>
      </c>
      <c r="C2453" t="s">
        <v>9346</v>
      </c>
      <c r="D2453" t="s">
        <v>13672</v>
      </c>
      <c r="E2453" s="2">
        <v>21637</v>
      </c>
      <c r="F2453">
        <f>HYPERLINK("https://www2.assemblee-nationale.fr/sycomore/fiche/(num_dept)/3589", "3589.0")</f>
        <v>0</v>
      </c>
      <c r="H2453">
        <f>HYPERLINK("https://www.wikidata.org/wiki/Q3579872", "Q3579872")</f>
        <v>0</v>
      </c>
    </row>
    <row r="2454" spans="1:8">
      <c r="A2454" t="s">
        <v>2460</v>
      </c>
      <c r="B2454" t="s">
        <v>7117</v>
      </c>
      <c r="C2454" t="s">
        <v>6864</v>
      </c>
      <c r="D2454" t="s">
        <v>13673</v>
      </c>
      <c r="E2454" s="2">
        <v>10013</v>
      </c>
      <c r="F2454">
        <f>HYPERLINK("https://www2.assemblee-nationale.fr/sycomore/fiche/(num_dept)/3591", "3591.0")</f>
        <v>0</v>
      </c>
      <c r="H2454">
        <f>HYPERLINK("https://www.wikidata.org/wiki/Q16025812", "Q16025812")</f>
        <v>0</v>
      </c>
    </row>
    <row r="2455" spans="1:8">
      <c r="A2455" t="s">
        <v>2461</v>
      </c>
      <c r="B2455" t="s">
        <v>7118</v>
      </c>
      <c r="C2455" t="s">
        <v>5096</v>
      </c>
      <c r="D2455" t="s">
        <v>13189</v>
      </c>
      <c r="E2455" s="2">
        <v>27627</v>
      </c>
      <c r="F2455">
        <f>HYPERLINK("https://www2.assemblee-nationale.fr/sycomore/fiche/(num_dept)/3592", "3592.0")</f>
        <v>0</v>
      </c>
      <c r="H2455">
        <f>HYPERLINK("https://www.wikidata.org/wiki/Q2847884", "Q2847884")</f>
        <v>0</v>
      </c>
    </row>
    <row r="2456" spans="1:8">
      <c r="A2456" t="s">
        <v>2462</v>
      </c>
      <c r="B2456" t="s">
        <v>7119</v>
      </c>
      <c r="C2456" t="s">
        <v>7754</v>
      </c>
      <c r="D2456" t="s">
        <v>13674</v>
      </c>
      <c r="E2456" s="2">
        <v>582</v>
      </c>
      <c r="G2456">
        <f>HYPERLINK("https://www.senat.fr/senateur-3eme-republique/grivart_louis0525r3.html", "grivart_louis0525r3")</f>
        <v>0</v>
      </c>
      <c r="H2456">
        <f>HYPERLINK("https://www.wikidata.org/wiki/Q3262084", "Q3262084")</f>
        <v>0</v>
      </c>
    </row>
    <row r="2457" spans="1:8">
      <c r="A2457" t="s">
        <v>2463</v>
      </c>
      <c r="B2457" t="s">
        <v>7120</v>
      </c>
      <c r="C2457" t="s">
        <v>5058</v>
      </c>
      <c r="D2457" t="s">
        <v>13675</v>
      </c>
      <c r="E2457" s="2">
        <v>12084</v>
      </c>
      <c r="F2457">
        <f>HYPERLINK("https://www2.assemblee-nationale.fr/sycomore/fiche/(num_dept)/3594", "3594.0")</f>
        <v>0</v>
      </c>
      <c r="H2457">
        <f>HYPERLINK("https://www.wikidata.org/wiki/Q3260991", "Q3260991")</f>
        <v>0</v>
      </c>
    </row>
    <row r="2458" spans="1:8">
      <c r="A2458" t="s">
        <v>2464</v>
      </c>
      <c r="B2458" t="s">
        <v>7121</v>
      </c>
      <c r="C2458" t="s">
        <v>10482</v>
      </c>
      <c r="D2458" t="s">
        <v>13676</v>
      </c>
      <c r="E2458" t="s">
        <v>16152</v>
      </c>
      <c r="F2458">
        <f>HYPERLINK("https://www2.assemblee-nationale.fr/sycomore/fiche/(num_dept)/3595", "3595.0")</f>
        <v>0</v>
      </c>
      <c r="H2458">
        <f>HYPERLINK("https://www.wikidata.org/wiki/Q15969529", "Q15969529")</f>
        <v>0</v>
      </c>
    </row>
    <row r="2459" spans="1:8">
      <c r="A2459" t="s">
        <v>2465</v>
      </c>
      <c r="B2459" t="s">
        <v>7122</v>
      </c>
      <c r="C2459" t="s">
        <v>9471</v>
      </c>
      <c r="D2459" t="s">
        <v>13677</v>
      </c>
      <c r="E2459" s="2">
        <v>7018</v>
      </c>
      <c r="F2459">
        <f>HYPERLINK("https://www2.assemblee-nationale.fr/sycomore/fiche/(num_dept)/3599", "3599.0")</f>
        <v>0</v>
      </c>
      <c r="H2459">
        <f>HYPERLINK("https://www.wikidata.org/wiki/Q16647498", "Q16647498")</f>
        <v>0</v>
      </c>
    </row>
    <row r="2460" spans="1:8">
      <c r="A2460" t="s">
        <v>2466</v>
      </c>
      <c r="B2460" t="s">
        <v>7122</v>
      </c>
      <c r="C2460" t="s">
        <v>7754</v>
      </c>
      <c r="D2460" t="s">
        <v>13678</v>
      </c>
      <c r="E2460" s="2">
        <v>23342</v>
      </c>
      <c r="F2460">
        <f>HYPERLINK("https://www2.assemblee-nationale.fr/sycomore/fiche/(num_dept)/3600", "3600.0")</f>
        <v>0</v>
      </c>
      <c r="G2460">
        <f>HYPERLINK("https://www.senat.fr/senateur-3eme-republique/gros_louis1706r3.html", "gros_louis1706r3")</f>
        <v>0</v>
      </c>
      <c r="H2460">
        <f>HYPERLINK("https://www.wikidata.org/wiki/Q3262089", "Q3262089")</f>
        <v>0</v>
      </c>
    </row>
    <row r="2461" spans="1:8">
      <c r="A2461" t="s">
        <v>2467</v>
      </c>
      <c r="B2461" t="s">
        <v>7122</v>
      </c>
      <c r="C2461" t="s">
        <v>10034</v>
      </c>
      <c r="D2461" t="s">
        <v>13679</v>
      </c>
      <c r="E2461" s="2">
        <v>22323</v>
      </c>
      <c r="F2461">
        <f>HYPERLINK("https://www2.assemblee-nationale.fr/sycomore/fiche/(num_dept)/3598", "3598.0")</f>
        <v>0</v>
      </c>
      <c r="H2461">
        <f>HYPERLINK("https://www.wikidata.org/wiki/Q2864451", "Q2864451")</f>
        <v>0</v>
      </c>
    </row>
    <row r="2462" spans="1:8">
      <c r="A2462" t="s">
        <v>2468</v>
      </c>
      <c r="B2462" t="s">
        <v>7123</v>
      </c>
      <c r="C2462" t="s">
        <v>9320</v>
      </c>
      <c r="D2462" t="s">
        <v>13680</v>
      </c>
      <c r="E2462" s="2">
        <v>8665</v>
      </c>
      <c r="F2462">
        <f>HYPERLINK("https://www2.assemblee-nationale.fr/sycomore/fiche/(num_dept)/3603", "3603.0")</f>
        <v>0</v>
      </c>
      <c r="G2462">
        <f>HYPERLINK("https://www.senat.fr/senateur-3eme-republique/grosdidier_auguste1025r3.html", "grosdidier_auguste1025r3")</f>
        <v>0</v>
      </c>
      <c r="H2462">
        <f>HYPERLINK("https://www.wikidata.org/wiki/Q2871212", "Q2871212")</f>
        <v>0</v>
      </c>
    </row>
    <row r="2463" spans="1:8">
      <c r="A2463" t="s">
        <v>2469</v>
      </c>
      <c r="B2463" t="s">
        <v>7124</v>
      </c>
      <c r="C2463" t="s">
        <v>9429</v>
      </c>
      <c r="D2463" t="s">
        <v>13681</v>
      </c>
      <c r="E2463" s="2">
        <v>8280</v>
      </c>
      <c r="G2463">
        <f>HYPERLINK("https://www.senat.fr/senateur-3eme-republique/grosjean_alexandre0687r3.html", "grosjean_alexandre0687r3")</f>
        <v>0</v>
      </c>
      <c r="H2463">
        <f>HYPERLINK("https://www.wikidata.org/wiki/Q2833723", "Q2833723")</f>
        <v>0</v>
      </c>
    </row>
    <row r="2464" spans="1:8">
      <c r="A2464" t="s">
        <v>2470</v>
      </c>
      <c r="B2464" t="s">
        <v>7125</v>
      </c>
      <c r="C2464" t="s">
        <v>7001</v>
      </c>
      <c r="D2464" t="s">
        <v>13682</v>
      </c>
      <c r="E2464" s="2">
        <v>12454</v>
      </c>
      <c r="F2464">
        <f>HYPERLINK("https://www2.assemblee-nationale.fr/sycomore/fiche/(num_dept)/3604", "3604.0")</f>
        <v>0</v>
      </c>
      <c r="H2464">
        <f>HYPERLINK("https://www.wikidata.org/wiki/Q3102811", "Q3102811")</f>
        <v>0</v>
      </c>
    </row>
    <row r="2465" spans="1:8">
      <c r="A2465" t="s">
        <v>2471</v>
      </c>
      <c r="B2465" t="s">
        <v>7126</v>
      </c>
      <c r="C2465" t="s">
        <v>10483</v>
      </c>
      <c r="D2465" t="s">
        <v>12832</v>
      </c>
      <c r="E2465" s="2">
        <v>22393</v>
      </c>
      <c r="F2465">
        <f>HYPERLINK("https://www2.assemblee-nationale.fr/sycomore/fiche/(num_dept)/6547", "6547.0")</f>
        <v>0</v>
      </c>
      <c r="H2465">
        <f>HYPERLINK("https://www.wikidata.org/wiki/Q2898489", "Q2898489")</f>
        <v>0</v>
      </c>
    </row>
    <row r="2466" spans="1:8">
      <c r="A2466" t="s">
        <v>2472</v>
      </c>
      <c r="B2466" t="s">
        <v>7127</v>
      </c>
      <c r="C2466" t="s">
        <v>9324</v>
      </c>
      <c r="D2466" t="s">
        <v>13683</v>
      </c>
      <c r="E2466" s="2">
        <v>13435</v>
      </c>
      <c r="F2466">
        <f>HYPERLINK("https://www2.assemblee-nationale.fr/sycomore/fiche/(num_dept)/3605", "3605.0")</f>
        <v>0</v>
      </c>
      <c r="H2466">
        <f>HYPERLINK("https://www.wikidata.org/wiki/Q3130359", "Q3130359")</f>
        <v>0</v>
      </c>
    </row>
    <row r="2467" spans="1:8">
      <c r="A2467" t="s">
        <v>2473</v>
      </c>
      <c r="B2467" t="s">
        <v>7128</v>
      </c>
      <c r="C2467" t="s">
        <v>9634</v>
      </c>
      <c r="D2467" t="s">
        <v>13684</v>
      </c>
      <c r="E2467" t="s">
        <v>16153</v>
      </c>
      <c r="F2467">
        <f>HYPERLINK("https://www2.assemblee-nationale.fr/sycomore/fiche/(num_dept)/3607", "3607.0")</f>
        <v>0</v>
      </c>
      <c r="H2467">
        <f>HYPERLINK("https://www.wikidata.org/wiki/Q3089858", "Q3089858")</f>
        <v>0</v>
      </c>
    </row>
    <row r="2468" spans="1:8">
      <c r="A2468" t="s">
        <v>2474</v>
      </c>
      <c r="B2468" t="s">
        <v>7128</v>
      </c>
      <c r="C2468" t="s">
        <v>10484</v>
      </c>
      <c r="D2468" t="s">
        <v>13685</v>
      </c>
      <c r="E2468" s="2">
        <v>3387</v>
      </c>
      <c r="F2468">
        <f>HYPERLINK("https://www2.assemblee-nationale.fr/sycomore/fiche/(num_dept)/3608", "3608.0")</f>
        <v>0</v>
      </c>
      <c r="H2468">
        <f>HYPERLINK("https://www.wikidata.org/wiki/Q1118848", "Q1118848")</f>
        <v>0</v>
      </c>
    </row>
    <row r="2469" spans="1:8">
      <c r="A2469" t="s">
        <v>2475</v>
      </c>
      <c r="B2469" t="s">
        <v>7129</v>
      </c>
      <c r="C2469" t="s">
        <v>9773</v>
      </c>
      <c r="D2469" t="s">
        <v>13686</v>
      </c>
      <c r="E2469" s="2">
        <v>20857</v>
      </c>
      <c r="F2469">
        <f>HYPERLINK("https://www2.assemblee-nationale.fr/sycomore/fiche/(num_dept)/3609", "3609.0")</f>
        <v>0</v>
      </c>
      <c r="H2469">
        <f>HYPERLINK("https://www.wikidata.org/wiki/Q2865129", "Q2865129")</f>
        <v>0</v>
      </c>
    </row>
    <row r="2470" spans="1:8">
      <c r="A2470" t="s">
        <v>2476</v>
      </c>
      <c r="B2470" t="s">
        <v>7130</v>
      </c>
      <c r="C2470" t="s">
        <v>10485</v>
      </c>
      <c r="D2470" t="s">
        <v>13687</v>
      </c>
      <c r="E2470" t="s">
        <v>16154</v>
      </c>
      <c r="F2470">
        <f>HYPERLINK("https://www2.assemblee-nationale.fr/sycomore/fiche/(num_dept)/8255", "8255.0")</f>
        <v>0</v>
      </c>
      <c r="H2470">
        <f>HYPERLINK("https://www.wikidata.org/wiki/Q16025815", "Q16025815")</f>
        <v>0</v>
      </c>
    </row>
    <row r="2471" spans="1:8">
      <c r="A2471" t="s">
        <v>2477</v>
      </c>
      <c r="B2471" t="s">
        <v>7131</v>
      </c>
      <c r="C2471" t="s">
        <v>9355</v>
      </c>
      <c r="D2471" t="s">
        <v>13688</v>
      </c>
      <c r="E2471" s="2">
        <v>10446</v>
      </c>
      <c r="F2471">
        <f>HYPERLINK("https://www2.assemblee-nationale.fr/sycomore/fiche/(num_dept)/3610", "3610.0")</f>
        <v>0</v>
      </c>
      <c r="H2471">
        <f>HYPERLINK("https://www.wikidata.org/wiki/Q16218131", "Q16218131")</f>
        <v>0</v>
      </c>
    </row>
    <row r="2472" spans="1:8">
      <c r="A2472" t="s">
        <v>2478</v>
      </c>
      <c r="B2472" t="s">
        <v>7131</v>
      </c>
      <c r="C2472" t="s">
        <v>9430</v>
      </c>
      <c r="D2472" t="s">
        <v>13689</v>
      </c>
      <c r="E2472" s="2">
        <v>14277</v>
      </c>
      <c r="F2472">
        <f>HYPERLINK("https://www2.assemblee-nationale.fr/sycomore/fiche/(num_dept)/3611", "3611.0")</f>
        <v>0</v>
      </c>
      <c r="H2472">
        <f>HYPERLINK("https://www.wikidata.org/wiki/Q8344003", "Q8344003")</f>
        <v>0</v>
      </c>
    </row>
    <row r="2473" spans="1:8">
      <c r="A2473" t="s">
        <v>2479</v>
      </c>
      <c r="B2473" t="s">
        <v>7132</v>
      </c>
      <c r="C2473" t="s">
        <v>8840</v>
      </c>
      <c r="D2473" t="s">
        <v>13690</v>
      </c>
      <c r="E2473" s="2">
        <v>19188</v>
      </c>
      <c r="F2473">
        <f>HYPERLINK("https://www2.assemblee-nationale.fr/sycomore/fiche/(num_dept)/3612", "3612.0")</f>
        <v>0</v>
      </c>
      <c r="H2473">
        <f>HYPERLINK("https://www.wikidata.org/wiki/Q108407", "Q108407")</f>
        <v>0</v>
      </c>
    </row>
    <row r="2474" spans="1:8">
      <c r="A2474" t="s">
        <v>2480</v>
      </c>
      <c r="B2474" t="s">
        <v>7133</v>
      </c>
      <c r="C2474" t="s">
        <v>9511</v>
      </c>
      <c r="D2474" t="s">
        <v>13691</v>
      </c>
      <c r="E2474" s="2">
        <v>22154</v>
      </c>
      <c r="F2474">
        <f>HYPERLINK("https://www2.assemblee-nationale.fr/sycomore/fiche/(num_dept)/3616", "3616.0")</f>
        <v>0</v>
      </c>
      <c r="H2474">
        <f>HYPERLINK("https://www.wikidata.org/wiki/Q3172412", "Q3172412")</f>
        <v>0</v>
      </c>
    </row>
    <row r="2475" spans="1:8">
      <c r="A2475" t="s">
        <v>2481</v>
      </c>
      <c r="B2475" t="s">
        <v>7134</v>
      </c>
      <c r="C2475" t="s">
        <v>10486</v>
      </c>
      <c r="D2475" t="s">
        <v>13692</v>
      </c>
      <c r="E2475" t="s">
        <v>16155</v>
      </c>
      <c r="F2475">
        <f>HYPERLINK("https://www2.assemblee-nationale.fr/sycomore/fiche/(num_dept)/7986", "7986.0")</f>
        <v>0</v>
      </c>
      <c r="H2475">
        <f>HYPERLINK("https://www.wikidata.org/wiki/Q3105767", "Q3105767")</f>
        <v>0</v>
      </c>
    </row>
    <row r="2476" spans="1:8">
      <c r="A2476" t="s">
        <v>2482</v>
      </c>
      <c r="B2476" t="s">
        <v>7135</v>
      </c>
      <c r="C2476" t="s">
        <v>10487</v>
      </c>
      <c r="D2476" t="s">
        <v>13693</v>
      </c>
      <c r="E2476" s="2">
        <v>13048</v>
      </c>
      <c r="F2476">
        <f>HYPERLINK("https://www2.assemblee-nationale.fr/sycomore/fiche/(num_dept)/7590", "7590.0")</f>
        <v>0</v>
      </c>
      <c r="H2476">
        <f>HYPERLINK("https://www.wikidata.org/wiki/Q3557410", "Q3557410")</f>
        <v>0</v>
      </c>
    </row>
    <row r="2477" spans="1:8">
      <c r="A2477" t="s">
        <v>2483</v>
      </c>
      <c r="B2477" t="s">
        <v>7136</v>
      </c>
      <c r="C2477" t="s">
        <v>9312</v>
      </c>
      <c r="D2477" t="s">
        <v>13694</v>
      </c>
      <c r="E2477" s="2">
        <v>7976</v>
      </c>
      <c r="F2477">
        <f>HYPERLINK("https://www2.assemblee-nationale.fr/sycomore/fiche/(num_dept)/3622", "3622.0")</f>
        <v>0</v>
      </c>
      <c r="H2477">
        <f>HYPERLINK("https://www.wikidata.org/wiki/Q16025818", "Q16025818")</f>
        <v>0</v>
      </c>
    </row>
    <row r="2478" spans="1:8">
      <c r="A2478" t="s">
        <v>2484</v>
      </c>
      <c r="B2478" t="s">
        <v>7137</v>
      </c>
      <c r="C2478" t="s">
        <v>9324</v>
      </c>
      <c r="D2478" t="s">
        <v>13695</v>
      </c>
      <c r="E2478" s="2">
        <v>1505</v>
      </c>
      <c r="G2478">
        <f>HYPERLINK("https://www.senat.fr/senateur-3eme-republique/guerin_henri0528r3.html", "guerin_henri0528r3")</f>
        <v>0</v>
      </c>
      <c r="H2478">
        <f>HYPERLINK("https://www.wikidata.org/wiki/Q3131250", "Q3131250")</f>
        <v>0</v>
      </c>
    </row>
    <row r="2479" spans="1:8">
      <c r="A2479" t="s">
        <v>2485</v>
      </c>
      <c r="B2479" t="s">
        <v>7137</v>
      </c>
      <c r="C2479" t="s">
        <v>9368</v>
      </c>
      <c r="D2479" t="s">
        <v>13696</v>
      </c>
      <c r="E2479" s="2">
        <v>10708</v>
      </c>
      <c r="G2479">
        <f>HYPERLINK("https://www.senat.fr/senateur-3eme-republique/guerin_eugene1709r3.html", "guerin_eugene1709r3")</f>
        <v>0</v>
      </c>
      <c r="H2479">
        <f>HYPERLINK("https://www.wikidata.org/wiki/Q3059913", "Q3059913")</f>
        <v>0</v>
      </c>
    </row>
    <row r="2480" spans="1:8">
      <c r="A2480" t="s">
        <v>2486</v>
      </c>
      <c r="B2480" t="s">
        <v>7137</v>
      </c>
      <c r="C2480" t="s">
        <v>9503</v>
      </c>
      <c r="D2480" t="s">
        <v>13697</v>
      </c>
      <c r="E2480" s="2">
        <v>18645</v>
      </c>
      <c r="G2480">
        <f>HYPERLINK("https://www.senat.fr/senateur-3eme-republique/guerin_gustave1038r3.html", "guerin_gustave1038r3")</f>
        <v>0</v>
      </c>
      <c r="H2480">
        <f>HYPERLINK("https://www.wikidata.org/wiki/Q3121205", "Q3121205")</f>
        <v>0</v>
      </c>
    </row>
    <row r="2481" spans="1:8">
      <c r="A2481" t="s">
        <v>2487</v>
      </c>
      <c r="B2481" t="s">
        <v>7138</v>
      </c>
      <c r="C2481" t="s">
        <v>9355</v>
      </c>
      <c r="D2481" t="s">
        <v>13698</v>
      </c>
      <c r="E2481" s="2">
        <v>15756</v>
      </c>
      <c r="F2481">
        <f>HYPERLINK("https://www2.assemblee-nationale.fr/sycomore/fiche/(num_dept)/3634", "3634.0")</f>
        <v>0</v>
      </c>
      <c r="H2481">
        <f>HYPERLINK("https://www.wikidata.org/wiki/Q2959267", "Q2959267")</f>
        <v>0</v>
      </c>
    </row>
    <row r="2482" spans="1:8">
      <c r="A2482" t="s">
        <v>2488</v>
      </c>
      <c r="B2482" t="s">
        <v>7139</v>
      </c>
      <c r="C2482" t="s">
        <v>10488</v>
      </c>
      <c r="D2482" t="s">
        <v>13699</v>
      </c>
      <c r="E2482" s="2">
        <v>15854</v>
      </c>
      <c r="F2482">
        <f>HYPERLINK("https://www2.assemblee-nationale.fr/sycomore/fiche/(num_dept)/3635", "3635.0")</f>
        <v>0</v>
      </c>
      <c r="H2482">
        <f>HYPERLINK("https://www.wikidata.org/wiki/Q3131234", "Q3131234")</f>
        <v>0</v>
      </c>
    </row>
    <row r="2483" spans="1:8">
      <c r="A2483" t="s">
        <v>2489</v>
      </c>
      <c r="B2483" t="s">
        <v>7140</v>
      </c>
      <c r="C2483" t="s">
        <v>10489</v>
      </c>
      <c r="D2483" t="s">
        <v>11686</v>
      </c>
      <c r="E2483" s="2">
        <v>15460</v>
      </c>
      <c r="F2483">
        <f>HYPERLINK("https://www2.assemblee-nationale.fr/sycomore/fiche/(num_dept)/3637", "3637.0")</f>
        <v>0</v>
      </c>
      <c r="H2483">
        <f>HYPERLINK("https://www.wikidata.org/wiki/Q16025820", "Q16025820")</f>
        <v>0</v>
      </c>
    </row>
    <row r="2484" spans="1:8">
      <c r="A2484" t="s">
        <v>2490</v>
      </c>
      <c r="B2484" t="s">
        <v>7141</v>
      </c>
      <c r="C2484" t="s">
        <v>10490</v>
      </c>
      <c r="D2484" t="s">
        <v>13700</v>
      </c>
      <c r="E2484" s="2">
        <v>8245</v>
      </c>
      <c r="F2484">
        <f>HYPERLINK("https://www2.assemblee-nationale.fr/sycomore/fiche/(num_dept)/3638", "3638.0")</f>
        <v>0</v>
      </c>
      <c r="H2484">
        <f>HYPERLINK("https://www.wikidata.org/wiki/Q379699", "Q379699")</f>
        <v>0</v>
      </c>
    </row>
    <row r="2485" spans="1:8">
      <c r="A2485" t="s">
        <v>2491</v>
      </c>
      <c r="B2485" t="s">
        <v>7142</v>
      </c>
      <c r="C2485" t="s">
        <v>7942</v>
      </c>
      <c r="D2485" t="s">
        <v>13701</v>
      </c>
      <c r="E2485" s="2">
        <v>9934</v>
      </c>
      <c r="F2485">
        <f>HYPERLINK("https://www2.assemblee-nationale.fr/sycomore/fiche/(num_dept)/3640", "3640.0")</f>
        <v>0</v>
      </c>
      <c r="G2485">
        <f>HYPERLINK("https://www.senat.fr/senateur-3eme-republique/guesnier_maurice1633r3.html", "guesnier_maurice1633r3")</f>
        <v>0</v>
      </c>
      <c r="H2485">
        <f>HYPERLINK("https://www.wikidata.org/wiki/Q3300873", "Q3300873")</f>
        <v>0</v>
      </c>
    </row>
    <row r="2486" spans="1:8">
      <c r="A2486" t="s">
        <v>2492</v>
      </c>
      <c r="B2486" t="s">
        <v>7143</v>
      </c>
      <c r="C2486" t="s">
        <v>10491</v>
      </c>
      <c r="D2486" t="s">
        <v>13702</v>
      </c>
      <c r="E2486" t="s">
        <v>15940</v>
      </c>
      <c r="F2486">
        <f>HYPERLINK("https://www2.assemblee-nationale.fr/sycomore/fiche/(num_dept)/7957", "7957.0")</f>
        <v>0</v>
      </c>
      <c r="H2486">
        <f>HYPERLINK("https://www.wikidata.org/wiki/Q3262167", "Q3262167")</f>
        <v>0</v>
      </c>
    </row>
    <row r="2487" spans="1:8">
      <c r="A2487" t="s">
        <v>2493</v>
      </c>
      <c r="B2487" t="s">
        <v>7144</v>
      </c>
      <c r="C2487" t="s">
        <v>7754</v>
      </c>
      <c r="D2487" t="s">
        <v>13703</v>
      </c>
      <c r="E2487" s="2">
        <v>15139</v>
      </c>
      <c r="F2487">
        <f>HYPERLINK("https://www2.assemblee-nationale.fr/sycomore/fiche/(num_dept)/3644", "3644.0")</f>
        <v>0</v>
      </c>
      <c r="H2487">
        <f>HYPERLINK("https://www.wikidata.org/wiki/Q16025821", "Q16025821")</f>
        <v>0</v>
      </c>
    </row>
    <row r="2488" spans="1:8">
      <c r="A2488" t="s">
        <v>2494</v>
      </c>
      <c r="B2488" t="s">
        <v>7145</v>
      </c>
      <c r="C2488" t="s">
        <v>10492</v>
      </c>
      <c r="D2488" t="s">
        <v>13704</v>
      </c>
      <c r="F2488">
        <f>HYPERLINK("https://www2.assemblee-nationale.fr/sycomore/fiche/(num_dept)/3646", "3646.0")</f>
        <v>0</v>
      </c>
      <c r="H2488">
        <f>HYPERLINK("https://www.wikidata.org/wiki/Q3165321", "Q3165321")</f>
        <v>0</v>
      </c>
    </row>
    <row r="2489" spans="1:8">
      <c r="A2489" t="s">
        <v>2495</v>
      </c>
      <c r="B2489" t="s">
        <v>7146</v>
      </c>
      <c r="C2489" t="s">
        <v>9438</v>
      </c>
      <c r="D2489" t="s">
        <v>13705</v>
      </c>
      <c r="E2489" t="s">
        <v>16156</v>
      </c>
      <c r="F2489">
        <f>HYPERLINK("https://www2.assemblee-nationale.fr/sycomore/fiche/(num_dept)/8293", "8293.0")</f>
        <v>0</v>
      </c>
      <c r="H2489">
        <f>HYPERLINK("https://www.wikidata.org/wiki/Q3557347", "Q3557347")</f>
        <v>0</v>
      </c>
    </row>
    <row r="2490" spans="1:8">
      <c r="A2490" t="s">
        <v>2496</v>
      </c>
      <c r="B2490" t="s">
        <v>7146</v>
      </c>
      <c r="C2490" t="s">
        <v>10418</v>
      </c>
      <c r="D2490" t="s">
        <v>12658</v>
      </c>
      <c r="E2490" t="s">
        <v>16157</v>
      </c>
      <c r="F2490">
        <f>HYPERLINK("https://www2.assemblee-nationale.fr/sycomore/fiche/(num_dept)/3649", "3649.0")</f>
        <v>0</v>
      </c>
      <c r="H2490">
        <f>HYPERLINK("https://www.wikidata.org/wiki/Q16025824", "Q16025824")</f>
        <v>0</v>
      </c>
    </row>
    <row r="2491" spans="1:8">
      <c r="A2491" t="s">
        <v>2497</v>
      </c>
      <c r="B2491" t="s">
        <v>7147</v>
      </c>
      <c r="C2491" t="s">
        <v>9471</v>
      </c>
      <c r="D2491" t="s">
        <v>13706</v>
      </c>
      <c r="E2491" t="s">
        <v>16158</v>
      </c>
      <c r="G2491">
        <f>HYPERLINK("https://www.senat.fr/senateur-3eme-republique/guichard_jules1842r3.html", "guichard_jules1842r3")</f>
        <v>0</v>
      </c>
      <c r="H2491">
        <f>HYPERLINK("https://www.wikidata.org/wiki/Q3188637", "Q3188637")</f>
        <v>0</v>
      </c>
    </row>
    <row r="2492" spans="1:8">
      <c r="A2492" t="s">
        <v>2498</v>
      </c>
      <c r="B2492" t="s">
        <v>7146</v>
      </c>
      <c r="C2492" t="s">
        <v>7754</v>
      </c>
      <c r="D2492" t="s">
        <v>13707</v>
      </c>
      <c r="E2492" s="2">
        <v>18969</v>
      </c>
      <c r="F2492">
        <f>HYPERLINK("https://www2.assemblee-nationale.fr/sycomore/fiche/(num_dept)/3650", "3650.0")</f>
        <v>0</v>
      </c>
      <c r="H2492">
        <f>HYPERLINK("https://www.wikidata.org/wiki/Q3262102", "Q3262102")</f>
        <v>0</v>
      </c>
    </row>
    <row r="2493" spans="1:8">
      <c r="A2493" t="s">
        <v>2499</v>
      </c>
      <c r="B2493" t="s">
        <v>7148</v>
      </c>
      <c r="C2493" t="s">
        <v>7782</v>
      </c>
      <c r="D2493" t="s">
        <v>13708</v>
      </c>
      <c r="E2493" s="2">
        <v>9627</v>
      </c>
      <c r="F2493">
        <f>HYPERLINK("https://www2.assemblee-nationale.fr/sycomore/fiche/(num_dept)/3654", "3654.0")</f>
        <v>0</v>
      </c>
      <c r="H2493">
        <f>HYPERLINK("https://www.wikidata.org/wiki/Q16025827", "Q16025827")</f>
        <v>0</v>
      </c>
    </row>
    <row r="2494" spans="1:8">
      <c r="A2494" t="s">
        <v>2500</v>
      </c>
      <c r="B2494" t="s">
        <v>7149</v>
      </c>
      <c r="C2494" t="s">
        <v>10493</v>
      </c>
      <c r="D2494" t="s">
        <v>12407</v>
      </c>
      <c r="E2494" s="2">
        <v>5253</v>
      </c>
      <c r="F2494">
        <f>HYPERLINK("https://www2.assemblee-nationale.fr/sycomore/fiche/(num_dept)/3659", "3659.0")</f>
        <v>0</v>
      </c>
      <c r="H2494">
        <f>HYPERLINK("https://www.wikidata.org/wiki/Q3383454", "Q3383454")</f>
        <v>0</v>
      </c>
    </row>
    <row r="2495" spans="1:8">
      <c r="A2495" t="s">
        <v>2501</v>
      </c>
      <c r="B2495" t="s">
        <v>7150</v>
      </c>
      <c r="C2495" t="s">
        <v>7001</v>
      </c>
      <c r="D2495" t="s">
        <v>13709</v>
      </c>
      <c r="E2495" t="s">
        <v>16159</v>
      </c>
      <c r="G2495">
        <f>HYPERLINK("https://www.senat.fr/senateur-3eme-republique/guiffrey_georges0073r3.html", "guiffrey_georges0073r3")</f>
        <v>0</v>
      </c>
      <c r="H2495">
        <f>HYPERLINK("https://www.wikidata.org/wiki/Q3102821", "Q3102821")</f>
        <v>0</v>
      </c>
    </row>
    <row r="2496" spans="1:8">
      <c r="A2496" t="s">
        <v>2502</v>
      </c>
      <c r="B2496" t="s">
        <v>7151</v>
      </c>
      <c r="C2496" t="s">
        <v>7342</v>
      </c>
      <c r="D2496" t="s">
        <v>13710</v>
      </c>
      <c r="E2496" s="2">
        <v>582</v>
      </c>
      <c r="F2496">
        <f>HYPERLINK("https://www2.assemblee-nationale.fr/sycomore/fiche/(num_dept)/3660", "3660.0")</f>
        <v>0</v>
      </c>
      <c r="H2496">
        <f>HYPERLINK("https://www.wikidata.org/wiki/Q3172422", "Q3172422")</f>
        <v>0</v>
      </c>
    </row>
    <row r="2497" spans="1:8">
      <c r="A2497" t="s">
        <v>2503</v>
      </c>
      <c r="B2497" t="s">
        <v>7152</v>
      </c>
      <c r="C2497" t="s">
        <v>9355</v>
      </c>
      <c r="D2497" t="s">
        <v>13711</v>
      </c>
      <c r="E2497" s="2">
        <v>18347</v>
      </c>
      <c r="F2497">
        <f>HYPERLINK("https://www2.assemblee-nationale.fr/sycomore/fiche/(num_dept)/3666", "3666.0")</f>
        <v>0</v>
      </c>
      <c r="H2497">
        <f>HYPERLINK("https://www.wikidata.org/wiki/Q12948415", "Q12948415")</f>
        <v>0</v>
      </c>
    </row>
    <row r="2498" spans="1:8">
      <c r="A2498" t="s">
        <v>2504</v>
      </c>
      <c r="B2498" t="s">
        <v>7153</v>
      </c>
      <c r="C2498" t="s">
        <v>7314</v>
      </c>
      <c r="D2498" t="s">
        <v>13712</v>
      </c>
      <c r="E2498" s="2">
        <v>18679</v>
      </c>
      <c r="G2498">
        <f>HYPERLINK("https://www.senat.fr/senateur-3eme-republique/guilhem_jacques0271r3.html", "guilhem_jacques0271r3")</f>
        <v>0</v>
      </c>
      <c r="H2498">
        <f>HYPERLINK("https://www.wikidata.org/wiki/Q3159050", "Q3159050")</f>
        <v>0</v>
      </c>
    </row>
    <row r="2499" spans="1:8">
      <c r="A2499" t="s">
        <v>2505</v>
      </c>
      <c r="B2499" t="s">
        <v>7154</v>
      </c>
      <c r="C2499" t="s">
        <v>6796</v>
      </c>
      <c r="D2499" t="s">
        <v>13713</v>
      </c>
      <c r="E2499" s="2">
        <v>5588</v>
      </c>
      <c r="F2499">
        <f>HYPERLINK("https://www2.assemblee-nationale.fr/sycomore/fiche/(num_dept)/3668", "3668.0")</f>
        <v>0</v>
      </c>
      <c r="H2499">
        <f>HYPERLINK("https://www.wikidata.org/wiki/Q3074087", "Q3074087")</f>
        <v>0</v>
      </c>
    </row>
    <row r="2500" spans="1:8">
      <c r="A2500" t="s">
        <v>2506</v>
      </c>
      <c r="B2500" t="s">
        <v>7155</v>
      </c>
      <c r="C2500" t="s">
        <v>9621</v>
      </c>
      <c r="D2500" t="s">
        <v>12534</v>
      </c>
      <c r="E2500" s="2">
        <v>14749</v>
      </c>
      <c r="H2500">
        <f>HYPERLINK("https://www.wikidata.org/wiki/Q365740", "Q365740")</f>
        <v>0</v>
      </c>
    </row>
    <row r="2501" spans="1:8">
      <c r="A2501" t="s">
        <v>2507</v>
      </c>
      <c r="B2501" t="s">
        <v>7156</v>
      </c>
      <c r="C2501" t="s">
        <v>7754</v>
      </c>
      <c r="D2501" t="s">
        <v>13714</v>
      </c>
      <c r="E2501" s="2">
        <v>1943</v>
      </c>
      <c r="F2501">
        <f>HYPERLINK("https://www2.assemblee-nationale.fr/sycomore/fiche/(num_dept)/3672", "3672.0")</f>
        <v>0</v>
      </c>
      <c r="H2501">
        <f>HYPERLINK("https://www.wikidata.org/wiki/Q9294968", "Q9294968")</f>
        <v>0</v>
      </c>
    </row>
    <row r="2502" spans="1:8">
      <c r="A2502" t="s">
        <v>2508</v>
      </c>
      <c r="B2502" t="s">
        <v>7157</v>
      </c>
      <c r="C2502" t="s">
        <v>9355</v>
      </c>
      <c r="D2502" t="s">
        <v>13715</v>
      </c>
      <c r="E2502" t="s">
        <v>16160</v>
      </c>
      <c r="G2502">
        <f>HYPERLINK("https://www.senat.fr/senateur-3eme-republique/guillemaut_charles1213r3.html", "guillemaut_charles1213r3")</f>
        <v>0</v>
      </c>
      <c r="H2502">
        <f>HYPERLINK("https://www.wikidata.org/wiki/Q2959273", "Q2959273")</f>
        <v>0</v>
      </c>
    </row>
    <row r="2503" spans="1:8">
      <c r="A2503" t="s">
        <v>2509</v>
      </c>
      <c r="B2503" t="s">
        <v>7158</v>
      </c>
      <c r="C2503" t="s">
        <v>9377</v>
      </c>
      <c r="D2503" t="s">
        <v>13716</v>
      </c>
      <c r="E2503" s="2">
        <v>6310</v>
      </c>
      <c r="F2503">
        <f>HYPERLINK("https://www2.assemblee-nationale.fr/sycomore/fiche/(num_dept)/3674", "3674.0")</f>
        <v>0</v>
      </c>
      <c r="G2503">
        <f>HYPERLINK("https://www.senat.fr/senateur-3eme-republique/guillemaut_lucien1225r3.html", "guillemaut_lucien1225r3")</f>
        <v>0</v>
      </c>
      <c r="H2503">
        <f>HYPERLINK("https://www.wikidata.org/wiki/Q3265536", "Q3265536")</f>
        <v>0</v>
      </c>
    </row>
    <row r="2504" spans="1:8">
      <c r="A2504" t="s">
        <v>2510</v>
      </c>
      <c r="B2504" t="s">
        <v>7159</v>
      </c>
      <c r="C2504" t="s">
        <v>9512</v>
      </c>
      <c r="D2504" t="s">
        <v>13717</v>
      </c>
      <c r="E2504" s="2">
        <v>5135</v>
      </c>
      <c r="F2504">
        <f>HYPERLINK("https://www2.assemblee-nationale.fr/sycomore/fiche/(num_dept)/3675", "3675.0")</f>
        <v>0</v>
      </c>
      <c r="H2504">
        <f>HYPERLINK("https://www.wikidata.org/wiki/Q16025829", "Q16025829")</f>
        <v>0</v>
      </c>
    </row>
    <row r="2505" spans="1:8">
      <c r="A2505" t="s">
        <v>2511</v>
      </c>
      <c r="B2505" t="s">
        <v>7160</v>
      </c>
      <c r="C2505" t="s">
        <v>9332</v>
      </c>
      <c r="D2505" t="s">
        <v>13718</v>
      </c>
      <c r="E2505" t="s">
        <v>16161</v>
      </c>
      <c r="F2505">
        <f>HYPERLINK("https://www2.assemblee-nationale.fr/sycomore/fiche/(num_dept)/8187", "8187.0")</f>
        <v>0</v>
      </c>
      <c r="H2505">
        <f>HYPERLINK("https://www.wikidata.org/wiki/Q16634879", "Q16634879")</f>
        <v>0</v>
      </c>
    </row>
    <row r="2506" spans="1:8">
      <c r="A2506" t="s">
        <v>2512</v>
      </c>
      <c r="B2506" t="s">
        <v>7160</v>
      </c>
      <c r="C2506" t="s">
        <v>7782</v>
      </c>
      <c r="D2506" t="s">
        <v>13719</v>
      </c>
      <c r="E2506" t="s">
        <v>16162</v>
      </c>
      <c r="F2506">
        <f>HYPERLINK("https://www2.assemblee-nationale.fr/sycomore/fiche/(num_dept)/3676", "3676.0")</f>
        <v>0</v>
      </c>
      <c r="H2506">
        <f>HYPERLINK("https://www.wikidata.org/wiki/Q3271028", "Q3271028")</f>
        <v>0</v>
      </c>
    </row>
    <row r="2507" spans="1:8">
      <c r="A2507" t="s">
        <v>2513</v>
      </c>
      <c r="B2507" t="s">
        <v>7161</v>
      </c>
      <c r="C2507" t="s">
        <v>9677</v>
      </c>
      <c r="D2507" t="s">
        <v>13720</v>
      </c>
      <c r="E2507" s="2">
        <v>21659</v>
      </c>
      <c r="G2507">
        <f>HYPERLINK("https://www.senat.fr/senateur-3eme-republique/guillemot_yves0787r3.html", "guillemot_yves0787r3")</f>
        <v>0</v>
      </c>
      <c r="H2507">
        <f>HYPERLINK("https://www.wikidata.org/wiki/Q3573691", "Q3573691")</f>
        <v>0</v>
      </c>
    </row>
    <row r="2508" spans="1:8">
      <c r="A2508" t="s">
        <v>2514</v>
      </c>
      <c r="B2508" t="s">
        <v>7162</v>
      </c>
      <c r="C2508" t="s">
        <v>8384</v>
      </c>
      <c r="D2508" t="s">
        <v>13721</v>
      </c>
      <c r="E2508" s="2">
        <v>10173</v>
      </c>
      <c r="G2508">
        <f>HYPERLINK("https://www.senat.fr/senateur-3eme-republique/guillier_pierre0656r3.html", "guillier_pierre0656r3")</f>
        <v>0</v>
      </c>
      <c r="H2508">
        <f>HYPERLINK("https://www.wikidata.org/wiki/Q3385377", "Q3385377")</f>
        <v>0</v>
      </c>
    </row>
    <row r="2509" spans="1:8">
      <c r="A2509" t="s">
        <v>2515</v>
      </c>
      <c r="B2509" t="s">
        <v>7163</v>
      </c>
      <c r="C2509" t="s">
        <v>7754</v>
      </c>
      <c r="D2509" t="s">
        <v>13722</v>
      </c>
      <c r="E2509" s="2">
        <v>19256</v>
      </c>
      <c r="F2509">
        <f>HYPERLINK("https://www2.assemblee-nationale.fr/sycomore/fiche/(num_dept)/3681", "3681.0")</f>
        <v>0</v>
      </c>
      <c r="G2509">
        <f>HYPERLINK("https://www.senat.fr/senateur-3eme-republique/guillois_louis0898r3.html", "guillois_louis0898r3")</f>
        <v>0</v>
      </c>
      <c r="H2509">
        <f>HYPERLINK("https://www.wikidata.org/wiki/Q3262110", "Q3262110")</f>
        <v>0</v>
      </c>
    </row>
    <row r="2510" spans="1:8">
      <c r="A2510" t="s">
        <v>2516</v>
      </c>
      <c r="B2510" t="s">
        <v>7164</v>
      </c>
      <c r="C2510" t="s">
        <v>9548</v>
      </c>
      <c r="D2510" t="s">
        <v>13723</v>
      </c>
      <c r="E2510" s="2">
        <v>19022</v>
      </c>
      <c r="F2510">
        <f>HYPERLINK("https://www2.assemblee-nationale.fr/sycomore/fiche/(num_dept)/3682", "3682.0")</f>
        <v>0</v>
      </c>
      <c r="H2510">
        <f>HYPERLINK("https://www.wikidata.org/wiki/Q16467637", "Q16467637")</f>
        <v>0</v>
      </c>
    </row>
    <row r="2511" spans="1:8">
      <c r="A2511" t="s">
        <v>2517</v>
      </c>
      <c r="B2511" t="s">
        <v>7164</v>
      </c>
      <c r="C2511" t="s">
        <v>7754</v>
      </c>
      <c r="D2511" t="s">
        <v>13724</v>
      </c>
      <c r="E2511" s="2">
        <v>17498</v>
      </c>
      <c r="F2511">
        <f>HYPERLINK("https://www2.assemblee-nationale.fr/sycomore/fiche/(num_dept)/3684", "3684.0")</f>
        <v>0</v>
      </c>
      <c r="H2511">
        <f>HYPERLINK("https://www.wikidata.org/wiki/Q3262111", "Q3262111")</f>
        <v>0</v>
      </c>
    </row>
    <row r="2512" spans="1:8">
      <c r="A2512" t="s">
        <v>2518</v>
      </c>
      <c r="B2512" t="s">
        <v>7165</v>
      </c>
      <c r="C2512" t="s">
        <v>7754</v>
      </c>
      <c r="D2512" t="s">
        <v>13725</v>
      </c>
      <c r="E2512" t="s">
        <v>16163</v>
      </c>
      <c r="F2512">
        <f>HYPERLINK("https://www2.assemblee-nationale.fr/sycomore/fiche/(num_dept)/3686", "3686.0")</f>
        <v>0</v>
      </c>
      <c r="H2512">
        <f>HYPERLINK("https://www.wikidata.org/wiki/Q8310088", "Q8310088")</f>
        <v>0</v>
      </c>
    </row>
    <row r="2513" spans="1:8">
      <c r="A2513" t="s">
        <v>2519</v>
      </c>
      <c r="B2513" t="s">
        <v>7166</v>
      </c>
      <c r="C2513" t="s">
        <v>7342</v>
      </c>
      <c r="D2513" t="s">
        <v>13726</v>
      </c>
      <c r="E2513" s="2">
        <v>18025</v>
      </c>
      <c r="F2513">
        <f>HYPERLINK("https://www2.assemblee-nationale.fr/sycomore/fiche/(num_dept)/3687", "3687.0")</f>
        <v>0</v>
      </c>
      <c r="G2513">
        <f>HYPERLINK("https://www.senat.fr/senateur-3eme-republique/guilloteaux_jean0909r3.html", "guilloteaux_jean0909r3")</f>
        <v>0</v>
      </c>
      <c r="H2513">
        <f>HYPERLINK("https://www.wikidata.org/wiki/Q3172435", "Q3172435")</f>
        <v>0</v>
      </c>
    </row>
    <row r="2514" spans="1:8">
      <c r="A2514" t="s">
        <v>2520</v>
      </c>
      <c r="B2514" t="s">
        <v>7167</v>
      </c>
      <c r="C2514" t="s">
        <v>10494</v>
      </c>
      <c r="D2514" t="s">
        <v>13727</v>
      </c>
      <c r="E2514" s="2">
        <v>1045</v>
      </c>
      <c r="F2514">
        <f>HYPERLINK("https://www2.assemblee-nationale.fr/sycomore/fiche/(num_dept)/3690", "3690.0")</f>
        <v>0</v>
      </c>
      <c r="H2514">
        <f>HYPERLINK("https://www.wikidata.org/wiki/Q15969562", "Q15969562")</f>
        <v>0</v>
      </c>
    </row>
    <row r="2515" spans="1:8">
      <c r="A2515" t="s">
        <v>2521</v>
      </c>
      <c r="B2515" t="s">
        <v>7168</v>
      </c>
      <c r="C2515" t="s">
        <v>10167</v>
      </c>
      <c r="D2515" t="s">
        <v>13728</v>
      </c>
      <c r="E2515" t="s">
        <v>16164</v>
      </c>
      <c r="G2515">
        <f>HYPERLINK("https://www.senat.fr/senateur-3eme-republique/guindey_anatole0737r3.html", "guindey_anatole0737r3")</f>
        <v>0</v>
      </c>
      <c r="H2515">
        <f>HYPERLINK("https://www.wikidata.org/wiki/Q2845581", "Q2845581")</f>
        <v>0</v>
      </c>
    </row>
    <row r="2516" spans="1:8">
      <c r="A2516" t="s">
        <v>2522</v>
      </c>
      <c r="B2516" t="s">
        <v>7169</v>
      </c>
      <c r="C2516" t="s">
        <v>9332</v>
      </c>
      <c r="D2516" t="s">
        <v>13729</v>
      </c>
      <c r="E2516" s="2">
        <v>9970</v>
      </c>
      <c r="F2516">
        <f>HYPERLINK("https://www2.assemblee-nationale.fr/sycomore/fiche/(num_dept)/3692", "3692.0")</f>
        <v>0</v>
      </c>
      <c r="G2516">
        <f>HYPERLINK("https://www.senat.fr/senateur-3eme-republique/guingand_ernest0507r3.html", "guingand_ernest0507r3")</f>
        <v>0</v>
      </c>
      <c r="H2516">
        <f>HYPERLINK("https://www.wikidata.org/wiki/Q3056995", "Q3056995")</f>
        <v>0</v>
      </c>
    </row>
    <row r="2517" spans="1:8">
      <c r="A2517" t="s">
        <v>2523</v>
      </c>
      <c r="B2517" t="s">
        <v>7170</v>
      </c>
      <c r="C2517" t="s">
        <v>9355</v>
      </c>
      <c r="D2517" t="s">
        <v>13730</v>
      </c>
      <c r="E2517" t="s">
        <v>16165</v>
      </c>
      <c r="G2517">
        <f>HYPERLINK("https://www.senat.fr/senateur-3eme-republique/guinot_charles0298r3.html", "guinot_charles0298r3")</f>
        <v>0</v>
      </c>
      <c r="H2517">
        <f>HYPERLINK("https://www.wikidata.org/wiki/Q2959276", "Q2959276")</f>
        <v>0</v>
      </c>
    </row>
    <row r="2518" spans="1:8">
      <c r="A2518" t="s">
        <v>2524</v>
      </c>
      <c r="B2518" t="s">
        <v>7171</v>
      </c>
      <c r="C2518" t="s">
        <v>9511</v>
      </c>
      <c r="D2518" t="s">
        <v>13731</v>
      </c>
      <c r="E2518" s="2">
        <v>15359</v>
      </c>
      <c r="F2518">
        <f>HYPERLINK("https://www2.assemblee-nationale.fr/sycomore/fiche/(num_dept)/3693", "3693.0")</f>
        <v>0</v>
      </c>
      <c r="H2518">
        <f>HYPERLINK("https://www.wikidata.org/wiki/Q16025830", "Q16025830")</f>
        <v>0</v>
      </c>
    </row>
    <row r="2519" spans="1:8">
      <c r="A2519" t="s">
        <v>2525</v>
      </c>
      <c r="B2519" t="s">
        <v>7172</v>
      </c>
      <c r="C2519" t="s">
        <v>7754</v>
      </c>
      <c r="D2519" t="s">
        <v>13732</v>
      </c>
      <c r="E2519" s="2">
        <v>10683</v>
      </c>
      <c r="F2519">
        <f>HYPERLINK("https://www2.assemblee-nationale.fr/sycomore/fiche/(num_dept)/3694", "3694.0")</f>
        <v>0</v>
      </c>
      <c r="H2519">
        <f>HYPERLINK("https://www.wikidata.org/wiki/Q16025831", "Q16025831")</f>
        <v>0</v>
      </c>
    </row>
    <row r="2520" spans="1:8">
      <c r="A2520" t="s">
        <v>2526</v>
      </c>
      <c r="B2520" t="s">
        <v>7173</v>
      </c>
      <c r="C2520" t="s">
        <v>6895</v>
      </c>
      <c r="D2520" t="s">
        <v>13733</v>
      </c>
      <c r="E2520" s="2">
        <v>11654</v>
      </c>
      <c r="F2520">
        <f>HYPERLINK("https://www2.assemblee-nationale.fr/sycomore/fiche/(num_dept)/3697", "3697.0")</f>
        <v>0</v>
      </c>
      <c r="H2520">
        <f>HYPERLINK("https://www.wikidata.org/wiki/Q2404053", "Q2404053")</f>
        <v>0</v>
      </c>
    </row>
    <row r="2521" spans="1:8">
      <c r="A2521" t="s">
        <v>2527</v>
      </c>
      <c r="B2521" t="s">
        <v>7174</v>
      </c>
      <c r="C2521" t="s">
        <v>7233</v>
      </c>
      <c r="D2521" t="s">
        <v>13734</v>
      </c>
      <c r="E2521" s="2">
        <v>11775</v>
      </c>
      <c r="F2521">
        <f>HYPERLINK("https://www2.assemblee-nationale.fr/sycomore/fiche/(num_dept)/3703", "3703.0")</f>
        <v>0</v>
      </c>
      <c r="H2521">
        <f>HYPERLINK("https://www.wikidata.org/wiki/Q16025833", "Q16025833")</f>
        <v>0</v>
      </c>
    </row>
    <row r="2522" spans="1:8">
      <c r="A2522" t="s">
        <v>2528</v>
      </c>
      <c r="B2522" t="s">
        <v>7175</v>
      </c>
      <c r="C2522" t="s">
        <v>5058</v>
      </c>
      <c r="D2522" t="s">
        <v>13735</v>
      </c>
      <c r="E2522" s="2">
        <v>4962</v>
      </c>
      <c r="F2522">
        <f>HYPERLINK("https://www2.assemblee-nationale.fr/sycomore/fiche/(num_dept)/3704", "3704.0")</f>
        <v>0</v>
      </c>
      <c r="H2522">
        <f>HYPERLINK("https://www.wikidata.org/wiki/Q16025834", "Q16025834")</f>
        <v>0</v>
      </c>
    </row>
    <row r="2523" spans="1:8">
      <c r="A2523" t="s">
        <v>2529</v>
      </c>
      <c r="B2523" t="s">
        <v>7176</v>
      </c>
      <c r="C2523" t="s">
        <v>7754</v>
      </c>
      <c r="D2523" t="s">
        <v>13736</v>
      </c>
      <c r="E2523" s="2">
        <v>17565</v>
      </c>
      <c r="G2523">
        <f>HYPERLINK("https://www.senat.fr/senateur-3eme-republique/guyonnet_louis1204r3.html", "guyonnet_louis1204r3")</f>
        <v>0</v>
      </c>
      <c r="H2523">
        <f>HYPERLINK("https://www.wikidata.org/wiki/Q2421695", "Q2421695")</f>
        <v>0</v>
      </c>
    </row>
    <row r="2524" spans="1:8">
      <c r="A2524" t="s">
        <v>2530</v>
      </c>
      <c r="B2524" t="s">
        <v>7177</v>
      </c>
      <c r="C2524" t="s">
        <v>9482</v>
      </c>
      <c r="D2524" t="s">
        <v>13737</v>
      </c>
      <c r="E2524" s="2">
        <v>2922</v>
      </c>
      <c r="F2524">
        <f>HYPERLINK("https://www2.assemblee-nationale.fr/sycomore/fiche/(num_dept)/3714", "3714.0")</f>
        <v>0</v>
      </c>
      <c r="H2524">
        <f>HYPERLINK("https://www.wikidata.org/wiki/Q3172111", "Q3172111")</f>
        <v>0</v>
      </c>
    </row>
    <row r="2525" spans="1:8">
      <c r="A2525" t="s">
        <v>2531</v>
      </c>
      <c r="B2525" t="s">
        <v>7177</v>
      </c>
      <c r="C2525" t="s">
        <v>7342</v>
      </c>
      <c r="D2525" t="s">
        <v>13738</v>
      </c>
      <c r="E2525" s="2">
        <v>2922</v>
      </c>
      <c r="H2525">
        <f>HYPERLINK("https://www.wikidata.org/wiki/Q3172111", "Q3172111")</f>
        <v>0</v>
      </c>
    </row>
    <row r="2526" spans="1:8">
      <c r="A2526" t="s">
        <v>2532</v>
      </c>
      <c r="B2526" t="s">
        <v>7178</v>
      </c>
      <c r="C2526" t="s">
        <v>9312</v>
      </c>
      <c r="D2526" t="s">
        <v>13739</v>
      </c>
      <c r="G2526">
        <f>HYPERLINK("https://www.senat.fr/senateur-3eme-republique/guyot_lavaline_jean_baptiste0992r3.html", "guyot_lavaline_jean_baptiste0992r3")</f>
        <v>0</v>
      </c>
      <c r="H2526">
        <f>HYPERLINK("https://www.wikidata.org/wiki/Q3164136", "Q3164136")</f>
        <v>0</v>
      </c>
    </row>
    <row r="2527" spans="1:8">
      <c r="A2527" t="s">
        <v>2533</v>
      </c>
      <c r="B2527" t="s">
        <v>7179</v>
      </c>
      <c r="C2527" t="s">
        <v>9524</v>
      </c>
      <c r="D2527" t="s">
        <v>13740</v>
      </c>
      <c r="E2527" s="2">
        <v>2418</v>
      </c>
      <c r="F2527">
        <f>HYPERLINK("https://www2.assemblee-nationale.fr/sycomore/fiche/(num_dept)/8230", "8230.0")</f>
        <v>0</v>
      </c>
      <c r="G2527">
        <f>HYPERLINK("https://www.senat.fr/senateur-3eme-republique/guyot_emile1127r3.html", "guyot_emile1127r3")</f>
        <v>0</v>
      </c>
      <c r="H2527">
        <f>HYPERLINK("https://www.wikidata.org/wiki/Q3588551", "Q3588551")</f>
        <v>0</v>
      </c>
    </row>
    <row r="2528" spans="1:8">
      <c r="A2528" t="s">
        <v>2534</v>
      </c>
      <c r="B2528" t="s">
        <v>7179</v>
      </c>
      <c r="C2528" t="s">
        <v>9430</v>
      </c>
      <c r="D2528" t="s">
        <v>11692</v>
      </c>
      <c r="E2528" s="2">
        <v>3635</v>
      </c>
      <c r="F2528">
        <f>HYPERLINK("https://www2.assemblee-nationale.fr/sycomore/fiche/(num_dept)/7959", "7959.0")</f>
        <v>0</v>
      </c>
      <c r="H2528">
        <f>HYPERLINK("https://www.wikidata.org/wiki/Q16025835", "Q16025835")</f>
        <v>0</v>
      </c>
    </row>
    <row r="2529" spans="1:8">
      <c r="A2529" t="s">
        <v>2535</v>
      </c>
      <c r="B2529" t="s">
        <v>7179</v>
      </c>
      <c r="C2529" t="s">
        <v>9677</v>
      </c>
      <c r="D2529" t="s">
        <v>13741</v>
      </c>
      <c r="E2529" s="2">
        <v>10280</v>
      </c>
      <c r="F2529">
        <f>HYPERLINK("https://www2.assemblee-nationale.fr/sycomore/fiche/(num_dept)/7958", "7958.0")</f>
        <v>0</v>
      </c>
      <c r="H2529">
        <f>HYPERLINK("https://www.wikidata.org/wiki/Q249982", "Q249982")</f>
        <v>0</v>
      </c>
    </row>
    <row r="2530" spans="1:8">
      <c r="A2530" t="s">
        <v>2536</v>
      </c>
      <c r="B2530" t="s">
        <v>7180</v>
      </c>
      <c r="C2530" t="s">
        <v>10495</v>
      </c>
      <c r="D2530" t="s">
        <v>13742</v>
      </c>
      <c r="E2530" t="s">
        <v>16166</v>
      </c>
      <c r="F2530">
        <f>HYPERLINK("https://www2.assemblee-nationale.fr/sycomore/fiche/(num_dept)/3618", "3618.0")</f>
        <v>0</v>
      </c>
      <c r="H2530">
        <f>HYPERLINK("https://www.wikidata.org/wiki/Q3184417", "Q3184417")</f>
        <v>0</v>
      </c>
    </row>
    <row r="2531" spans="1:8">
      <c r="A2531" t="s">
        <v>2537</v>
      </c>
      <c r="B2531" t="s">
        <v>7181</v>
      </c>
      <c r="C2531" t="s">
        <v>8384</v>
      </c>
      <c r="D2531" t="s">
        <v>13743</v>
      </c>
      <c r="E2531" t="s">
        <v>16167</v>
      </c>
      <c r="F2531">
        <f>HYPERLINK("https://www2.assemblee-nationale.fr/sycomore/fiche/(num_dept)/3623", "3623.0")</f>
        <v>0</v>
      </c>
      <c r="H2531">
        <f>HYPERLINK("https://www.wikidata.org/wiki/Q16025819", "Q16025819")</f>
        <v>0</v>
      </c>
    </row>
    <row r="2532" spans="1:8">
      <c r="A2532" t="s">
        <v>2538</v>
      </c>
      <c r="B2532" t="s">
        <v>7182</v>
      </c>
      <c r="C2532" t="s">
        <v>9524</v>
      </c>
      <c r="D2532" t="s">
        <v>13744</v>
      </c>
      <c r="E2532" s="2">
        <v>14560</v>
      </c>
      <c r="F2532">
        <f>HYPERLINK("https://www2.assemblee-nationale.fr/sycomore/fiche/(num_dept)/3624", "3624.0")</f>
        <v>0</v>
      </c>
      <c r="H2532">
        <f>HYPERLINK("https://www.wikidata.org/wiki/Q2983883", "Q2983883")</f>
        <v>0</v>
      </c>
    </row>
    <row r="2533" spans="1:8">
      <c r="A2533" t="s">
        <v>2539</v>
      </c>
      <c r="B2533" t="s">
        <v>7183</v>
      </c>
      <c r="C2533" t="s">
        <v>6864</v>
      </c>
      <c r="D2533" t="s">
        <v>13745</v>
      </c>
      <c r="E2533" s="2">
        <v>11178</v>
      </c>
      <c r="F2533">
        <f>HYPERLINK("https://www2.assemblee-nationale.fr/sycomore/fiche/(num_dept)/3626", "3626.0")</f>
        <v>0</v>
      </c>
      <c r="H2533">
        <f>HYPERLINK("https://www.wikidata.org/wiki/Q3084815", "Q3084815")</f>
        <v>0</v>
      </c>
    </row>
    <row r="2534" spans="1:8">
      <c r="A2534" t="s">
        <v>2540</v>
      </c>
      <c r="B2534" t="s">
        <v>7184</v>
      </c>
      <c r="C2534" t="s">
        <v>7782</v>
      </c>
      <c r="D2534" t="s">
        <v>13746</v>
      </c>
      <c r="E2534" s="2">
        <v>660</v>
      </c>
      <c r="F2534">
        <f>HYPERLINK("https://www2.assemblee-nationale.fr/sycomore/fiche/(num_dept)/3628", "3628.0")</f>
        <v>0</v>
      </c>
      <c r="H2534">
        <f>HYPERLINK("https://www.wikidata.org/wiki/Q3271033", "Q3271033")</f>
        <v>0</v>
      </c>
    </row>
    <row r="2535" spans="1:8">
      <c r="A2535" t="s">
        <v>2541</v>
      </c>
      <c r="B2535" t="s">
        <v>7184</v>
      </c>
      <c r="C2535" t="s">
        <v>9368</v>
      </c>
      <c r="D2535" t="s">
        <v>13696</v>
      </c>
      <c r="E2535" s="2">
        <v>10708</v>
      </c>
      <c r="H2535">
        <f>HYPERLINK("https://www.wikidata.org/wiki/Q3059913", "Q3059913")</f>
        <v>0</v>
      </c>
    </row>
    <row r="2536" spans="1:8">
      <c r="A2536" t="s">
        <v>2542</v>
      </c>
      <c r="B2536" t="s">
        <v>7184</v>
      </c>
      <c r="C2536" t="s">
        <v>9503</v>
      </c>
      <c r="D2536" t="s">
        <v>13697</v>
      </c>
      <c r="E2536" s="2">
        <v>17939</v>
      </c>
      <c r="F2536">
        <f>HYPERLINK("https://www2.assemblee-nationale.fr/sycomore/fiche/(num_dept)/3627", "3627.0")</f>
        <v>0</v>
      </c>
      <c r="H2536">
        <f>HYPERLINK("https://www.wikidata.org/wiki/Q3121205", "Q3121205")</f>
        <v>0</v>
      </c>
    </row>
    <row r="2537" spans="1:8">
      <c r="A2537" t="s">
        <v>2543</v>
      </c>
      <c r="B2537" t="s">
        <v>7185</v>
      </c>
      <c r="C2537" t="s">
        <v>7754</v>
      </c>
      <c r="D2537" t="s">
        <v>13747</v>
      </c>
      <c r="E2537" s="2">
        <v>14638</v>
      </c>
      <c r="F2537">
        <f>HYPERLINK("https://www2.assemblee-nationale.fr/sycomore/fiche/(num_dept)/3329", "3329.0")</f>
        <v>0</v>
      </c>
      <c r="H2537">
        <f>HYPERLINK("https://www.wikidata.org/wiki/Q16025758", "Q16025758")</f>
        <v>0</v>
      </c>
    </row>
    <row r="2538" spans="1:8">
      <c r="A2538" t="s">
        <v>2544</v>
      </c>
      <c r="B2538" t="s">
        <v>7186</v>
      </c>
      <c r="C2538" t="s">
        <v>8384</v>
      </c>
      <c r="D2538" t="s">
        <v>13748</v>
      </c>
      <c r="E2538" s="2">
        <v>18373</v>
      </c>
      <c r="F2538">
        <f>HYPERLINK("https://www2.assemblee-nationale.fr/sycomore/fiche/(num_dept)/3334", "3334.0")</f>
        <v>0</v>
      </c>
      <c r="H2538">
        <f>HYPERLINK("https://www.wikidata.org/wiki/Q11984999", "Q11984999")</f>
        <v>0</v>
      </c>
    </row>
    <row r="2539" spans="1:8">
      <c r="A2539" t="s">
        <v>2545</v>
      </c>
      <c r="B2539" t="s">
        <v>7187</v>
      </c>
      <c r="C2539" t="s">
        <v>7001</v>
      </c>
      <c r="D2539" t="s">
        <v>13749</v>
      </c>
      <c r="E2539" s="2">
        <v>14459</v>
      </c>
      <c r="F2539">
        <f>HYPERLINK("https://www2.assemblee-nationale.fr/sycomore/fiche/(num_dept)/3349", "3349.0")</f>
        <v>0</v>
      </c>
      <c r="H2539">
        <f>HYPERLINK("https://www.wikidata.org/wiki/Q16025763", "Q16025763")</f>
        <v>0</v>
      </c>
    </row>
    <row r="2540" spans="1:8">
      <c r="A2540" t="s">
        <v>2546</v>
      </c>
      <c r="B2540" t="s">
        <v>7188</v>
      </c>
      <c r="C2540" t="s">
        <v>7754</v>
      </c>
      <c r="D2540" t="s">
        <v>13750</v>
      </c>
      <c r="E2540" s="2">
        <v>16390</v>
      </c>
      <c r="F2540">
        <f>HYPERLINK("https://www2.assemblee-nationale.fr/sycomore/fiche/(num_dept)/3363", "3363.0")</f>
        <v>0</v>
      </c>
      <c r="H2540">
        <f>HYPERLINK("https://www.wikidata.org/wiki/Q8325356", "Q8325356")</f>
        <v>0</v>
      </c>
    </row>
    <row r="2541" spans="1:8">
      <c r="A2541" t="s">
        <v>2547</v>
      </c>
      <c r="B2541" t="s">
        <v>7189</v>
      </c>
      <c r="C2541" t="s">
        <v>10496</v>
      </c>
      <c r="D2541" t="s">
        <v>13751</v>
      </c>
      <c r="E2541" s="2">
        <v>1195</v>
      </c>
      <c r="F2541">
        <f>HYPERLINK("https://www2.assemblee-nationale.fr/sycomore/fiche/(num_dept)/3361", "3361.0")</f>
        <v>0</v>
      </c>
      <c r="H2541">
        <f>HYPERLINK("https://www.wikidata.org/wiki/Q3131251", "Q3131251")</f>
        <v>0</v>
      </c>
    </row>
    <row r="2542" spans="1:8">
      <c r="A2542" t="s">
        <v>2548</v>
      </c>
      <c r="B2542" t="s">
        <v>7189</v>
      </c>
      <c r="C2542" t="s">
        <v>7942</v>
      </c>
      <c r="D2542" t="s">
        <v>13752</v>
      </c>
      <c r="E2542" s="2">
        <v>9124</v>
      </c>
      <c r="F2542">
        <f>HYPERLINK("https://www2.assemblee-nationale.fr/sycomore/fiche/(num_dept)/3362", "3362.0")</f>
        <v>0</v>
      </c>
      <c r="H2542">
        <f>HYPERLINK("https://www.wikidata.org/wiki/Q3300885", "Q3300885")</f>
        <v>0</v>
      </c>
    </row>
    <row r="2543" spans="1:8">
      <c r="A2543" t="s">
        <v>2549</v>
      </c>
      <c r="B2543" t="s">
        <v>7189</v>
      </c>
      <c r="C2543" t="s">
        <v>9482</v>
      </c>
      <c r="D2543" t="s">
        <v>13753</v>
      </c>
      <c r="E2543" s="2">
        <v>6890</v>
      </c>
      <c r="F2543">
        <f>HYPERLINK("https://www2.assemblee-nationale.fr/sycomore/fiche/(num_dept)/3358", "3358.0")</f>
        <v>0</v>
      </c>
      <c r="H2543">
        <f>HYPERLINK("https://www.wikidata.org/wiki/Q16025764", "Q16025764")</f>
        <v>0</v>
      </c>
    </row>
    <row r="2544" spans="1:8">
      <c r="A2544" t="s">
        <v>2550</v>
      </c>
      <c r="B2544" t="s">
        <v>7189</v>
      </c>
      <c r="C2544" t="s">
        <v>9512</v>
      </c>
      <c r="D2544" t="s">
        <v>13754</v>
      </c>
      <c r="E2544" s="2">
        <v>25239</v>
      </c>
      <c r="F2544">
        <f>HYPERLINK("https://www2.assemblee-nationale.fr/sycomore/fiche/(num_dept)/3360", "3360.0")</f>
        <v>0</v>
      </c>
      <c r="H2544">
        <f>HYPERLINK("https://www.wikidata.org/wiki/Q3099030", "Q3099030")</f>
        <v>0</v>
      </c>
    </row>
    <row r="2545" spans="1:8">
      <c r="A2545" t="s">
        <v>2551</v>
      </c>
      <c r="B2545" t="s">
        <v>7189</v>
      </c>
      <c r="C2545" t="s">
        <v>6864</v>
      </c>
      <c r="D2545" t="s">
        <v>13755</v>
      </c>
      <c r="E2545" s="2">
        <v>10644</v>
      </c>
      <c r="F2545">
        <f>HYPERLINK("https://www2.assemblee-nationale.fr/sycomore/fiche/(num_dept)/3359", "3359.0")</f>
        <v>0</v>
      </c>
      <c r="H2545">
        <f>HYPERLINK("https://www.wikidata.org/wiki/Q3084814", "Q3084814")</f>
        <v>0</v>
      </c>
    </row>
    <row r="2546" spans="1:8">
      <c r="A2546" t="s">
        <v>2552</v>
      </c>
      <c r="B2546" t="s">
        <v>7190</v>
      </c>
      <c r="C2546" t="s">
        <v>10497</v>
      </c>
      <c r="D2546" t="s">
        <v>13756</v>
      </c>
      <c r="E2546" s="2">
        <v>4359</v>
      </c>
      <c r="F2546">
        <f>HYPERLINK("https://www2.assemblee-nationale.fr/sycomore/fiche/(num_dept)/3364", "3364.0")</f>
        <v>0</v>
      </c>
      <c r="H2546">
        <f>HYPERLINK("https://www.wikidata.org/wiki/Q2835289", "Q2835289")</f>
        <v>0</v>
      </c>
    </row>
    <row r="2547" spans="1:8">
      <c r="A2547" t="s">
        <v>2553</v>
      </c>
      <c r="B2547" t="s">
        <v>7191</v>
      </c>
      <c r="C2547" t="s">
        <v>9324</v>
      </c>
      <c r="D2547" t="s">
        <v>13757</v>
      </c>
      <c r="E2547" s="2">
        <v>25599</v>
      </c>
      <c r="F2547">
        <f>HYPERLINK("https://www2.assemblee-nationale.fr/sycomore/fiche/(num_dept)/3370", "3370.0")</f>
        <v>0</v>
      </c>
      <c r="H2547">
        <f>HYPERLINK("https://www.wikidata.org/wiki/Q2415044", "Q2415044")</f>
        <v>0</v>
      </c>
    </row>
    <row r="2548" spans="1:8">
      <c r="A2548" t="s">
        <v>2554</v>
      </c>
      <c r="B2548" t="s">
        <v>7192</v>
      </c>
      <c r="C2548" t="s">
        <v>10498</v>
      </c>
      <c r="D2548" t="s">
        <v>13758</v>
      </c>
      <c r="E2548" s="2">
        <v>1691</v>
      </c>
      <c r="F2548">
        <f>HYPERLINK("https://www2.assemblee-nationale.fr/sycomore/fiche/(num_dept)/3392", "3392.0")</f>
        <v>0</v>
      </c>
      <c r="H2548">
        <f>HYPERLINK("https://www.wikidata.org/wiki/Q3188644", "Q3188644")</f>
        <v>0</v>
      </c>
    </row>
    <row r="2549" spans="1:8">
      <c r="A2549" t="s">
        <v>2555</v>
      </c>
      <c r="B2549" t="s">
        <v>7193</v>
      </c>
      <c r="C2549" t="s">
        <v>10070</v>
      </c>
      <c r="D2549" t="s">
        <v>13759</v>
      </c>
      <c r="E2549" s="2">
        <v>13796</v>
      </c>
      <c r="F2549">
        <f>HYPERLINK("https://www2.assemblee-nationale.fr/sycomore/fiche/(num_dept)/3716", "3716.0")</f>
        <v>0</v>
      </c>
      <c r="H2549">
        <f>HYPERLINK("https://www.wikidata.org/wiki/Q3289018", "Q3289018")</f>
        <v>0</v>
      </c>
    </row>
    <row r="2550" spans="1:8">
      <c r="A2550" t="s">
        <v>2556</v>
      </c>
      <c r="B2550" t="s">
        <v>7194</v>
      </c>
      <c r="C2550" t="s">
        <v>9320</v>
      </c>
      <c r="D2550" t="s">
        <v>13760</v>
      </c>
      <c r="E2550" s="2">
        <v>14841</v>
      </c>
      <c r="G2550">
        <f>HYPERLINK("https://www.senat.fr/senateur-3eme-republique/hachette_rene0035r3.html", "hachette_rene0035r3")</f>
        <v>0</v>
      </c>
      <c r="H2550">
        <f>HYPERLINK("https://www.wikidata.org/wiki/Q3426336", "Q3426336")</f>
        <v>0</v>
      </c>
    </row>
    <row r="2551" spans="1:8">
      <c r="A2551" t="s">
        <v>2557</v>
      </c>
      <c r="B2551" t="s">
        <v>7195</v>
      </c>
      <c r="C2551" t="s">
        <v>7754</v>
      </c>
      <c r="D2551" t="s">
        <v>13761</v>
      </c>
      <c r="E2551" s="2">
        <v>16790</v>
      </c>
      <c r="F2551">
        <f>HYPERLINK("https://www2.assemblee-nationale.fr/sycomore/fiche/(num_dept)/3722", "3722.0")</f>
        <v>0</v>
      </c>
      <c r="H2551">
        <f>HYPERLINK("https://www.wikidata.org/wiki/Q1632662", "Q1632662")</f>
        <v>0</v>
      </c>
    </row>
    <row r="2552" spans="1:8">
      <c r="A2552" t="s">
        <v>2558</v>
      </c>
      <c r="B2552" t="s">
        <v>7196</v>
      </c>
      <c r="C2552" t="s">
        <v>10499</v>
      </c>
      <c r="D2552" t="s">
        <v>13762</v>
      </c>
      <c r="E2552" t="s">
        <v>16168</v>
      </c>
      <c r="F2552">
        <f>HYPERLINK("https://www2.assemblee-nationale.fr/sycomore/fiche/(num_dept)/8239", "8239.0")</f>
        <v>0</v>
      </c>
      <c r="H2552">
        <f>HYPERLINK("https://www.wikidata.org/wiki/Q2839650", "Q2839650")</f>
        <v>0</v>
      </c>
    </row>
    <row r="2553" spans="1:8">
      <c r="A2553" t="s">
        <v>2559</v>
      </c>
      <c r="B2553" t="s">
        <v>7197</v>
      </c>
      <c r="C2553" t="s">
        <v>9503</v>
      </c>
      <c r="D2553" t="s">
        <v>13763</v>
      </c>
      <c r="E2553" s="2">
        <v>9906</v>
      </c>
      <c r="F2553">
        <f>HYPERLINK("https://www2.assemblee-nationale.fr/sycomore/fiche/(num_dept)/3726", "3726.0")</f>
        <v>0</v>
      </c>
      <c r="H2553">
        <f>HYPERLINK("https://www.wikidata.org/wiki/Q16025836", "Q16025836")</f>
        <v>0</v>
      </c>
    </row>
    <row r="2554" spans="1:8">
      <c r="A2554" t="s">
        <v>2560</v>
      </c>
      <c r="B2554" t="s">
        <v>7198</v>
      </c>
      <c r="C2554" t="s">
        <v>9503</v>
      </c>
      <c r="D2554" t="s">
        <v>13764</v>
      </c>
      <c r="E2554" s="2">
        <v>9399</v>
      </c>
      <c r="F2554">
        <f>HYPERLINK("https://www2.assemblee-nationale.fr/sycomore/fiche/(num_dept)/3727", "3727.0")</f>
        <v>0</v>
      </c>
      <c r="H2554">
        <f>HYPERLINK("https://www.wikidata.org/wiki/Q16025837", "Q16025837")</f>
        <v>0</v>
      </c>
    </row>
    <row r="2555" spans="1:8">
      <c r="A2555" t="s">
        <v>2561</v>
      </c>
      <c r="B2555" t="s">
        <v>7199</v>
      </c>
      <c r="C2555" t="s">
        <v>10500</v>
      </c>
      <c r="D2555" t="s">
        <v>13765</v>
      </c>
      <c r="E2555" t="s">
        <v>16169</v>
      </c>
      <c r="G2555">
        <f>HYPERLINK("https://www.senat.fr/senateur-3eme-republique/halgan_stephane1752r3.html", "halgan_stephane1752r3")</f>
        <v>0</v>
      </c>
      <c r="H2555">
        <f>HYPERLINK("https://www.wikidata.org/wiki/Q3501816", "Q3501816")</f>
        <v>0</v>
      </c>
    </row>
    <row r="2556" spans="1:8">
      <c r="A2556" t="s">
        <v>2562</v>
      </c>
      <c r="B2556" t="s">
        <v>7199</v>
      </c>
      <c r="C2556" t="s">
        <v>9375</v>
      </c>
      <c r="D2556" t="s">
        <v>13766</v>
      </c>
      <c r="E2556" s="2">
        <v>6505</v>
      </c>
      <c r="G2556">
        <f>HYPERLINK("https://www.senat.fr/senateur-3eme-republique/halgan_emmanuel1753r3.html", "halgan_emmanuel1753r3")</f>
        <v>0</v>
      </c>
      <c r="H2556">
        <f>HYPERLINK("https://www.wikidata.org/wiki/Q3052727", "Q3052727")</f>
        <v>0</v>
      </c>
    </row>
    <row r="2557" spans="1:8">
      <c r="A2557" t="s">
        <v>2563</v>
      </c>
      <c r="B2557" t="s">
        <v>7200</v>
      </c>
      <c r="C2557" t="s">
        <v>10501</v>
      </c>
      <c r="D2557" t="s">
        <v>13767</v>
      </c>
      <c r="E2557" t="s">
        <v>16170</v>
      </c>
      <c r="G2557">
        <f>HYPERLINK("https://www.senat.fr/senateur-3eme-republique/halleguen_corentin0790r3.html", "halleguen_corentin0790r3")</f>
        <v>0</v>
      </c>
      <c r="H2557">
        <f>HYPERLINK("https://www.wikidata.org/wiki/Q2997241", "Q2997241")</f>
        <v>0</v>
      </c>
    </row>
    <row r="2558" spans="1:8">
      <c r="A2558" t="s">
        <v>2564</v>
      </c>
      <c r="B2558" t="s">
        <v>7201</v>
      </c>
      <c r="C2558" t="s">
        <v>10211</v>
      </c>
      <c r="D2558" t="s">
        <v>12988</v>
      </c>
      <c r="E2558" s="2">
        <v>16694</v>
      </c>
      <c r="F2558">
        <f>HYPERLINK("https://www2.assemblee-nationale.fr/sycomore/fiche/(num_dept)/3735", "3735.0")</f>
        <v>0</v>
      </c>
      <c r="H2558">
        <f>HYPERLINK("https://www.wikidata.org/wiki/Q3526429", "Q3526429")</f>
        <v>0</v>
      </c>
    </row>
    <row r="2559" spans="1:8">
      <c r="A2559" t="s">
        <v>2565</v>
      </c>
      <c r="B2559" t="s">
        <v>7202</v>
      </c>
      <c r="C2559" t="s">
        <v>10502</v>
      </c>
      <c r="D2559" t="s">
        <v>13768</v>
      </c>
      <c r="E2559" t="s">
        <v>16171</v>
      </c>
      <c r="G2559">
        <f>HYPERLINK("https://www.senat.fr/senateur-3eme-republique/halna_du_fretay_hyppolite0783r3.html", "halna_du_fretay_hyppolite0783r3")</f>
        <v>0</v>
      </c>
      <c r="H2559">
        <f>HYPERLINK("https://www.wikidata.org/wiki/Q3136067", "Q3136067")</f>
        <v>0</v>
      </c>
    </row>
    <row r="2560" spans="1:8">
      <c r="A2560" t="s">
        <v>2566</v>
      </c>
      <c r="B2560" t="s">
        <v>7202</v>
      </c>
      <c r="C2560" t="s">
        <v>6864</v>
      </c>
      <c r="D2560" t="s">
        <v>13769</v>
      </c>
      <c r="E2560" s="2">
        <v>23055</v>
      </c>
      <c r="G2560">
        <f>HYPERLINK("https://www.senat.fr/senateur-3eme-republique/halna_du_fretay_francois0813r3.html", "halna_du_fretay_francois0813r3")</f>
        <v>0</v>
      </c>
      <c r="H2560">
        <f>HYPERLINK("https://www.wikidata.org/wiki/Q3084822", "Q3084822")</f>
        <v>0</v>
      </c>
    </row>
    <row r="2561" spans="1:8">
      <c r="A2561" t="s">
        <v>2567</v>
      </c>
      <c r="B2561" t="s">
        <v>7203</v>
      </c>
      <c r="C2561" t="s">
        <v>9332</v>
      </c>
      <c r="D2561" t="s">
        <v>13770</v>
      </c>
      <c r="E2561" t="s">
        <v>15958</v>
      </c>
      <c r="G2561">
        <f>HYPERLINK("https://www.senat.fr/senateur-3eme-republique/hamel_ernest1663r3.html", "hamel_ernest1663r3")</f>
        <v>0</v>
      </c>
      <c r="H2561">
        <f>HYPERLINK("https://www.wikidata.org/wiki/Q3057004", "Q3057004")</f>
        <v>0</v>
      </c>
    </row>
    <row r="2562" spans="1:8">
      <c r="A2562" t="s">
        <v>2568</v>
      </c>
      <c r="B2562" t="s">
        <v>7204</v>
      </c>
      <c r="C2562" t="s">
        <v>9324</v>
      </c>
      <c r="D2562" t="s">
        <v>13771</v>
      </c>
      <c r="E2562" s="2">
        <v>16660</v>
      </c>
      <c r="G2562">
        <f>HYPERLINK("https://www.senat.fr/senateur-3eme-republique/hamelin_henri1847r3.html", "hamelin_henri1847r3")</f>
        <v>0</v>
      </c>
      <c r="H2562">
        <f>HYPERLINK("https://www.wikidata.org/wiki/Q3131257", "Q3131257")</f>
        <v>0</v>
      </c>
    </row>
    <row r="2563" spans="1:8">
      <c r="A2563" t="s">
        <v>2569</v>
      </c>
      <c r="B2563" t="s">
        <v>7205</v>
      </c>
      <c r="C2563" t="s">
        <v>10503</v>
      </c>
      <c r="D2563" t="s">
        <v>13772</v>
      </c>
      <c r="E2563" t="s">
        <v>16172</v>
      </c>
      <c r="F2563">
        <f>HYPERLINK("https://www2.assemblee-nationale.fr/sycomore/fiche/(num_dept)/8211", "8211.0")</f>
        <v>0</v>
      </c>
      <c r="G2563">
        <f>HYPERLINK("https://www.senat.fr/senateur-3eme-republique/hamille_francois0923r3.html", "hamille_francois0923r3")</f>
        <v>0</v>
      </c>
      <c r="H2563">
        <f>HYPERLINK("https://www.wikidata.org/wiki/Q3084825", "Q3084825")</f>
        <v>0</v>
      </c>
    </row>
    <row r="2564" spans="1:8">
      <c r="A2564" t="s">
        <v>2570</v>
      </c>
      <c r="B2564" t="s">
        <v>7206</v>
      </c>
      <c r="C2564" t="s">
        <v>9482</v>
      </c>
      <c r="D2564" t="s">
        <v>13773</v>
      </c>
      <c r="E2564" s="2">
        <v>23797</v>
      </c>
      <c r="G2564">
        <f>HYPERLINK("https://www.senat.fr/senateur-3eme-republique/hannotin_edmond0165r3.html", "hannotin_edmond0165r3")</f>
        <v>0</v>
      </c>
      <c r="H2564">
        <f>HYPERLINK("https://www.wikidata.org/wiki/Q3047857", "Q3047857")</f>
        <v>0</v>
      </c>
    </row>
    <row r="2565" spans="1:8">
      <c r="A2565" t="s">
        <v>2571</v>
      </c>
      <c r="B2565" t="s">
        <v>7207</v>
      </c>
      <c r="C2565" t="s">
        <v>6895</v>
      </c>
      <c r="D2565" t="s">
        <v>13774</v>
      </c>
      <c r="E2565" s="2">
        <v>16173</v>
      </c>
      <c r="F2565">
        <f>HYPERLINK("https://www2.assemblee-nationale.fr/sycomore/fiche/(num_dept)/3746", "3746.0")</f>
        <v>0</v>
      </c>
      <c r="H2565">
        <f>HYPERLINK("https://www.wikidata.org/wiki/Q956253", "Q956253")</f>
        <v>0</v>
      </c>
    </row>
    <row r="2566" spans="1:8">
      <c r="A2566" t="s">
        <v>2572</v>
      </c>
      <c r="B2566" t="s">
        <v>7208</v>
      </c>
      <c r="C2566" t="s">
        <v>9373</v>
      </c>
      <c r="D2566" t="s">
        <v>13775</v>
      </c>
      <c r="E2566" s="2">
        <v>20640</v>
      </c>
      <c r="G2566">
        <f>HYPERLINK("https://www.senat.fr/senateur-3eme-republique/harent_joseph1674r3.html", "harent_joseph1674r3")</f>
        <v>0</v>
      </c>
      <c r="H2566">
        <f>HYPERLINK("https://www.wikidata.org/wiki/Q3185064", "Q3185064")</f>
        <v>0</v>
      </c>
    </row>
    <row r="2567" spans="1:8">
      <c r="A2567" t="s">
        <v>2573</v>
      </c>
      <c r="B2567" t="s">
        <v>7209</v>
      </c>
      <c r="C2567" t="s">
        <v>9971</v>
      </c>
      <c r="D2567" t="s">
        <v>13776</v>
      </c>
      <c r="E2567" t="s">
        <v>16173</v>
      </c>
      <c r="F2567">
        <f>HYPERLINK("https://www2.assemblee-nationale.fr/sycomore/fiche/(num_dept)/7960", "7960.0")</f>
        <v>0</v>
      </c>
      <c r="H2567">
        <f>HYPERLINK("https://www.wikidata.org/wiki/Q3164662", "Q3164662")</f>
        <v>0</v>
      </c>
    </row>
    <row r="2568" spans="1:8">
      <c r="A2568" t="s">
        <v>2574</v>
      </c>
      <c r="B2568" t="s">
        <v>7210</v>
      </c>
      <c r="C2568" t="s">
        <v>10504</v>
      </c>
      <c r="D2568" t="s">
        <v>13777</v>
      </c>
      <c r="E2568" s="2">
        <v>2057</v>
      </c>
      <c r="F2568">
        <f>HYPERLINK("https://www2.assemblee-nationale.fr/sycomore/fiche/(num_dept)/3754", "3754.0")</f>
        <v>0</v>
      </c>
      <c r="H2568">
        <f>HYPERLINK("https://www.wikidata.org/wiki/Q15263187", "Q15263187")</f>
        <v>0</v>
      </c>
    </row>
    <row r="2569" spans="1:8">
      <c r="A2569" t="s">
        <v>2575</v>
      </c>
      <c r="B2569" t="s">
        <v>7211</v>
      </c>
      <c r="C2569" t="s">
        <v>9430</v>
      </c>
      <c r="D2569" t="s">
        <v>13778</v>
      </c>
      <c r="E2569" s="2">
        <v>25643</v>
      </c>
      <c r="F2569">
        <f>HYPERLINK("https://www2.assemblee-nationale.fr/sycomore/fiche/(num_dept)/3756", "3756.0")</f>
        <v>0</v>
      </c>
      <c r="H2569">
        <f>HYPERLINK("https://www.wikidata.org/wiki/Q3371432", "Q3371432")</f>
        <v>0</v>
      </c>
    </row>
    <row r="2570" spans="1:8">
      <c r="A2570" t="s">
        <v>2576</v>
      </c>
      <c r="B2570" t="s">
        <v>7212</v>
      </c>
      <c r="C2570" t="s">
        <v>9355</v>
      </c>
      <c r="D2570" t="s">
        <v>13779</v>
      </c>
      <c r="E2570" s="2">
        <v>20465</v>
      </c>
      <c r="F2570">
        <f>HYPERLINK("https://www2.assemblee-nationale.fr/sycomore/fiche/(num_dept)/3757", "3757.0")</f>
        <v>0</v>
      </c>
      <c r="H2570">
        <f>HYPERLINK("https://www.wikidata.org/wiki/Q2959318", "Q2959318")</f>
        <v>0</v>
      </c>
    </row>
    <row r="2571" spans="1:8">
      <c r="A2571" t="s">
        <v>2577</v>
      </c>
      <c r="B2571" t="s">
        <v>7213</v>
      </c>
      <c r="C2571" t="s">
        <v>9332</v>
      </c>
      <c r="D2571" t="s">
        <v>13780</v>
      </c>
      <c r="E2571" s="2">
        <v>12419</v>
      </c>
      <c r="F2571">
        <f>HYPERLINK("https://www2.assemblee-nationale.fr/sycomore/fiche/(num_dept)/3760", "3760.0")</f>
        <v>0</v>
      </c>
      <c r="G2571">
        <f>HYPERLINK("https://www.senat.fr/senateur-3eme-republique/haudos_ernest0650r3.html", "haudos_ernest0650r3")</f>
        <v>0</v>
      </c>
      <c r="H2571">
        <f>HYPERLINK("https://www.wikidata.org/wiki/Q3057000", "Q3057000")</f>
        <v>0</v>
      </c>
    </row>
    <row r="2572" spans="1:8">
      <c r="A2572" t="s">
        <v>2578</v>
      </c>
      <c r="B2572" t="s">
        <v>7214</v>
      </c>
      <c r="C2572" t="s">
        <v>9355</v>
      </c>
      <c r="D2572" t="s">
        <v>13781</v>
      </c>
      <c r="E2572" s="2">
        <v>13119</v>
      </c>
      <c r="F2572">
        <f>HYPERLINK("https://www2.assemblee-nationale.fr/sycomore/fiche/(num_dept)/3761", "3761.0")</f>
        <v>0</v>
      </c>
      <c r="H2572">
        <f>HYPERLINK("https://www.wikidata.org/wiki/Q2959321", "Q2959321")</f>
        <v>0</v>
      </c>
    </row>
    <row r="2573" spans="1:8">
      <c r="A2573" t="s">
        <v>2579</v>
      </c>
      <c r="B2573" t="s">
        <v>7215</v>
      </c>
      <c r="C2573" t="s">
        <v>5058</v>
      </c>
      <c r="D2573" t="s">
        <v>13782</v>
      </c>
      <c r="E2573" s="2">
        <v>15324</v>
      </c>
      <c r="F2573">
        <f>HYPERLINK("https://www2.assemblee-nationale.fr/sycomore/fiche/(num_dept)/3762", "3762.0")</f>
        <v>0</v>
      </c>
      <c r="H2573">
        <f>HYPERLINK("https://www.wikidata.org/wiki/Q2831231", "Q2831231")</f>
        <v>0</v>
      </c>
    </row>
    <row r="2574" spans="1:8">
      <c r="A2574" t="s">
        <v>2580</v>
      </c>
      <c r="B2574" t="s">
        <v>7216</v>
      </c>
      <c r="C2574" t="s">
        <v>9355</v>
      </c>
      <c r="D2574" t="s">
        <v>13783</v>
      </c>
      <c r="E2574" s="2">
        <v>6574</v>
      </c>
      <c r="G2574">
        <f>HYPERLINK("https://www.senat.fr/senateur-3eme-republique/haugoumar_des_portes_charles0576r3.html", "haugoumar_des_portes_charles0576r3")</f>
        <v>0</v>
      </c>
      <c r="H2574">
        <f>HYPERLINK("https://www.wikidata.org/wiki/Q2959323", "Q2959323")</f>
        <v>0</v>
      </c>
    </row>
    <row r="2575" spans="1:8">
      <c r="A2575" t="s">
        <v>2581</v>
      </c>
      <c r="B2575" t="s">
        <v>7217</v>
      </c>
      <c r="C2575" t="s">
        <v>9324</v>
      </c>
      <c r="D2575" t="s">
        <v>13784</v>
      </c>
      <c r="E2575" s="2">
        <v>3260</v>
      </c>
      <c r="F2575">
        <f>HYPERLINK("https://www2.assemblee-nationale.fr/sycomore/fiche/(num_dept)/3763", "3763.0")</f>
        <v>0</v>
      </c>
      <c r="G2575">
        <f>HYPERLINK("https://www.senat.fr/senateur-3eme-republique/haulon_seraphin1068r3.html", "haulon_seraphin1068r3")</f>
        <v>0</v>
      </c>
      <c r="H2575">
        <f>HYPERLINK("https://www.wikidata.org/wiki/Q3511110", "Q3511110")</f>
        <v>0</v>
      </c>
    </row>
    <row r="2576" spans="1:8">
      <c r="A2576" t="s">
        <v>2582</v>
      </c>
      <c r="B2576" t="s">
        <v>7218</v>
      </c>
      <c r="C2576" t="s">
        <v>9320</v>
      </c>
      <c r="D2576" t="s">
        <v>13785</v>
      </c>
      <c r="E2576" s="2">
        <v>24068</v>
      </c>
      <c r="F2576">
        <f>HYPERLINK("https://www2.assemblee-nationale.fr/sycomore/fiche/(num_dept)/3767", "3767.0")</f>
        <v>0</v>
      </c>
      <c r="H2576">
        <f>HYPERLINK("https://www.wikidata.org/wiki/Q11945258", "Q11945258")</f>
        <v>0</v>
      </c>
    </row>
    <row r="2577" spans="1:8">
      <c r="A2577" t="s">
        <v>2583</v>
      </c>
      <c r="B2577" t="s">
        <v>7219</v>
      </c>
      <c r="C2577" t="s">
        <v>10505</v>
      </c>
      <c r="D2577" t="s">
        <v>13786</v>
      </c>
      <c r="E2577" s="2">
        <v>749</v>
      </c>
      <c r="F2577">
        <f>HYPERLINK("https://www2.assemblee-nationale.fr/sycomore/fiche/(num_dept)/3768", "3768.0")</f>
        <v>0</v>
      </c>
      <c r="H2577">
        <f>HYPERLINK("https://www.wikidata.org/wiki/Q17629005", "Q17629005")</f>
        <v>0</v>
      </c>
    </row>
    <row r="2578" spans="1:8">
      <c r="A2578" t="s">
        <v>2584</v>
      </c>
      <c r="B2578" t="s">
        <v>7220</v>
      </c>
      <c r="C2578" t="s">
        <v>9471</v>
      </c>
      <c r="D2578" t="s">
        <v>13787</v>
      </c>
      <c r="E2578" s="2">
        <v>14121</v>
      </c>
      <c r="G2578">
        <f>HYPERLINK("https://www.senat.fr/senateur-3eme-republique/hayaux_jules1173r3.html", "hayaux_jules1173r3")</f>
        <v>0</v>
      </c>
      <c r="H2578">
        <f>HYPERLINK("https://www.wikidata.org/wiki/Q3188654", "Q3188654")</f>
        <v>0</v>
      </c>
    </row>
    <row r="2579" spans="1:8">
      <c r="A2579" t="s">
        <v>2585</v>
      </c>
      <c r="B2579" t="s">
        <v>7221</v>
      </c>
      <c r="C2579" t="s">
        <v>9430</v>
      </c>
      <c r="D2579" t="s">
        <v>13788</v>
      </c>
      <c r="E2579" s="2">
        <v>13060</v>
      </c>
      <c r="F2579">
        <f>HYPERLINK("https://www2.assemblee-nationale.fr/sycomore/fiche/(num_dept)/3774", "3774.0")</f>
        <v>0</v>
      </c>
      <c r="G2579">
        <f>HYPERLINK("https://www.senat.fr/senateur-3eme-republique/hayez_paul1415r3.html", "hayez_paul1415r3")</f>
        <v>0</v>
      </c>
      <c r="H2579">
        <f>HYPERLINK("https://www.wikidata.org/wiki/Q3371447", "Q3371447")</f>
        <v>0</v>
      </c>
    </row>
    <row r="2580" spans="1:8">
      <c r="A2580" t="s">
        <v>2586</v>
      </c>
      <c r="B2580" t="s">
        <v>7222</v>
      </c>
      <c r="C2580" t="s">
        <v>10506</v>
      </c>
      <c r="D2580" t="s">
        <v>13789</v>
      </c>
      <c r="E2580" t="s">
        <v>16174</v>
      </c>
      <c r="F2580">
        <f>HYPERLINK("https://www2.assemblee-nationale.fr/sycomore/fiche/(num_dept)/3775", "3775.0")</f>
        <v>0</v>
      </c>
      <c r="H2580">
        <f>HYPERLINK("https://www.wikidata.org/wiki/Q3059920", "Q3059920")</f>
        <v>0</v>
      </c>
    </row>
    <row r="2581" spans="1:8">
      <c r="A2581" t="s">
        <v>2587</v>
      </c>
      <c r="B2581" t="s">
        <v>7223</v>
      </c>
      <c r="C2581" t="s">
        <v>9362</v>
      </c>
      <c r="D2581" t="s">
        <v>13790</v>
      </c>
      <c r="E2581" s="2">
        <v>5324</v>
      </c>
      <c r="G2581">
        <f>HYPERLINK("https://www.senat.fr/senateur-3eme-republique/hebrard_adrien0092r3.html", "hebrard_adrien0092r3")</f>
        <v>0</v>
      </c>
      <c r="H2581">
        <f>HYPERLINK("https://www.wikidata.org/wiki/Q2825190", "Q2825190")</f>
        <v>0</v>
      </c>
    </row>
    <row r="2582" spans="1:8">
      <c r="A2582" t="s">
        <v>2588</v>
      </c>
      <c r="B2582" t="s">
        <v>7223</v>
      </c>
      <c r="C2582" t="s">
        <v>7314</v>
      </c>
      <c r="D2582" t="s">
        <v>13791</v>
      </c>
      <c r="E2582" s="2">
        <v>6305</v>
      </c>
      <c r="G2582">
        <f>HYPERLINK("https://www.senat.fr/senateur-3eme-republique/hebrard_jacques1830r3.html", "hebrard_jacques1830r3")</f>
        <v>0</v>
      </c>
      <c r="H2582">
        <f>HYPERLINK("https://www.wikidata.org/wiki/Q3159135", "Q3159135")</f>
        <v>0</v>
      </c>
    </row>
    <row r="2583" spans="1:8">
      <c r="A2583" t="s">
        <v>2589</v>
      </c>
      <c r="B2583" t="s">
        <v>7224</v>
      </c>
      <c r="C2583" t="s">
        <v>9430</v>
      </c>
      <c r="D2583" t="s">
        <v>13792</v>
      </c>
      <c r="E2583" s="2">
        <v>10808</v>
      </c>
      <c r="G2583">
        <f>HYPERLINK("https://www.senat.fr/senateur-3eme-republique/helmer_paul1114r3.html", "helmer_paul1114r3")</f>
        <v>0</v>
      </c>
      <c r="H2583">
        <f>HYPERLINK("https://www.wikidata.org/wiki/Q3371452", "Q3371452")</f>
        <v>0</v>
      </c>
    </row>
    <row r="2584" spans="1:8">
      <c r="A2584" t="s">
        <v>2590</v>
      </c>
      <c r="B2584" t="s">
        <v>7225</v>
      </c>
      <c r="C2584" t="s">
        <v>7754</v>
      </c>
      <c r="D2584" t="s">
        <v>13793</v>
      </c>
      <c r="E2584" s="2">
        <v>5177</v>
      </c>
      <c r="G2584">
        <f>HYPERLINK("https://www.senat.fr/senateur-3eme-republique/hemon_louis0801r3.html", "hemon_louis0801r3")</f>
        <v>0</v>
      </c>
      <c r="H2584">
        <f>HYPERLINK("https://www.wikidata.org/wiki/Q3262222", "Q3262222")</f>
        <v>0</v>
      </c>
    </row>
    <row r="2585" spans="1:8">
      <c r="A2585" t="s">
        <v>2591</v>
      </c>
      <c r="B2585" t="s">
        <v>7226</v>
      </c>
      <c r="C2585" t="s">
        <v>9324</v>
      </c>
      <c r="D2585" t="s">
        <v>13794</v>
      </c>
      <c r="E2585" s="2">
        <v>1663</v>
      </c>
      <c r="F2585">
        <f>HYPERLINK("https://www2.assemblee-nationale.fr/sycomore/fiche/(num_dept)/3792", "3792.0")</f>
        <v>0</v>
      </c>
      <c r="H2585">
        <f>HYPERLINK("https://www.wikidata.org/wiki/Q16025841", "Q16025841")</f>
        <v>0</v>
      </c>
    </row>
    <row r="2586" spans="1:8">
      <c r="A2586" t="s">
        <v>2592</v>
      </c>
      <c r="B2586" t="s">
        <v>7227</v>
      </c>
      <c r="C2586" t="s">
        <v>10507</v>
      </c>
      <c r="D2586" t="s">
        <v>13795</v>
      </c>
      <c r="E2586" s="2">
        <v>16573</v>
      </c>
      <c r="F2586">
        <f>HYPERLINK("https://www2.assemblee-nationale.fr/sycomore/fiche/(num_dept)/3794", "3794.0")</f>
        <v>0</v>
      </c>
      <c r="G2586">
        <f>HYPERLINK("https://www.senat.fr/senateur-3eme-republique/hennessy_james0392r3.html", "hennessy_james0392r3")</f>
        <v>0</v>
      </c>
      <c r="H2586">
        <f>HYPERLINK("https://www.wikidata.org/wiki/Q3161145", "Q3161145")</f>
        <v>0</v>
      </c>
    </row>
    <row r="2587" spans="1:8">
      <c r="A2587" t="s">
        <v>2593</v>
      </c>
      <c r="B2587" t="s">
        <v>7227</v>
      </c>
      <c r="C2587" t="s">
        <v>10508</v>
      </c>
      <c r="D2587" t="s">
        <v>13796</v>
      </c>
      <c r="E2587" s="2">
        <v>16380</v>
      </c>
      <c r="F2587">
        <f>HYPERLINK("https://www2.assemblee-nationale.fr/sycomore/fiche/(num_dept)/3795", "3795.0")</f>
        <v>0</v>
      </c>
      <c r="H2587">
        <f>HYPERLINK("https://www.wikidata.org/wiki/Q554679", "Q554679")</f>
        <v>0</v>
      </c>
    </row>
    <row r="2588" spans="1:8">
      <c r="A2588" t="s">
        <v>2594</v>
      </c>
      <c r="B2588" t="s">
        <v>7228</v>
      </c>
      <c r="C2588" t="s">
        <v>9773</v>
      </c>
      <c r="D2588" t="s">
        <v>13797</v>
      </c>
      <c r="E2588" s="2">
        <v>19907</v>
      </c>
      <c r="F2588">
        <f>HYPERLINK("https://www2.assemblee-nationale.fr/sycomore/fiche/(num_dept)/3796", "3796.0")</f>
        <v>0</v>
      </c>
      <c r="H2588">
        <f>HYPERLINK("https://www.wikidata.org/wiki/Q2865137", "Q2865137")</f>
        <v>0</v>
      </c>
    </row>
    <row r="2589" spans="1:8">
      <c r="A2589" t="s">
        <v>2595</v>
      </c>
      <c r="B2589" t="s">
        <v>7229</v>
      </c>
      <c r="C2589" t="s">
        <v>9346</v>
      </c>
      <c r="D2589" t="s">
        <v>13798</v>
      </c>
      <c r="E2589" s="2">
        <v>2373</v>
      </c>
      <c r="F2589">
        <f>HYPERLINK("https://www2.assemblee-nationale.fr/sycomore/fiche/(num_dept)/3797", "3797.0")</f>
        <v>0</v>
      </c>
      <c r="H2589">
        <f>HYPERLINK("https://www.wikidata.org/wiki/Q16025843", "Q16025843")</f>
        <v>0</v>
      </c>
    </row>
    <row r="2590" spans="1:8">
      <c r="A2590" t="s">
        <v>2596</v>
      </c>
      <c r="B2590" t="s">
        <v>7230</v>
      </c>
      <c r="C2590" t="s">
        <v>8370</v>
      </c>
      <c r="D2590" t="s">
        <v>13799</v>
      </c>
      <c r="E2590" s="2">
        <v>16249</v>
      </c>
      <c r="F2590">
        <f>HYPERLINK("https://www2.assemblee-nationale.fr/sycomore/fiche/(num_dept)/3798", "3798.0")</f>
        <v>0</v>
      </c>
      <c r="H2590">
        <f>HYPERLINK("https://www.wikidata.org/wiki/Q527116", "Q527116")</f>
        <v>0</v>
      </c>
    </row>
    <row r="2591" spans="1:8">
      <c r="A2591" t="s">
        <v>2597</v>
      </c>
      <c r="B2591" t="s">
        <v>7231</v>
      </c>
      <c r="C2591" t="s">
        <v>7754</v>
      </c>
      <c r="D2591" t="s">
        <v>13800</v>
      </c>
      <c r="E2591" s="2">
        <v>2348</v>
      </c>
      <c r="F2591">
        <f>HYPERLINK("https://www2.assemblee-nationale.fr/sycomore/fiche/(num_dept)/3799", "3799.0")</f>
        <v>0</v>
      </c>
      <c r="H2591">
        <f>HYPERLINK("https://www.wikidata.org/wiki/Q3262172", "Q3262172")</f>
        <v>0</v>
      </c>
    </row>
    <row r="2592" spans="1:8">
      <c r="A2592" t="s">
        <v>2598</v>
      </c>
      <c r="B2592" t="s">
        <v>7232</v>
      </c>
      <c r="C2592" t="s">
        <v>10509</v>
      </c>
      <c r="D2592" t="s">
        <v>13801</v>
      </c>
      <c r="E2592" s="2">
        <v>30605</v>
      </c>
      <c r="F2592">
        <f>HYPERLINK("https://www2.assemblee-nationale.fr/sycomore/fiche/(num_dept)/3802", "3802.0")</f>
        <v>0</v>
      </c>
      <c r="G2592">
        <f>HYPERLINK("https://www.senat.fr/senateur-3eme-republique/henry_haye_gaston1642r3.html", "henry_haye_gaston1642r3")</f>
        <v>0</v>
      </c>
      <c r="H2592">
        <f>HYPERLINK("https://www.wikidata.org/wiki/Q3099039", "Q3099039")</f>
        <v>0</v>
      </c>
    </row>
    <row r="2593" spans="1:8">
      <c r="A2593" t="s">
        <v>2599</v>
      </c>
      <c r="B2593" t="s">
        <v>7233</v>
      </c>
      <c r="C2593" t="s">
        <v>9482</v>
      </c>
      <c r="D2593" t="s">
        <v>13802</v>
      </c>
      <c r="E2593" s="2">
        <v>2146</v>
      </c>
      <c r="F2593">
        <f>HYPERLINK("https://www2.assemblee-nationale.fr/sycomore/fiche/(num_dept)/8078", "8078.0")</f>
        <v>0</v>
      </c>
      <c r="H2593">
        <f>HYPERLINK("https://www.wikidata.org/wiki/Q3047861", "Q3047861")</f>
        <v>0</v>
      </c>
    </row>
    <row r="2594" spans="1:8">
      <c r="A2594" t="s">
        <v>2600</v>
      </c>
      <c r="B2594" t="s">
        <v>7233</v>
      </c>
      <c r="C2594" t="s">
        <v>10428</v>
      </c>
      <c r="D2594" t="s">
        <v>13803</v>
      </c>
      <c r="E2594" s="2">
        <v>15034</v>
      </c>
      <c r="F2594">
        <f>HYPERLINK("https://www2.assemblee-nationale.fr/sycomore/fiche/(num_dept)/3800", "3800.0")</f>
        <v>0</v>
      </c>
      <c r="H2594">
        <f>HYPERLINK("https://www.wikidata.org/wiki/Q3166817", "Q3166817")</f>
        <v>0</v>
      </c>
    </row>
    <row r="2595" spans="1:8">
      <c r="A2595" t="s">
        <v>2601</v>
      </c>
      <c r="B2595" t="s">
        <v>7234</v>
      </c>
      <c r="C2595" t="s">
        <v>9332</v>
      </c>
      <c r="D2595" t="s">
        <v>13804</v>
      </c>
      <c r="E2595" s="2">
        <v>1093</v>
      </c>
      <c r="F2595">
        <f>HYPERLINK("https://www2.assemblee-nationale.fr/sycomore/fiche/(num_dept)/3806", "3806.0")</f>
        <v>0</v>
      </c>
      <c r="H2595">
        <f>HYPERLINK("https://www.wikidata.org/wiki/Q16025845", "Q16025845")</f>
        <v>0</v>
      </c>
    </row>
    <row r="2596" spans="1:8">
      <c r="A2596" t="s">
        <v>2602</v>
      </c>
      <c r="B2596" t="s">
        <v>7235</v>
      </c>
      <c r="C2596" t="s">
        <v>9851</v>
      </c>
      <c r="D2596" t="s">
        <v>13805</v>
      </c>
      <c r="E2596" s="2">
        <v>1315</v>
      </c>
      <c r="F2596">
        <f>HYPERLINK("https://www2.assemblee-nationale.fr/sycomore/fiche/(num_dept)/3807", "3807.0")</f>
        <v>0</v>
      </c>
      <c r="H2596">
        <f>HYPERLINK("https://www.wikidata.org/wiki/Q7124799", "Q7124799")</f>
        <v>0</v>
      </c>
    </row>
    <row r="2597" spans="1:8">
      <c r="A2597" t="s">
        <v>2603</v>
      </c>
      <c r="B2597" t="s">
        <v>7236</v>
      </c>
      <c r="C2597" t="s">
        <v>10510</v>
      </c>
      <c r="D2597" t="s">
        <v>13806</v>
      </c>
      <c r="E2597" s="2">
        <v>6582</v>
      </c>
      <c r="F2597">
        <f>HYPERLINK("https://www2.assemblee-nationale.fr/sycomore/fiche/(num_dept)/3809", "3809.0")</f>
        <v>0</v>
      </c>
      <c r="H2597">
        <f>HYPERLINK("https://www.wikidata.org/wiki/Q3552173", "Q3552173")</f>
        <v>0</v>
      </c>
    </row>
    <row r="2598" spans="1:8">
      <c r="A2598" t="s">
        <v>2604</v>
      </c>
      <c r="B2598" t="s">
        <v>7237</v>
      </c>
      <c r="C2598" t="s">
        <v>10511</v>
      </c>
      <c r="D2598" t="s">
        <v>13807</v>
      </c>
      <c r="E2598" s="2">
        <v>250</v>
      </c>
      <c r="G2598">
        <f>HYPERLINK("https://www.senat.fr/senateur-3eme-republique/herisson_sylvestre1236r3.html", "herisson_sylvestre1236r3")</f>
        <v>0</v>
      </c>
      <c r="H2598">
        <f>HYPERLINK("https://www.wikidata.org/wiki/Q3507186", "Q3507186")</f>
        <v>0</v>
      </c>
    </row>
    <row r="2599" spans="1:8">
      <c r="A2599" t="s">
        <v>2605</v>
      </c>
      <c r="B2599" t="s">
        <v>7238</v>
      </c>
      <c r="C2599" t="s">
        <v>9373</v>
      </c>
      <c r="D2599" t="s">
        <v>13808</v>
      </c>
      <c r="E2599" s="2">
        <v>20538</v>
      </c>
      <c r="F2599">
        <f>HYPERLINK("https://www2.assemblee-nationale.fr/sycomore/fiche/(num_dept)/3814", "3814.0")</f>
        <v>0</v>
      </c>
      <c r="H2599">
        <f>HYPERLINK("https://www.wikidata.org/wiki/Q16025847", "Q16025847")</f>
        <v>0</v>
      </c>
    </row>
    <row r="2600" spans="1:8">
      <c r="A2600" t="s">
        <v>2606</v>
      </c>
      <c r="B2600" t="s">
        <v>7239</v>
      </c>
      <c r="C2600" t="s">
        <v>10512</v>
      </c>
      <c r="D2600" t="s">
        <v>13809</v>
      </c>
      <c r="E2600" s="2">
        <v>5328</v>
      </c>
      <c r="F2600">
        <f>HYPERLINK("https://www2.assemblee-nationale.fr/sycomore/fiche/(num_dept)/7964", "7964.0")</f>
        <v>0</v>
      </c>
      <c r="H2600">
        <f>HYPERLINK("https://www.wikidata.org/wiki/Q16025848", "Q16025848")</f>
        <v>0</v>
      </c>
    </row>
    <row r="2601" spans="1:8">
      <c r="A2601" t="s">
        <v>2607</v>
      </c>
      <c r="B2601" t="s">
        <v>7240</v>
      </c>
      <c r="C2601" t="s">
        <v>9414</v>
      </c>
      <c r="D2601" t="s">
        <v>13810</v>
      </c>
      <c r="E2601" t="s">
        <v>16175</v>
      </c>
      <c r="G2601">
        <f>HYPERLINK("https://www.senat.fr/senateur-3eme-republique/herold_ferdinand1339r3.html", "herold_ferdinand1339r3")</f>
        <v>0</v>
      </c>
      <c r="H2601">
        <f>HYPERLINK("https://www.wikidata.org/wiki/Q3068586", "Q3068586")</f>
        <v>0</v>
      </c>
    </row>
    <row r="2602" spans="1:8">
      <c r="A2602" t="s">
        <v>2608</v>
      </c>
      <c r="B2602" t="s">
        <v>7241</v>
      </c>
      <c r="C2602" t="s">
        <v>9346</v>
      </c>
      <c r="D2602" t="s">
        <v>13811</v>
      </c>
      <c r="E2602" s="2">
        <v>20905</v>
      </c>
      <c r="F2602">
        <f>HYPERLINK("https://www2.assemblee-nationale.fr/sycomore/fiche/(num_dept)/3819", "3819.0")</f>
        <v>0</v>
      </c>
      <c r="G2602">
        <f>HYPERLINK("https://www.senat.fr/senateur-3eme-republique/herriot_edouard1121r3.html", "herriot_edouard1121r3")</f>
        <v>0</v>
      </c>
      <c r="H2602">
        <f>HYPERLINK("https://www.wikidata.org/wiki/Q274344", "Q274344")</f>
        <v>0</v>
      </c>
    </row>
    <row r="2603" spans="1:8">
      <c r="A2603" t="s">
        <v>2609</v>
      </c>
      <c r="B2603" t="s">
        <v>7242</v>
      </c>
      <c r="C2603" t="s">
        <v>7942</v>
      </c>
      <c r="D2603" t="s">
        <v>13812</v>
      </c>
      <c r="E2603" s="2">
        <v>13468</v>
      </c>
      <c r="G2603">
        <f>HYPERLINK("https://www.senat.fr/senateur-3eme-republique/hervey_maurice0758r3.html", "hervey_maurice0758r3")</f>
        <v>0</v>
      </c>
      <c r="H2603">
        <f>HYPERLINK("https://www.wikidata.org/wiki/Q3300912", "Q3300912")</f>
        <v>0</v>
      </c>
    </row>
    <row r="2604" spans="1:8">
      <c r="A2604" t="s">
        <v>2610</v>
      </c>
      <c r="B2604" t="s">
        <v>7243</v>
      </c>
      <c r="C2604" t="s">
        <v>9324</v>
      </c>
      <c r="D2604" t="s">
        <v>12616</v>
      </c>
      <c r="E2604" s="2">
        <v>10278</v>
      </c>
      <c r="F2604">
        <f>HYPERLINK("https://www2.assemblee-nationale.fr/sycomore/fiche/(num_dept)/3828", "3828.0")</f>
        <v>0</v>
      </c>
      <c r="H2604">
        <f>HYPERLINK("https://www.wikidata.org/wiki/Q8326067", "Q8326067")</f>
        <v>0</v>
      </c>
    </row>
    <row r="2605" spans="1:8">
      <c r="A2605" t="s">
        <v>2611</v>
      </c>
      <c r="B2605" t="s">
        <v>7244</v>
      </c>
      <c r="C2605" t="s">
        <v>9457</v>
      </c>
      <c r="D2605" t="s">
        <v>13813</v>
      </c>
      <c r="E2605" s="2">
        <v>1245</v>
      </c>
      <c r="F2605">
        <f>HYPERLINK("https://www2.assemblee-nationale.fr/sycomore/fiche/(num_dept)/3829", "3829.0")</f>
        <v>0</v>
      </c>
      <c r="H2605">
        <f>HYPERLINK("https://www.wikidata.org/wiki/Q16025849", "Q16025849")</f>
        <v>0</v>
      </c>
    </row>
    <row r="2606" spans="1:8">
      <c r="A2606" t="s">
        <v>2612</v>
      </c>
      <c r="B2606" t="s">
        <v>7245</v>
      </c>
      <c r="C2606" t="s">
        <v>9320</v>
      </c>
      <c r="D2606" t="s">
        <v>13748</v>
      </c>
      <c r="E2606" s="2">
        <v>15196</v>
      </c>
      <c r="G2606">
        <f>HYPERLINK("https://www.senat.fr/senateur-3eme-republique/hery_rene1637r3.html", "hery_rene1637r3")</f>
        <v>0</v>
      </c>
      <c r="H2606">
        <f>HYPERLINK("https://www.wikidata.org/wiki/Q3426381", "Q3426381")</f>
        <v>0</v>
      </c>
    </row>
    <row r="2607" spans="1:8">
      <c r="A2607" t="s">
        <v>2613</v>
      </c>
      <c r="B2607" t="s">
        <v>7246</v>
      </c>
      <c r="C2607" t="s">
        <v>5096</v>
      </c>
      <c r="D2607" t="s">
        <v>11460</v>
      </c>
      <c r="E2607" s="2">
        <v>14963</v>
      </c>
      <c r="H2607">
        <f>HYPERLINK("https://www.wikidata.org/wiki/Q2847958", "Q2847958")</f>
        <v>0</v>
      </c>
    </row>
    <row r="2608" spans="1:8">
      <c r="A2608" t="s">
        <v>2614</v>
      </c>
      <c r="B2608" t="s">
        <v>7247</v>
      </c>
      <c r="C2608" t="s">
        <v>10513</v>
      </c>
      <c r="D2608" t="s">
        <v>13814</v>
      </c>
      <c r="E2608" s="2">
        <v>31411</v>
      </c>
      <c r="F2608">
        <f>HYPERLINK("https://www2.assemblee-nationale.fr/sycomore/fiche/(num_dept)/3835", "3835.0")</f>
        <v>0</v>
      </c>
      <c r="H2608">
        <f>HYPERLINK("https://www.wikidata.org/wiki/Q474389", "Q474389")</f>
        <v>0</v>
      </c>
    </row>
    <row r="2609" spans="1:8">
      <c r="A2609" t="s">
        <v>2615</v>
      </c>
      <c r="B2609" t="s">
        <v>7248</v>
      </c>
      <c r="C2609" t="s">
        <v>7754</v>
      </c>
      <c r="D2609" t="s">
        <v>13815</v>
      </c>
      <c r="E2609" s="2">
        <v>536</v>
      </c>
      <c r="F2609">
        <f>HYPERLINK("https://www2.assemblee-nationale.fr/sycomore/fiche/(num_dept)/3839", "3839.0")</f>
        <v>0</v>
      </c>
      <c r="H2609">
        <f>HYPERLINK("https://www.wikidata.org/wiki/Q3262189", "Q3262189")</f>
        <v>0</v>
      </c>
    </row>
    <row r="2610" spans="1:8">
      <c r="A2610" t="s">
        <v>2616</v>
      </c>
      <c r="B2610" t="s">
        <v>7248</v>
      </c>
      <c r="C2610" t="s">
        <v>8384</v>
      </c>
      <c r="D2610" t="s">
        <v>13816</v>
      </c>
      <c r="E2610" s="2">
        <v>3821</v>
      </c>
      <c r="F2610">
        <f>HYPERLINK("https://www2.assemblee-nationale.fr/sycomore/fiche/(num_dept)/3840", "3840.0")</f>
        <v>0</v>
      </c>
      <c r="H2610">
        <f>HYPERLINK("https://www.wikidata.org/wiki/Q3385454", "Q3385454")</f>
        <v>0</v>
      </c>
    </row>
    <row r="2611" spans="1:8">
      <c r="A2611" t="s">
        <v>2617</v>
      </c>
      <c r="B2611" t="s">
        <v>7248</v>
      </c>
      <c r="C2611" t="s">
        <v>9355</v>
      </c>
      <c r="D2611" t="s">
        <v>13808</v>
      </c>
      <c r="E2611" s="2">
        <v>14156</v>
      </c>
      <c r="F2611">
        <f>HYPERLINK("https://www2.assemblee-nationale.fr/sycomore/fiche/(num_dept)/3838", "3838.0")</f>
        <v>0</v>
      </c>
      <c r="H2611">
        <f>HYPERLINK("https://www.wikidata.org/wiki/Q2959354", "Q2959354")</f>
        <v>0</v>
      </c>
    </row>
    <row r="2612" spans="1:8">
      <c r="A2612" t="s">
        <v>2618</v>
      </c>
      <c r="B2612" t="s">
        <v>7249</v>
      </c>
      <c r="C2612" t="s">
        <v>8691</v>
      </c>
      <c r="D2612" t="s">
        <v>13817</v>
      </c>
      <c r="E2612" s="2">
        <v>6103</v>
      </c>
      <c r="F2612">
        <f>HYPERLINK("https://www2.assemblee-nationale.fr/sycomore/fiche/(num_dept)/3837", "3837.0")</f>
        <v>0</v>
      </c>
      <c r="H2612">
        <f>HYPERLINK("https://www.wikidata.org/wiki/Q3435387", "Q3435387")</f>
        <v>0</v>
      </c>
    </row>
    <row r="2613" spans="1:8">
      <c r="A2613" t="s">
        <v>2619</v>
      </c>
      <c r="B2613" t="s">
        <v>7249</v>
      </c>
      <c r="C2613" t="s">
        <v>10170</v>
      </c>
      <c r="D2613" t="s">
        <v>13818</v>
      </c>
      <c r="E2613" s="2">
        <v>9455</v>
      </c>
      <c r="F2613">
        <f>HYPERLINK("https://www2.assemblee-nationale.fr/sycomore/fiche/(num_dept)/3836", "3836.0")</f>
        <v>0</v>
      </c>
      <c r="H2613">
        <f>HYPERLINK("https://www.wikidata.org/wiki/Q16025850", "Q16025850")</f>
        <v>0</v>
      </c>
    </row>
    <row r="2614" spans="1:8">
      <c r="A2614" t="s">
        <v>2620</v>
      </c>
      <c r="B2614" t="s">
        <v>7250</v>
      </c>
      <c r="C2614" t="s">
        <v>10514</v>
      </c>
      <c r="D2614" t="s">
        <v>13819</v>
      </c>
      <c r="E2614" t="s">
        <v>16176</v>
      </c>
      <c r="F2614">
        <f>HYPERLINK("https://www2.assemblee-nationale.fr/sycomore/fiche/(num_dept)/3842", "3842.0")</f>
        <v>0</v>
      </c>
      <c r="H2614">
        <f>HYPERLINK("https://www.wikidata.org/wiki/Q3185218", "Q3185218")</f>
        <v>0</v>
      </c>
    </row>
    <row r="2615" spans="1:8">
      <c r="A2615" t="s">
        <v>2621</v>
      </c>
      <c r="B2615" t="s">
        <v>7251</v>
      </c>
      <c r="C2615" t="s">
        <v>9471</v>
      </c>
      <c r="D2615" t="s">
        <v>13820</v>
      </c>
      <c r="E2615" t="s">
        <v>16177</v>
      </c>
      <c r="F2615">
        <f>HYPERLINK("https://www2.assemblee-nationale.fr/sycomore/fiche/(num_dept)/3844", "3844.0")</f>
        <v>0</v>
      </c>
      <c r="H2615">
        <f>HYPERLINK("https://www.wikidata.org/wiki/Q16025851", "Q16025851")</f>
        <v>0</v>
      </c>
    </row>
    <row r="2616" spans="1:8">
      <c r="A2616" t="s">
        <v>2622</v>
      </c>
      <c r="B2616" t="s">
        <v>7252</v>
      </c>
      <c r="C2616" t="s">
        <v>9337</v>
      </c>
      <c r="D2616" t="s">
        <v>13821</v>
      </c>
      <c r="E2616" s="2">
        <v>16067</v>
      </c>
      <c r="G2616">
        <f>HYPERLINK("https://www.senat.fr/senateur-3eme-republique/hirschauer_auguste0707r3.html", "hirschauer_auguste0707r3")</f>
        <v>0</v>
      </c>
      <c r="H2616">
        <f>HYPERLINK("https://www.wikidata.org/wiki/Q346087", "Q346087")</f>
        <v>0</v>
      </c>
    </row>
    <row r="2617" spans="1:8">
      <c r="A2617" t="s">
        <v>2623</v>
      </c>
      <c r="B2617" t="s">
        <v>7253</v>
      </c>
      <c r="C2617" t="s">
        <v>10515</v>
      </c>
      <c r="D2617" t="s">
        <v>13822</v>
      </c>
      <c r="E2617" s="2">
        <v>15481</v>
      </c>
      <c r="F2617">
        <f>HYPERLINK("https://www2.assemblee-nationale.fr/sycomore/fiche/(num_dept)/3854", "3854.0")</f>
        <v>0</v>
      </c>
      <c r="H2617">
        <f>HYPERLINK("https://www.wikidata.org/wiki/Q13077240", "Q13077240")</f>
        <v>0</v>
      </c>
    </row>
    <row r="2618" spans="1:8">
      <c r="A2618" t="s">
        <v>2624</v>
      </c>
      <c r="B2618" t="s">
        <v>7254</v>
      </c>
      <c r="C2618" t="s">
        <v>5096</v>
      </c>
      <c r="D2618" t="s">
        <v>13823</v>
      </c>
      <c r="E2618" s="2">
        <v>18468</v>
      </c>
      <c r="F2618">
        <f>HYPERLINK("https://www2.assemblee-nationale.fr/sycomore/fiche/(num_dept)/3859", "3859.0")</f>
        <v>0</v>
      </c>
      <c r="G2618">
        <f>HYPERLINK("https://www.senat.fr/senateur-3eme-republique/honnorat_andre0070r3.html", "honnorat_andre0070r3")</f>
        <v>0</v>
      </c>
      <c r="H2618">
        <f>HYPERLINK("https://www.wikidata.org/wiki/Q23762", "Q23762")</f>
        <v>0</v>
      </c>
    </row>
    <row r="2619" spans="1:8">
      <c r="A2619" t="s">
        <v>2625</v>
      </c>
      <c r="B2619" t="s">
        <v>7254</v>
      </c>
      <c r="C2619" t="s">
        <v>10516</v>
      </c>
      <c r="D2619" t="s">
        <v>13824</v>
      </c>
      <c r="E2619" s="2">
        <v>15320</v>
      </c>
      <c r="F2619">
        <f>HYPERLINK("https://www2.assemblee-nationale.fr/sycomore/fiche/(num_dept)/3858", "3858.0")</f>
        <v>0</v>
      </c>
      <c r="H2619">
        <f>HYPERLINK("https://www.wikidata.org/wiki/Q16025852", "Q16025852")</f>
        <v>0</v>
      </c>
    </row>
    <row r="2620" spans="1:8">
      <c r="A2620" t="s">
        <v>2626</v>
      </c>
      <c r="B2620" t="s">
        <v>7255</v>
      </c>
      <c r="C2620" t="s">
        <v>9337</v>
      </c>
      <c r="D2620" t="s">
        <v>13825</v>
      </c>
      <c r="E2620" t="s">
        <v>16178</v>
      </c>
      <c r="G2620">
        <f>HYPERLINK("https://www.senat.fr/senateur-3eme-republique/honnore_auguste1018r3.html", "honnore_auguste1018r3")</f>
        <v>0</v>
      </c>
      <c r="H2620">
        <f>HYPERLINK("https://www.wikidata.org/wiki/Q2871222", "Q2871222")</f>
        <v>0</v>
      </c>
    </row>
    <row r="2621" spans="1:8">
      <c r="A2621" t="s">
        <v>2627</v>
      </c>
      <c r="B2621" t="s">
        <v>7256</v>
      </c>
      <c r="C2621" t="s">
        <v>9790</v>
      </c>
      <c r="D2621" t="s">
        <v>13826</v>
      </c>
      <c r="E2621" t="s">
        <v>16179</v>
      </c>
      <c r="F2621">
        <f>HYPERLINK("https://www2.assemblee-nationale.fr/sycomore/fiche/(num_dept)/3861", "3861.0")</f>
        <v>0</v>
      </c>
      <c r="H2621">
        <f>HYPERLINK("https://www.wikidata.org/wiki/Q3188346", "Q3188346")</f>
        <v>0</v>
      </c>
    </row>
    <row r="2622" spans="1:8">
      <c r="A2622" t="s">
        <v>2628</v>
      </c>
      <c r="B2622" t="s">
        <v>7257</v>
      </c>
      <c r="C2622" t="s">
        <v>10517</v>
      </c>
      <c r="D2622" t="s">
        <v>13827</v>
      </c>
      <c r="E2622" s="2">
        <v>12073</v>
      </c>
      <c r="F2622">
        <f>HYPERLINK("https://www2.assemblee-nationale.fr/sycomore/fiche/(num_dept)/3867", "3867.0")</f>
        <v>0</v>
      </c>
      <c r="H2622">
        <f>HYPERLINK("https://www.wikidata.org/wiki/Q16626204", "Q16626204")</f>
        <v>0</v>
      </c>
    </row>
    <row r="2623" spans="1:8">
      <c r="A2623" t="s">
        <v>2629</v>
      </c>
      <c r="B2623" t="s">
        <v>7258</v>
      </c>
      <c r="C2623" t="s">
        <v>10518</v>
      </c>
      <c r="D2623" t="s">
        <v>13828</v>
      </c>
      <c r="E2623" s="2">
        <v>184</v>
      </c>
      <c r="F2623">
        <f>HYPERLINK("https://www2.assemblee-nationale.fr/sycomore/fiche/(num_dept)/3869", "3869.0")</f>
        <v>0</v>
      </c>
      <c r="H2623">
        <f>HYPERLINK("https://www.wikidata.org/wiki/Q16025853", "Q16025853")</f>
        <v>0</v>
      </c>
    </row>
    <row r="2624" spans="1:8">
      <c r="A2624" t="s">
        <v>2630</v>
      </c>
      <c r="B2624" t="s">
        <v>7259</v>
      </c>
      <c r="C2624" t="s">
        <v>5033</v>
      </c>
      <c r="D2624" t="s">
        <v>13829</v>
      </c>
      <c r="E2624" t="s">
        <v>16180</v>
      </c>
      <c r="F2624">
        <f>HYPERLINK("https://www2.assemblee-nationale.fr/sycomore/fiche/(num_dept)/3879", "3879.0")</f>
        <v>0</v>
      </c>
      <c r="H2624">
        <f>HYPERLINK("https://www.wikidata.org/wiki/Q318444", "Q318444")</f>
        <v>0</v>
      </c>
    </row>
    <row r="2625" spans="1:8">
      <c r="A2625" t="s">
        <v>2631</v>
      </c>
      <c r="B2625" t="s">
        <v>7260</v>
      </c>
      <c r="C2625" t="s">
        <v>10519</v>
      </c>
      <c r="D2625" t="s">
        <v>13830</v>
      </c>
      <c r="E2625" t="s">
        <v>13560</v>
      </c>
      <c r="F2625">
        <f>HYPERLINK("https://www2.assemblee-nationale.fr/sycomore/fiche/(num_dept)/3880", "3880.0")</f>
        <v>0</v>
      </c>
      <c r="H2625">
        <f>HYPERLINK("https://www.wikidata.org/wiki/Q8337312", "Q8337312")</f>
        <v>0</v>
      </c>
    </row>
    <row r="2626" spans="1:8">
      <c r="A2626" t="s">
        <v>2632</v>
      </c>
      <c r="B2626" t="s">
        <v>7261</v>
      </c>
      <c r="C2626" t="s">
        <v>10520</v>
      </c>
      <c r="D2626" t="s">
        <v>13831</v>
      </c>
      <c r="E2626" s="2">
        <v>9996</v>
      </c>
      <c r="F2626">
        <f>HYPERLINK("https://www2.assemblee-nationale.fr/sycomore/fiche/(num_dept)/3882", "3882.0")</f>
        <v>0</v>
      </c>
      <c r="H2626">
        <f>HYPERLINK("https://www.wikidata.org/wiki/Q16025854", "Q16025854")</f>
        <v>0</v>
      </c>
    </row>
    <row r="2627" spans="1:8">
      <c r="A2627" t="s">
        <v>2633</v>
      </c>
      <c r="B2627" t="s">
        <v>7262</v>
      </c>
      <c r="C2627" t="s">
        <v>9377</v>
      </c>
      <c r="D2627" t="s">
        <v>13832</v>
      </c>
      <c r="E2627" s="2">
        <v>14018</v>
      </c>
      <c r="F2627">
        <f>HYPERLINK("https://www2.assemblee-nationale.fr/sycomore/fiche/(num_dept)/3885", "3885.0")</f>
        <v>0</v>
      </c>
      <c r="G2627">
        <f>HYPERLINK("https://www.senat.fr/senateur-3eme-republique/hubert_lucien0176r3.html", "hubert_lucien0176r3")</f>
        <v>0</v>
      </c>
      <c r="H2627">
        <f>HYPERLINK("https://www.wikidata.org/wiki/Q2117075", "Q2117075")</f>
        <v>0</v>
      </c>
    </row>
    <row r="2628" spans="1:8">
      <c r="A2628" t="s">
        <v>2634</v>
      </c>
      <c r="B2628" t="s">
        <v>7263</v>
      </c>
      <c r="C2628" t="s">
        <v>10521</v>
      </c>
      <c r="D2628" t="s">
        <v>13833</v>
      </c>
      <c r="E2628" s="2">
        <v>7690</v>
      </c>
      <c r="F2628">
        <f>HYPERLINK("https://www2.assemblee-nationale.fr/sycomore/fiche/(num_dept)/3886", "3886.0")</f>
        <v>0</v>
      </c>
      <c r="H2628">
        <f>HYPERLINK("https://www.wikidata.org/wiki/Q2958267", "Q2958267")</f>
        <v>0</v>
      </c>
    </row>
    <row r="2629" spans="1:8">
      <c r="A2629" t="s">
        <v>2635</v>
      </c>
      <c r="B2629" t="s">
        <v>7264</v>
      </c>
      <c r="C2629" t="s">
        <v>10522</v>
      </c>
      <c r="D2629" t="s">
        <v>13834</v>
      </c>
      <c r="E2629" t="s">
        <v>14979</v>
      </c>
      <c r="F2629">
        <f>HYPERLINK("https://www2.assemblee-nationale.fr/sycomore/fiche/(num_dept)/7965", "7965.0")</f>
        <v>0</v>
      </c>
      <c r="H2629">
        <f>HYPERLINK("https://www.wikidata.org/wiki/Q13077236", "Q13077236")</f>
        <v>0</v>
      </c>
    </row>
    <row r="2630" spans="1:8">
      <c r="A2630" t="s">
        <v>2636</v>
      </c>
      <c r="B2630" t="s">
        <v>7265</v>
      </c>
      <c r="C2630" t="s">
        <v>10079</v>
      </c>
      <c r="D2630" t="s">
        <v>13835</v>
      </c>
      <c r="E2630" s="2">
        <v>15936</v>
      </c>
      <c r="F2630">
        <f>HYPERLINK("https://www2.assemblee-nationale.fr/sycomore/fiche/(num_dept)/3888", "3888.0")</f>
        <v>0</v>
      </c>
      <c r="H2630">
        <f>HYPERLINK("https://www.wikidata.org/wiki/Q78231", "Q78231")</f>
        <v>0</v>
      </c>
    </row>
    <row r="2631" spans="1:8">
      <c r="A2631" t="s">
        <v>2637</v>
      </c>
      <c r="B2631" t="s">
        <v>7266</v>
      </c>
      <c r="C2631" t="s">
        <v>9438</v>
      </c>
      <c r="D2631" t="s">
        <v>13836</v>
      </c>
      <c r="E2631" t="s">
        <v>16181</v>
      </c>
      <c r="G2631">
        <f>HYPERLINK("https://www.senat.fr/senateur-3eme-republique/hugo_victor1354r3.html", "hugo_victor1354r3")</f>
        <v>0</v>
      </c>
      <c r="H2631">
        <f>HYPERLINK("https://www.wikidata.org/wiki/Q535", "Q535")</f>
        <v>0</v>
      </c>
    </row>
    <row r="2632" spans="1:8">
      <c r="A2632" t="s">
        <v>2638</v>
      </c>
      <c r="B2632" t="s">
        <v>7267</v>
      </c>
      <c r="C2632" t="s">
        <v>8384</v>
      </c>
      <c r="D2632" t="s">
        <v>13837</v>
      </c>
      <c r="E2632" s="2">
        <v>12384</v>
      </c>
      <c r="F2632">
        <f>HYPERLINK("https://www2.assemblee-nationale.fr/sycomore/fiche/(num_dept)/3891", "3891.0")</f>
        <v>0</v>
      </c>
      <c r="H2632">
        <f>HYPERLINK("https://www.wikidata.org/wiki/Q16025855", "Q16025855")</f>
        <v>0</v>
      </c>
    </row>
    <row r="2633" spans="1:8">
      <c r="A2633" t="s">
        <v>2639</v>
      </c>
      <c r="B2633" t="s">
        <v>7268</v>
      </c>
      <c r="C2633" t="s">
        <v>8384</v>
      </c>
      <c r="D2633" t="s">
        <v>13838</v>
      </c>
      <c r="E2633" s="2">
        <v>13551</v>
      </c>
      <c r="F2633">
        <f>HYPERLINK("https://www2.assemblee-nationale.fr/sycomore/fiche/(num_dept)/3893", "3893.0")</f>
        <v>0</v>
      </c>
      <c r="H2633">
        <f>HYPERLINK("https://www.wikidata.org/wiki/Q3385469", "Q3385469")</f>
        <v>0</v>
      </c>
    </row>
    <row r="2634" spans="1:8">
      <c r="A2634" t="s">
        <v>2640</v>
      </c>
      <c r="B2634" t="s">
        <v>7269</v>
      </c>
      <c r="C2634" t="s">
        <v>10523</v>
      </c>
      <c r="D2634" t="s">
        <v>13839</v>
      </c>
      <c r="E2634" s="2">
        <v>2841</v>
      </c>
      <c r="F2634">
        <f>HYPERLINK("https://www2.assemblee-nationale.fr/sycomore/fiche/(num_dept)/8101", "8101.0")</f>
        <v>0</v>
      </c>
      <c r="G2634">
        <f>HYPERLINK("https://www.senat.fr/senateur-3eme-republique/hugot_louis0531r3.html", "hugot_louis0531r3")</f>
        <v>0</v>
      </c>
      <c r="H2634">
        <f>HYPERLINK("https://www.wikidata.org/wiki/Q3262207", "Q3262207")</f>
        <v>0</v>
      </c>
    </row>
    <row r="2635" spans="1:8">
      <c r="A2635" t="s">
        <v>2641</v>
      </c>
      <c r="B2635" t="s">
        <v>7270</v>
      </c>
      <c r="C2635" t="s">
        <v>6864</v>
      </c>
      <c r="D2635" t="s">
        <v>13840</v>
      </c>
      <c r="E2635" s="2">
        <v>2684</v>
      </c>
      <c r="F2635">
        <f>HYPERLINK("https://www2.assemblee-nationale.fr/sycomore/fiche/(num_dept)/3898", "3898.0")</f>
        <v>0</v>
      </c>
      <c r="H2635">
        <f>HYPERLINK("https://www.wikidata.org/wiki/Q8338102", "Q8338102")</f>
        <v>0</v>
      </c>
    </row>
    <row r="2636" spans="1:8">
      <c r="A2636" t="s">
        <v>2642</v>
      </c>
      <c r="B2636" t="s">
        <v>7270</v>
      </c>
      <c r="C2636" t="s">
        <v>10524</v>
      </c>
      <c r="D2636" t="s">
        <v>13841</v>
      </c>
      <c r="E2636" s="2">
        <v>2719</v>
      </c>
      <c r="F2636">
        <f>HYPERLINK("https://www2.assemblee-nationale.fr/sycomore/fiche/(num_dept)/3896", "3896.0")</f>
        <v>0</v>
      </c>
      <c r="H2636">
        <f>HYPERLINK("https://www.wikidata.org/wiki/Q352287", "Q352287")</f>
        <v>0</v>
      </c>
    </row>
    <row r="2637" spans="1:8">
      <c r="A2637" t="s">
        <v>2643</v>
      </c>
      <c r="B2637" t="s">
        <v>7270</v>
      </c>
      <c r="C2637" t="s">
        <v>9634</v>
      </c>
      <c r="D2637" t="s">
        <v>13842</v>
      </c>
      <c r="E2637" s="2">
        <v>11641</v>
      </c>
      <c r="F2637">
        <f>HYPERLINK("https://www2.assemblee-nationale.fr/sycomore/fiche/(num_dept)/3899", "3899.0")</f>
        <v>0</v>
      </c>
      <c r="H2637">
        <f>HYPERLINK("https://www.wikidata.org/wiki/Q8338107", "Q8338107")</f>
        <v>0</v>
      </c>
    </row>
    <row r="2638" spans="1:8">
      <c r="A2638" t="s">
        <v>2644</v>
      </c>
      <c r="B2638" t="s">
        <v>7271</v>
      </c>
      <c r="C2638" t="s">
        <v>9337</v>
      </c>
      <c r="D2638" t="s">
        <v>13843</v>
      </c>
      <c r="G2638">
        <f>HYPERLINK("https://www.senat.fr/senateur-3eme-republique/huguet_auguste0972r3.html", "huguet_auguste0972r3")</f>
        <v>0</v>
      </c>
      <c r="H2638">
        <f>HYPERLINK("https://www.wikidata.org/wiki/Q2871223", "Q2871223")</f>
        <v>0</v>
      </c>
    </row>
    <row r="2639" spans="1:8">
      <c r="A2639" t="s">
        <v>2645</v>
      </c>
      <c r="B2639" t="s">
        <v>7272</v>
      </c>
      <c r="C2639" t="s">
        <v>7342</v>
      </c>
      <c r="D2639" t="s">
        <v>13844</v>
      </c>
      <c r="E2639" s="2">
        <v>13233</v>
      </c>
      <c r="F2639">
        <f>HYPERLINK("https://www2.assemblee-nationale.fr/sycomore/fiche/(num_dept)/3902", "3902.0")</f>
        <v>0</v>
      </c>
      <c r="H2639">
        <f>HYPERLINK("https://www.wikidata.org/wiki/Q16025857", "Q16025857")</f>
        <v>0</v>
      </c>
    </row>
    <row r="2640" spans="1:8">
      <c r="A2640" t="s">
        <v>2646</v>
      </c>
      <c r="B2640" t="s">
        <v>7272</v>
      </c>
      <c r="C2640" t="s">
        <v>9618</v>
      </c>
      <c r="D2640" t="s">
        <v>13845</v>
      </c>
      <c r="E2640" s="2">
        <v>13730</v>
      </c>
      <c r="F2640">
        <f>HYPERLINK("https://www2.assemblee-nationale.fr/sycomore/fiche/(num_dept)/3901", "3901.0")</f>
        <v>0</v>
      </c>
      <c r="H2640">
        <f>HYPERLINK("https://www.wikidata.org/wiki/Q16025856", "Q16025856")</f>
        <v>0</v>
      </c>
    </row>
    <row r="2641" spans="1:8">
      <c r="A2641" t="s">
        <v>2647</v>
      </c>
      <c r="B2641" t="s">
        <v>7273</v>
      </c>
      <c r="C2641" t="s">
        <v>10525</v>
      </c>
      <c r="D2641" t="s">
        <v>13846</v>
      </c>
      <c r="E2641" s="2">
        <v>16405</v>
      </c>
      <c r="F2641">
        <f>HYPERLINK("https://www2.assemblee-nationale.fr/sycomore/fiche/(num_dept)/3904", "3904.0")</f>
        <v>0</v>
      </c>
      <c r="H2641">
        <f>HYPERLINK("https://www.wikidata.org/wiki/Q3385472", "Q3385472")</f>
        <v>0</v>
      </c>
    </row>
    <row r="2642" spans="1:8">
      <c r="A2642" t="s">
        <v>2648</v>
      </c>
      <c r="B2642" t="s">
        <v>7274</v>
      </c>
      <c r="C2642" t="s">
        <v>9503</v>
      </c>
      <c r="D2642" t="s">
        <v>13847</v>
      </c>
      <c r="E2642" t="s">
        <v>16182</v>
      </c>
      <c r="G2642">
        <f>HYPERLINK("https://www.senat.fr/senateur-3eme-republique/humbert_gustave1485r3.html", "humbert_gustave1485r3")</f>
        <v>0</v>
      </c>
      <c r="H2642">
        <f>HYPERLINK("https://www.wikidata.org/wiki/Q1556684", "Q1556684")</f>
        <v>0</v>
      </c>
    </row>
    <row r="2643" spans="1:8">
      <c r="A2643" t="s">
        <v>2649</v>
      </c>
      <c r="B2643" t="s">
        <v>7274</v>
      </c>
      <c r="C2643" t="s">
        <v>10526</v>
      </c>
      <c r="D2643" t="s">
        <v>13793</v>
      </c>
      <c r="E2643" s="2">
        <v>8397</v>
      </c>
      <c r="F2643">
        <f>HYPERLINK("https://www2.assemblee-nationale.fr/sycomore/fiche/(num_dept)/3907", "3907.0")</f>
        <v>0</v>
      </c>
      <c r="H2643">
        <f>HYPERLINK("https://www.wikidata.org/wiki/Q2839835", "Q2839835")</f>
        <v>0</v>
      </c>
    </row>
    <row r="2644" spans="1:8">
      <c r="A2644" t="s">
        <v>2650</v>
      </c>
      <c r="B2644" t="s">
        <v>7274</v>
      </c>
      <c r="C2644" t="s">
        <v>10527</v>
      </c>
      <c r="D2644" t="s">
        <v>13848</v>
      </c>
      <c r="E2644" s="2">
        <v>13863</v>
      </c>
      <c r="F2644">
        <f>HYPERLINK("https://www2.assemblee-nationale.fr/sycomore/fiche/(num_dept)/3909", "3909.0")</f>
        <v>0</v>
      </c>
      <c r="H2644">
        <f>HYPERLINK("https://www.wikidata.org/wiki/Q16025860", "Q16025860")</f>
        <v>0</v>
      </c>
    </row>
    <row r="2645" spans="1:8">
      <c r="A2645" t="s">
        <v>2651</v>
      </c>
      <c r="B2645" t="s">
        <v>7274</v>
      </c>
      <c r="C2645" t="s">
        <v>9355</v>
      </c>
      <c r="D2645" t="s">
        <v>13849</v>
      </c>
      <c r="E2645" s="2">
        <v>10167</v>
      </c>
      <c r="F2645">
        <f>HYPERLINK("https://www2.assemblee-nationale.fr/sycomore/fiche/(num_dept)/3908", "3908.0")</f>
        <v>0</v>
      </c>
      <c r="G2645">
        <f>HYPERLINK("https://www.senat.fr/senateur-3eme-republique/humbert_charles1020r3.html", "humbert_charles1020r3")</f>
        <v>0</v>
      </c>
      <c r="H2645">
        <f>HYPERLINK("https://www.wikidata.org/wiki/Q766065", "Q766065")</f>
        <v>0</v>
      </c>
    </row>
    <row r="2646" spans="1:8">
      <c r="A2646" t="s">
        <v>2652</v>
      </c>
      <c r="B2646" t="s">
        <v>7275</v>
      </c>
      <c r="C2646" t="s">
        <v>9524</v>
      </c>
      <c r="D2646" t="s">
        <v>13850</v>
      </c>
      <c r="E2646" s="2">
        <v>11678</v>
      </c>
      <c r="G2646">
        <f>HYPERLINK("https://www.senat.fr/senateur-3eme-republique/humblot_emile0871r3.html", "humblot_emile0871r3")</f>
        <v>0</v>
      </c>
      <c r="H2646">
        <f>HYPERLINK("https://www.wikidata.org/wiki/Q3588567", "Q3588567")</f>
        <v>0</v>
      </c>
    </row>
    <row r="2647" spans="1:8">
      <c r="A2647" t="s">
        <v>2653</v>
      </c>
      <c r="B2647" t="s">
        <v>7276</v>
      </c>
      <c r="C2647" t="s">
        <v>9355</v>
      </c>
      <c r="D2647" t="s">
        <v>13851</v>
      </c>
      <c r="G2647">
        <f>HYPERLINK("https://www.senat.fr/senateur-3eme-republique/huon_de_penanster_charles0571r3.html", "huon_de_penanster_charles0571r3")</f>
        <v>0</v>
      </c>
      <c r="H2647">
        <f>HYPERLINK("https://www.wikidata.org/wiki/Q2959385", "Q2959385")</f>
        <v>0</v>
      </c>
    </row>
    <row r="2648" spans="1:8">
      <c r="A2648" t="s">
        <v>2654</v>
      </c>
      <c r="B2648" t="s">
        <v>7277</v>
      </c>
      <c r="C2648" t="s">
        <v>9953</v>
      </c>
      <c r="D2648" t="s">
        <v>13852</v>
      </c>
      <c r="E2648" s="2">
        <v>859</v>
      </c>
      <c r="F2648">
        <f>HYPERLINK("https://www2.assemblee-nationale.fr/sycomore/fiche/(num_dept)/3912", "3912.0")</f>
        <v>0</v>
      </c>
      <c r="H2648">
        <f>HYPERLINK("https://www.wikidata.org/wiki/Q3293811", "Q3293811")</f>
        <v>0</v>
      </c>
    </row>
    <row r="2649" spans="1:8">
      <c r="A2649" t="s">
        <v>2655</v>
      </c>
      <c r="B2649" t="s">
        <v>7278</v>
      </c>
      <c r="C2649" t="s">
        <v>9575</v>
      </c>
      <c r="D2649" t="s">
        <v>13853</v>
      </c>
      <c r="E2649" s="2">
        <v>24558</v>
      </c>
      <c r="F2649">
        <f>HYPERLINK("https://www2.assemblee-nationale.fr/sycomore/fiche/(num_dept)/3914", "3914.0")</f>
        <v>0</v>
      </c>
      <c r="H2649">
        <f>HYPERLINK("https://www.wikidata.org/wiki/Q3265547", "Q3265547")</f>
        <v>0</v>
      </c>
    </row>
    <row r="2650" spans="1:8">
      <c r="A2650" t="s">
        <v>2656</v>
      </c>
      <c r="B2650" t="s">
        <v>7279</v>
      </c>
      <c r="C2650" t="s">
        <v>10528</v>
      </c>
      <c r="D2650" s="2">
        <v>62</v>
      </c>
      <c r="E2650" s="2">
        <v>22347</v>
      </c>
      <c r="F2650">
        <f>HYPERLINK("https://www2.assemblee-nationale.fr/sycomore/fiche/(num_dept)/3919", "3919.0")</f>
        <v>0</v>
      </c>
      <c r="H2650">
        <f>HYPERLINK("https://www.wikidata.org/wiki/Q3302161", "Q3302161")</f>
        <v>0</v>
      </c>
    </row>
    <row r="2651" spans="1:8">
      <c r="A2651" t="s">
        <v>2657</v>
      </c>
      <c r="B2651" t="s">
        <v>7280</v>
      </c>
      <c r="C2651" t="s">
        <v>7754</v>
      </c>
      <c r="D2651" t="s">
        <v>13854</v>
      </c>
      <c r="E2651" s="2">
        <v>10646</v>
      </c>
      <c r="F2651">
        <f>HYPERLINK("https://www2.assemblee-nationale.fr/sycomore/fiche/(num_dept)/3777", "3777.0")</f>
        <v>0</v>
      </c>
      <c r="H2651">
        <f>HYPERLINK("https://www.wikidata.org/wiki/Q16661316", "Q16661316")</f>
        <v>0</v>
      </c>
    </row>
    <row r="2652" spans="1:8">
      <c r="A2652" t="s">
        <v>2658</v>
      </c>
      <c r="B2652" t="s">
        <v>7281</v>
      </c>
      <c r="C2652" t="s">
        <v>7754</v>
      </c>
      <c r="D2652" t="s">
        <v>13855</v>
      </c>
      <c r="E2652" s="2">
        <v>11880</v>
      </c>
      <c r="F2652">
        <f>HYPERLINK("https://www2.assemblee-nationale.fr/sycomore/fiche/(num_dept)/3782", "3782.0")</f>
        <v>0</v>
      </c>
      <c r="H2652">
        <f>HYPERLINK("https://www.wikidata.org/wiki/Q8325995", "Q8325995")</f>
        <v>0</v>
      </c>
    </row>
    <row r="2653" spans="1:8">
      <c r="A2653" t="s">
        <v>2659</v>
      </c>
      <c r="B2653" t="s">
        <v>7282</v>
      </c>
      <c r="C2653" t="s">
        <v>9355</v>
      </c>
      <c r="D2653" t="s">
        <v>12217</v>
      </c>
      <c r="E2653" s="2">
        <v>9849</v>
      </c>
      <c r="F2653">
        <f>HYPERLINK("https://www2.assemblee-nationale.fr/sycomore/fiche/(num_dept)/3789", "3789.0")</f>
        <v>0</v>
      </c>
      <c r="H2653">
        <f>HYPERLINK("https://www.wikidata.org/wiki/Q2861326", "Q2861326")</f>
        <v>0</v>
      </c>
    </row>
    <row r="2654" spans="1:8">
      <c r="A2654" t="s">
        <v>2660</v>
      </c>
      <c r="B2654" t="s">
        <v>7283</v>
      </c>
      <c r="C2654" t="s">
        <v>7754</v>
      </c>
      <c r="D2654" t="s">
        <v>13856</v>
      </c>
      <c r="E2654" s="2">
        <v>5177</v>
      </c>
      <c r="F2654">
        <f>HYPERLINK("https://www2.assemblee-nationale.fr/sycomore/fiche/(num_dept)/3790", "3790.0")</f>
        <v>0</v>
      </c>
      <c r="H2654">
        <f>HYPERLINK("https://www.wikidata.org/wiki/Q3262222", "Q3262222")</f>
        <v>0</v>
      </c>
    </row>
    <row r="2655" spans="1:8">
      <c r="A2655" t="s">
        <v>2661</v>
      </c>
      <c r="B2655" t="s">
        <v>7284</v>
      </c>
      <c r="C2655" t="s">
        <v>9312</v>
      </c>
      <c r="D2655" t="s">
        <v>13857</v>
      </c>
      <c r="E2655" s="2">
        <v>4158</v>
      </c>
      <c r="F2655">
        <f>HYPERLINK("https://www2.assemblee-nationale.fr/sycomore/fiche/(num_dept)/7961", "7961.0")</f>
        <v>0</v>
      </c>
      <c r="H2655">
        <f>HYPERLINK("https://www.wikidata.org/wiki/Q16025844", "Q16025844")</f>
        <v>0</v>
      </c>
    </row>
    <row r="2656" spans="1:8">
      <c r="A2656" t="s">
        <v>2662</v>
      </c>
      <c r="B2656" t="s">
        <v>7285</v>
      </c>
      <c r="C2656" t="s">
        <v>7342</v>
      </c>
      <c r="D2656" t="s">
        <v>13858</v>
      </c>
      <c r="E2656" s="2">
        <v>24211</v>
      </c>
      <c r="F2656">
        <f>HYPERLINK("https://www2.assemblee-nationale.fr/sycomore/fiche/(num_dept)/3803", "3803.0")</f>
        <v>0</v>
      </c>
      <c r="H2656">
        <f>HYPERLINK("https://www.wikidata.org/wiki/Q3172596", "Q3172596")</f>
        <v>0</v>
      </c>
    </row>
    <row r="2657" spans="1:8">
      <c r="A2657" t="s">
        <v>2663</v>
      </c>
      <c r="B2657" t="s">
        <v>7286</v>
      </c>
      <c r="C2657" t="s">
        <v>10070</v>
      </c>
      <c r="D2657" t="s">
        <v>13859</v>
      </c>
      <c r="E2657" s="2">
        <v>22176</v>
      </c>
      <c r="F2657">
        <f>HYPERLINK("https://www2.assemblee-nationale.fr/sycomore/fiche/(num_dept)/3804", "3804.0")</f>
        <v>0</v>
      </c>
      <c r="H2657">
        <f>HYPERLINK("https://www.wikidata.org/wiki/Q339436", "Q339436")</f>
        <v>0</v>
      </c>
    </row>
    <row r="2658" spans="1:8">
      <c r="A2658" t="s">
        <v>2664</v>
      </c>
      <c r="B2658" t="s">
        <v>7287</v>
      </c>
      <c r="C2658" t="s">
        <v>10529</v>
      </c>
      <c r="D2658" t="s">
        <v>13860</v>
      </c>
      <c r="E2658" s="2">
        <v>9683</v>
      </c>
      <c r="F2658">
        <f>HYPERLINK("https://www2.assemblee-nationale.fr/sycomore/fiche/(num_dept)/8285", "8285.0")</f>
        <v>0</v>
      </c>
      <c r="H2658">
        <f>HYPERLINK("https://www.wikidata.org/wiki/Q2835190", "Q2835190")</f>
        <v>0</v>
      </c>
    </row>
    <row r="2659" spans="1:8">
      <c r="A2659" t="s">
        <v>2665</v>
      </c>
      <c r="B2659" t="s">
        <v>7288</v>
      </c>
      <c r="C2659" t="s">
        <v>10530</v>
      </c>
      <c r="D2659" t="s">
        <v>11952</v>
      </c>
      <c r="E2659" t="s">
        <v>16183</v>
      </c>
      <c r="F2659">
        <f>HYPERLINK("https://www2.assemblee-nationale.fr/sycomore/fiche/(num_dept)/8251", "8251.0")</f>
        <v>0</v>
      </c>
      <c r="H2659">
        <f>HYPERLINK("https://www.wikidata.org/wiki/Q2850753", "Q2850753")</f>
        <v>0</v>
      </c>
    </row>
    <row r="2660" spans="1:8">
      <c r="A2660" t="s">
        <v>2666</v>
      </c>
      <c r="B2660" t="s">
        <v>7288</v>
      </c>
      <c r="C2660" t="s">
        <v>10511</v>
      </c>
      <c r="D2660" t="s">
        <v>13807</v>
      </c>
      <c r="E2660" s="2">
        <v>250</v>
      </c>
      <c r="F2660">
        <f>HYPERLINK("https://www2.assemblee-nationale.fr/sycomore/fiche/(num_dept)/7963", "7963.0")</f>
        <v>0</v>
      </c>
      <c r="H2660">
        <f>HYPERLINK("https://www.wikidata.org/wiki/Q3507186", "Q3507186")</f>
        <v>0</v>
      </c>
    </row>
    <row r="2661" spans="1:8">
      <c r="A2661" t="s">
        <v>2667</v>
      </c>
      <c r="B2661" t="s">
        <v>7289</v>
      </c>
      <c r="C2661" t="s">
        <v>9899</v>
      </c>
      <c r="D2661" t="s">
        <v>13018</v>
      </c>
      <c r="E2661" s="2">
        <v>8179</v>
      </c>
      <c r="F2661">
        <f>HYPERLINK("https://www2.assemblee-nationale.fr/sycomore/fiche/(num_dept)/7591", "7591.0")</f>
        <v>0</v>
      </c>
      <c r="H2661">
        <f>HYPERLINK("https://www.wikidata.org/wiki/Q3426501", "Q3426501")</f>
        <v>0</v>
      </c>
    </row>
    <row r="2662" spans="1:8">
      <c r="A2662" t="s">
        <v>2668</v>
      </c>
      <c r="B2662" t="s">
        <v>7290</v>
      </c>
      <c r="C2662" t="s">
        <v>9368</v>
      </c>
      <c r="D2662" t="s">
        <v>13861</v>
      </c>
      <c r="E2662" s="2">
        <v>12176</v>
      </c>
      <c r="F2662">
        <f>HYPERLINK("https://www2.assemblee-nationale.fr/sycomore/fiche/(num_dept)/3812", "3812.0")</f>
        <v>0</v>
      </c>
      <c r="H2662">
        <f>HYPERLINK("https://www.wikidata.org/wiki/Q16025846", "Q16025846")</f>
        <v>0</v>
      </c>
    </row>
    <row r="2663" spans="1:8">
      <c r="A2663" t="s">
        <v>2669</v>
      </c>
      <c r="B2663" t="s">
        <v>7291</v>
      </c>
      <c r="C2663" t="s">
        <v>10531</v>
      </c>
      <c r="D2663" t="s">
        <v>12722</v>
      </c>
      <c r="E2663" s="2">
        <v>406</v>
      </c>
      <c r="F2663">
        <f>HYPERLINK("https://www2.assemblee-nationale.fr/sycomore/fiche/(num_dept)/7962", "7962.0")</f>
        <v>0</v>
      </c>
      <c r="H2663">
        <f>HYPERLINK("https://www.wikidata.org/wiki/Q3480822", "Q3480822")</f>
        <v>0</v>
      </c>
    </row>
    <row r="2664" spans="1:8">
      <c r="A2664" t="s">
        <v>2670</v>
      </c>
      <c r="B2664" t="s">
        <v>7292</v>
      </c>
      <c r="C2664" t="s">
        <v>9346</v>
      </c>
      <c r="D2664" t="s">
        <v>13862</v>
      </c>
      <c r="E2664" s="2">
        <v>8971</v>
      </c>
      <c r="F2664">
        <f>HYPERLINK("https://www2.assemblee-nationale.fr/sycomore/fiche/(num_dept)/3926", "3926.0")</f>
        <v>0</v>
      </c>
      <c r="H2664">
        <f>HYPERLINK("https://www.wikidata.org/wiki/Q3579897", "Q3579897")</f>
        <v>0</v>
      </c>
    </row>
    <row r="2665" spans="1:8">
      <c r="A2665" t="s">
        <v>2671</v>
      </c>
      <c r="B2665" t="s">
        <v>7293</v>
      </c>
      <c r="C2665" t="s">
        <v>7342</v>
      </c>
      <c r="D2665" t="s">
        <v>13863</v>
      </c>
      <c r="E2665" s="2">
        <v>7568</v>
      </c>
      <c r="G2665">
        <f>HYPERLINK("https://www.senat.fr/senateur-3eme-republique/imbart_de_la_tour_jean1268r3.html", "imbart_de_la_tour_jean1268r3")</f>
        <v>0</v>
      </c>
      <c r="H2665">
        <f>HYPERLINK("https://www.wikidata.org/wiki/Q3172734", "Q3172734")</f>
        <v>0</v>
      </c>
    </row>
    <row r="2666" spans="1:8">
      <c r="A2666" t="s">
        <v>2672</v>
      </c>
      <c r="B2666" t="s">
        <v>7294</v>
      </c>
      <c r="C2666" t="s">
        <v>10532</v>
      </c>
      <c r="D2666" t="s">
        <v>13864</v>
      </c>
      <c r="E2666" s="2">
        <v>5361</v>
      </c>
      <c r="F2666">
        <f>HYPERLINK("https://www2.assemblee-nationale.fr/sycomore/fiche/(num_dept)/7966", "7966.0")</f>
        <v>0</v>
      </c>
      <c r="H2666">
        <f>HYPERLINK("https://www.wikidata.org/wiki/Q16025861", "Q16025861")</f>
        <v>0</v>
      </c>
    </row>
    <row r="2667" spans="1:8">
      <c r="A2667" t="s">
        <v>2673</v>
      </c>
      <c r="B2667" t="s">
        <v>7295</v>
      </c>
      <c r="C2667" t="s">
        <v>5058</v>
      </c>
      <c r="D2667" t="s">
        <v>11818</v>
      </c>
      <c r="E2667" s="2">
        <v>15168</v>
      </c>
      <c r="F2667">
        <f>HYPERLINK("https://www2.assemblee-nationale.fr/sycomore/fiche/(num_dept)/3932", "3932.0")</f>
        <v>0</v>
      </c>
      <c r="H2667">
        <f>HYPERLINK("https://www.wikidata.org/wiki/Q16011383", "Q16011383")</f>
        <v>0</v>
      </c>
    </row>
    <row r="2668" spans="1:8">
      <c r="A2668" t="s">
        <v>2674</v>
      </c>
      <c r="B2668" t="s">
        <v>7296</v>
      </c>
      <c r="C2668" t="s">
        <v>9256</v>
      </c>
      <c r="D2668" t="s">
        <v>13865</v>
      </c>
      <c r="E2668" s="2">
        <v>18699</v>
      </c>
      <c r="F2668">
        <f>HYPERLINK("https://www2.assemblee-nationale.fr/sycomore/fiche/(num_dept)/3933", "3933.0")</f>
        <v>0</v>
      </c>
      <c r="H2668">
        <f>HYPERLINK("https://www.wikidata.org/wiki/Q3559675", "Q3559675")</f>
        <v>0</v>
      </c>
    </row>
    <row r="2669" spans="1:8">
      <c r="A2669" t="s">
        <v>2675</v>
      </c>
      <c r="B2669" t="s">
        <v>7297</v>
      </c>
      <c r="C2669" t="s">
        <v>8384</v>
      </c>
      <c r="D2669" t="s">
        <v>13866</v>
      </c>
      <c r="E2669" t="s">
        <v>16184</v>
      </c>
      <c r="G2669">
        <f>HYPERLINK("https://www.senat.fr/senateur-3eme-republique/isaac_pierre0843r3.html", "isaac_pierre0843r3")</f>
        <v>0</v>
      </c>
      <c r="H2669">
        <f>HYPERLINK("https://www.wikidata.org/wiki/Q3262281", "Q3262281")</f>
        <v>0</v>
      </c>
    </row>
    <row r="2670" spans="1:8">
      <c r="A2670" t="s">
        <v>2676</v>
      </c>
      <c r="B2670" t="s">
        <v>7298</v>
      </c>
      <c r="C2670" t="s">
        <v>9337</v>
      </c>
      <c r="D2670" t="s">
        <v>13867</v>
      </c>
      <c r="E2670" s="2">
        <v>13962</v>
      </c>
      <c r="F2670">
        <f>HYPERLINK("https://www2.assemblee-nationale.fr/sycomore/fiche/(num_dept)/3938", "3938.0")</f>
        <v>0</v>
      </c>
      <c r="H2670">
        <f>HYPERLINK("https://www.wikidata.org/wiki/Q2871238", "Q2871238")</f>
        <v>0</v>
      </c>
    </row>
    <row r="2671" spans="1:8">
      <c r="A2671" t="s">
        <v>2677</v>
      </c>
      <c r="B2671" t="s">
        <v>7298</v>
      </c>
      <c r="C2671" t="s">
        <v>9337</v>
      </c>
      <c r="D2671" t="s">
        <v>13868</v>
      </c>
      <c r="E2671" s="2">
        <v>4931</v>
      </c>
      <c r="F2671">
        <f>HYPERLINK("https://www2.assemblee-nationale.fr/sycomore/fiche/(num_dept)/3937", "3937.0")</f>
        <v>0</v>
      </c>
      <c r="H2671">
        <f>HYPERLINK("https://www.wikidata.org/wiki/Q16025863", "Q16025863")</f>
        <v>0</v>
      </c>
    </row>
    <row r="2672" spans="1:8">
      <c r="A2672" t="s">
        <v>2678</v>
      </c>
      <c r="B2672" t="s">
        <v>7299</v>
      </c>
      <c r="C2672" t="s">
        <v>10533</v>
      </c>
      <c r="D2672" t="s">
        <v>13869</v>
      </c>
      <c r="E2672" s="2">
        <v>1662</v>
      </c>
      <c r="F2672">
        <f>HYPERLINK("https://www2.assemblee-nationale.fr/sycomore/fiche/(num_dept)/3940", "3940.0")</f>
        <v>0</v>
      </c>
      <c r="H2672">
        <f>HYPERLINK("https://www.wikidata.org/wiki/Q3579900", "Q3579900")</f>
        <v>0</v>
      </c>
    </row>
    <row r="2673" spans="1:8">
      <c r="A2673" t="s">
        <v>2679</v>
      </c>
      <c r="B2673" t="s">
        <v>7300</v>
      </c>
      <c r="C2673" t="s">
        <v>9503</v>
      </c>
      <c r="D2673" t="s">
        <v>13870</v>
      </c>
      <c r="E2673" s="2">
        <v>835</v>
      </c>
      <c r="F2673">
        <f>HYPERLINK("https://www2.assemblee-nationale.fr/sycomore/fiche/(num_dept)/3941", "3941.0")</f>
        <v>0</v>
      </c>
      <c r="H2673">
        <f>HYPERLINK("https://www.wikidata.org/wiki/Q3121216", "Q3121216")</f>
        <v>0</v>
      </c>
    </row>
    <row r="2674" spans="1:8">
      <c r="A2674" t="s">
        <v>2680</v>
      </c>
      <c r="B2674" t="s">
        <v>7301</v>
      </c>
      <c r="C2674" t="s">
        <v>9337</v>
      </c>
      <c r="D2674" t="s">
        <v>13871</v>
      </c>
      <c r="E2674" s="2">
        <v>7250</v>
      </c>
      <c r="F2674">
        <f>HYPERLINK("https://www2.assemblee-nationale.fr/sycomore/fiche/(num_dept)/3942", "3942.0")</f>
        <v>0</v>
      </c>
      <c r="H2674">
        <f>HYPERLINK("https://www.wikidata.org/wiki/Q2871237", "Q2871237")</f>
        <v>0</v>
      </c>
    </row>
    <row r="2675" spans="1:8">
      <c r="A2675" t="s">
        <v>2681</v>
      </c>
      <c r="B2675" t="s">
        <v>7302</v>
      </c>
      <c r="C2675" t="s">
        <v>10534</v>
      </c>
      <c r="D2675" t="s">
        <v>13872</v>
      </c>
      <c r="E2675" t="s">
        <v>16185</v>
      </c>
      <c r="F2675">
        <f>HYPERLINK("https://www2.assemblee-nationale.fr/sycomore/fiche/(num_dept)/3945", "3945.0")</f>
        <v>0</v>
      </c>
      <c r="H2675">
        <f>HYPERLINK("https://www.wikidata.org/wiki/Q3293813", "Q3293813")</f>
        <v>0</v>
      </c>
    </row>
    <row r="2676" spans="1:8">
      <c r="A2676" t="s">
        <v>2682</v>
      </c>
      <c r="B2676" t="s">
        <v>7302</v>
      </c>
      <c r="C2676" t="s">
        <v>10535</v>
      </c>
      <c r="D2676" t="s">
        <v>13873</v>
      </c>
      <c r="F2676">
        <f>HYPERLINK("https://www2.assemblee-nationale.fr/sycomore/fiche/(num_dept)/3944", "3944.0")</f>
        <v>0</v>
      </c>
      <c r="H2676">
        <f>HYPERLINK("https://www.wikidata.org/wiki/Q8314865", "Q8314865")</f>
        <v>0</v>
      </c>
    </row>
    <row r="2677" spans="1:8">
      <c r="A2677" t="s">
        <v>2683</v>
      </c>
      <c r="B2677" t="s">
        <v>7303</v>
      </c>
      <c r="C2677" t="s">
        <v>9429</v>
      </c>
      <c r="D2677" t="s">
        <v>12755</v>
      </c>
      <c r="G2677">
        <f>HYPERLINK("https://www.senat.fr/senateur-3eme-republique/israel_alexandre0223r3.html", "israel_alexandre0223r3")</f>
        <v>0</v>
      </c>
      <c r="H2677">
        <f>HYPERLINK("https://www.wikidata.org/wiki/Q2833756", "Q2833756")</f>
        <v>0</v>
      </c>
    </row>
    <row r="2678" spans="1:8">
      <c r="A2678" t="s">
        <v>2684</v>
      </c>
      <c r="B2678" t="s">
        <v>7304</v>
      </c>
      <c r="C2678" t="s">
        <v>9429</v>
      </c>
      <c r="D2678" t="s">
        <v>12755</v>
      </c>
      <c r="E2678" s="2">
        <v>13750</v>
      </c>
      <c r="F2678">
        <f>HYPERLINK("https://www2.assemblee-nationale.fr/sycomore/fiche/(num_dept)/3948", "3948.0")</f>
        <v>0</v>
      </c>
      <c r="H2678">
        <f>HYPERLINK("https://www.wikidata.org/wiki/Q2833756", "Q2833756")</f>
        <v>0</v>
      </c>
    </row>
    <row r="2679" spans="1:8">
      <c r="A2679" t="s">
        <v>2685</v>
      </c>
      <c r="B2679" t="s">
        <v>7305</v>
      </c>
      <c r="C2679" t="s">
        <v>8384</v>
      </c>
      <c r="D2679" t="s">
        <v>13874</v>
      </c>
      <c r="E2679" t="s">
        <v>16186</v>
      </c>
      <c r="G2679">
        <f>HYPERLINK("https://www.senat.fr/senateur-3eme-republique/issartier_pierre0204r3.html", "issartier_pierre0204r3")</f>
        <v>0</v>
      </c>
      <c r="H2679">
        <f>HYPERLINK("https://www.wikidata.org/wiki/Q3385542", "Q3385542")</f>
        <v>0</v>
      </c>
    </row>
    <row r="2680" spans="1:8">
      <c r="A2680" t="s">
        <v>2686</v>
      </c>
      <c r="B2680" t="s">
        <v>7306</v>
      </c>
      <c r="C2680" t="s">
        <v>9324</v>
      </c>
      <c r="D2680" t="s">
        <v>13875</v>
      </c>
      <c r="E2680" t="s">
        <v>16187</v>
      </c>
      <c r="F2680">
        <f>HYPERLINK("https://www2.assemblee-nationale.fr/sycomore/fiche/(num_dept)/3951", "3951.0")</f>
        <v>0</v>
      </c>
      <c r="H2680">
        <f>HYPERLINK("https://www.wikidata.org/wiki/Q14660121", "Q14660121")</f>
        <v>0</v>
      </c>
    </row>
    <row r="2681" spans="1:8">
      <c r="A2681" t="s">
        <v>2687</v>
      </c>
      <c r="B2681" t="s">
        <v>7307</v>
      </c>
      <c r="C2681" t="s">
        <v>7001</v>
      </c>
      <c r="D2681" s="2">
        <v>1264</v>
      </c>
      <c r="E2681" s="2">
        <v>26927</v>
      </c>
      <c r="F2681">
        <f>HYPERLINK("https://www2.assemblee-nationale.fr/sycomore/fiche/(num_dept)/3952", "3952.0")</f>
        <v>0</v>
      </c>
      <c r="H2681">
        <f>HYPERLINK("https://www.wikidata.org/wiki/Q3102929", "Q3102929")</f>
        <v>0</v>
      </c>
    </row>
    <row r="2682" spans="1:8">
      <c r="A2682" t="s">
        <v>2688</v>
      </c>
      <c r="B2682" t="s">
        <v>7308</v>
      </c>
      <c r="C2682" t="s">
        <v>9373</v>
      </c>
      <c r="D2682" t="s">
        <v>13876</v>
      </c>
      <c r="E2682" s="2">
        <v>10014</v>
      </c>
      <c r="F2682">
        <f>HYPERLINK("https://www2.assemblee-nationale.fr/sycomore/fiche/(num_dept)/3954", "3954.0")</f>
        <v>0</v>
      </c>
      <c r="H2682">
        <f>HYPERLINK("https://www.wikidata.org/wiki/Q2365307", "Q2365307")</f>
        <v>0</v>
      </c>
    </row>
    <row r="2683" spans="1:8">
      <c r="A2683" t="s">
        <v>2689</v>
      </c>
      <c r="B2683" t="s">
        <v>7309</v>
      </c>
      <c r="C2683" t="s">
        <v>9337</v>
      </c>
      <c r="D2683" t="s">
        <v>13877</v>
      </c>
      <c r="E2683" s="2">
        <v>19527</v>
      </c>
      <c r="F2683">
        <f>HYPERLINK("https://www2.assemblee-nationale.fr/sycomore/fiche/(num_dept)/3957", "3957.0")</f>
        <v>0</v>
      </c>
      <c r="H2683">
        <f>HYPERLINK("https://www.wikidata.org/wiki/Q16529500", "Q16529500")</f>
        <v>0</v>
      </c>
    </row>
    <row r="2684" spans="1:8">
      <c r="A2684" t="s">
        <v>2690</v>
      </c>
      <c r="B2684" t="s">
        <v>7310</v>
      </c>
      <c r="C2684" t="s">
        <v>9256</v>
      </c>
      <c r="D2684" t="s">
        <v>13878</v>
      </c>
      <c r="E2684" s="2">
        <v>11443</v>
      </c>
      <c r="F2684">
        <f>HYPERLINK("https://www2.assemblee-nationale.fr/sycomore/fiche/(num_dept)/3958", "3958.0")</f>
        <v>0</v>
      </c>
      <c r="H2684">
        <f>HYPERLINK("https://www.wikidata.org/wiki/Q3559676", "Q3559676")</f>
        <v>0</v>
      </c>
    </row>
    <row r="2685" spans="1:8">
      <c r="A2685" t="s">
        <v>2691</v>
      </c>
      <c r="B2685" t="s">
        <v>7311</v>
      </c>
      <c r="C2685" t="s">
        <v>10536</v>
      </c>
      <c r="D2685" t="s">
        <v>12968</v>
      </c>
      <c r="E2685" t="s">
        <v>16188</v>
      </c>
      <c r="F2685">
        <f>HYPERLINK("https://www2.assemblee-nationale.fr/sycomore/fiche/(num_dept)/3962", "3962.0")</f>
        <v>0</v>
      </c>
      <c r="H2685">
        <f>HYPERLINK("https://www.wikidata.org/wiki/Q3059941", "Q3059941")</f>
        <v>0</v>
      </c>
    </row>
    <row r="2686" spans="1:8">
      <c r="A2686" t="s">
        <v>2692</v>
      </c>
      <c r="B2686" t="s">
        <v>7312</v>
      </c>
      <c r="C2686" t="s">
        <v>5058</v>
      </c>
      <c r="D2686" t="s">
        <v>13879</v>
      </c>
      <c r="E2686" s="2">
        <v>1057</v>
      </c>
      <c r="F2686">
        <f>HYPERLINK("https://www2.assemblee-nationale.fr/sycomore/fiche/(num_dept)/3963", "3963.0")</f>
        <v>0</v>
      </c>
      <c r="H2686">
        <f>HYPERLINK("https://www.wikidata.org/wiki/Q2831269", "Q2831269")</f>
        <v>0</v>
      </c>
    </row>
    <row r="2687" spans="1:8">
      <c r="A2687" t="s">
        <v>2693</v>
      </c>
      <c r="B2687" t="s">
        <v>7313</v>
      </c>
      <c r="C2687" t="s">
        <v>9524</v>
      </c>
      <c r="D2687" t="s">
        <v>13880</v>
      </c>
      <c r="E2687" t="s">
        <v>16189</v>
      </c>
      <c r="G2687">
        <f>HYPERLINK("https://www.senat.fr/senateur-3eme-republique/jacques_palotte_emile0622r3.html", "jacques_palotte_emile0622r3")</f>
        <v>0</v>
      </c>
      <c r="H2687">
        <f>HYPERLINK("https://www.wikidata.org/wiki/Q3052269", "Q3052269")</f>
        <v>0</v>
      </c>
    </row>
    <row r="2688" spans="1:8">
      <c r="A2688" t="s">
        <v>2694</v>
      </c>
      <c r="B2688" t="s">
        <v>7314</v>
      </c>
      <c r="C2688" t="s">
        <v>10537</v>
      </c>
      <c r="D2688" t="s">
        <v>13881</v>
      </c>
      <c r="E2688" s="2">
        <v>2085</v>
      </c>
      <c r="F2688">
        <f>HYPERLINK("https://www2.assemblee-nationale.fr/sycomore/fiche/(num_dept)/8297", "8297.0")</f>
        <v>0</v>
      </c>
      <c r="H2688">
        <f>HYPERLINK("https://www.wikidata.org/wiki/Q16025864", "Q16025864")</f>
        <v>0</v>
      </c>
    </row>
    <row r="2689" spans="1:8">
      <c r="A2689" t="s">
        <v>2695</v>
      </c>
      <c r="B2689" t="s">
        <v>7315</v>
      </c>
      <c r="C2689" t="s">
        <v>10537</v>
      </c>
      <c r="D2689" t="s">
        <v>13882</v>
      </c>
      <c r="G2689">
        <f>HYPERLINK("https://www.senat.fr/senateur-3eme-republique/jacques_remy1822r3.html", "jacques_remy1822r3")</f>
        <v>0</v>
      </c>
      <c r="H2689">
        <f>HYPERLINK("https://www.wikidata.org/wiki/Q16025864", "Q16025864")</f>
        <v>0</v>
      </c>
    </row>
    <row r="2690" spans="1:8">
      <c r="A2690" t="s">
        <v>2696</v>
      </c>
      <c r="B2690" t="s">
        <v>7314</v>
      </c>
      <c r="C2690" t="s">
        <v>9346</v>
      </c>
      <c r="D2690" t="s">
        <v>13598</v>
      </c>
      <c r="E2690" s="2">
        <v>166</v>
      </c>
      <c r="F2690">
        <f>HYPERLINK("https://www2.assemblee-nationale.fr/sycomore/fiche/(num_dept)/3966", "3966.0")</f>
        <v>0</v>
      </c>
      <c r="H2690">
        <f>HYPERLINK("https://www.wikidata.org/wiki/Q13091121", "Q13091121")</f>
        <v>0</v>
      </c>
    </row>
    <row r="2691" spans="1:8">
      <c r="A2691" t="s">
        <v>2697</v>
      </c>
      <c r="B2691" t="s">
        <v>7316</v>
      </c>
      <c r="C2691" t="s">
        <v>5117</v>
      </c>
      <c r="D2691" t="s">
        <v>13883</v>
      </c>
      <c r="E2691" s="2">
        <v>8006</v>
      </c>
      <c r="F2691">
        <f>HYPERLINK("https://www2.assemblee-nationale.fr/sycomore/fiche/(num_dept)/3969", "3969.0")</f>
        <v>0</v>
      </c>
      <c r="H2691">
        <f>HYPERLINK("https://www.wikidata.org/wiki/Q2861874", "Q2861874")</f>
        <v>0</v>
      </c>
    </row>
    <row r="2692" spans="1:8">
      <c r="A2692" t="s">
        <v>2698</v>
      </c>
      <c r="B2692" t="s">
        <v>7317</v>
      </c>
      <c r="C2692" t="s">
        <v>10428</v>
      </c>
      <c r="D2692" t="s">
        <v>12889</v>
      </c>
      <c r="E2692" s="2">
        <v>5537</v>
      </c>
      <c r="F2692">
        <f>HYPERLINK("https://www2.assemblee-nationale.fr/sycomore/fiche/(num_dept)/7967", "7967.0")</f>
        <v>0</v>
      </c>
      <c r="H2692">
        <f>HYPERLINK("https://www.wikidata.org/wiki/Q9294352", "Q9294352")</f>
        <v>0</v>
      </c>
    </row>
    <row r="2693" spans="1:8">
      <c r="A2693" t="s">
        <v>2699</v>
      </c>
      <c r="B2693" t="s">
        <v>7317</v>
      </c>
      <c r="C2693" t="s">
        <v>10538</v>
      </c>
      <c r="D2693" t="s">
        <v>13884</v>
      </c>
      <c r="E2693" s="2">
        <v>22343</v>
      </c>
      <c r="F2693">
        <f>HYPERLINK("https://www2.assemblee-nationale.fr/sycomore/fiche/(num_dept)/3970", "3970.0")</f>
        <v>0</v>
      </c>
      <c r="G2693">
        <f>HYPERLINK("https://www.senat.fr/senateur-3eme-republique/jacquier_paul1310r3.html", "jacquier_paul1310r3")</f>
        <v>0</v>
      </c>
      <c r="H2693">
        <f>HYPERLINK("https://www.wikidata.org/wiki/Q3371508", "Q3371508")</f>
        <v>0</v>
      </c>
    </row>
    <row r="2694" spans="1:8">
      <c r="A2694" t="s">
        <v>2700</v>
      </c>
      <c r="B2694" t="s">
        <v>7318</v>
      </c>
      <c r="C2694" t="s">
        <v>7754</v>
      </c>
      <c r="D2694" t="s">
        <v>13885</v>
      </c>
      <c r="E2694" s="2">
        <v>34134</v>
      </c>
      <c r="F2694">
        <f>HYPERLINK("https://www2.assemblee-nationale.fr/sycomore/fiche/(num_dept)/3971", "3971.0")</f>
        <v>0</v>
      </c>
      <c r="H2694">
        <f>HYPERLINK("https://www.wikidata.org/wiki/Q3262301", "Q3262301")</f>
        <v>0</v>
      </c>
    </row>
    <row r="2695" spans="1:8">
      <c r="A2695" t="s">
        <v>2701</v>
      </c>
      <c r="B2695" t="s">
        <v>7319</v>
      </c>
      <c r="C2695" t="s">
        <v>7342</v>
      </c>
      <c r="D2695" t="s">
        <v>13886</v>
      </c>
      <c r="E2695" s="2">
        <v>19996</v>
      </c>
      <c r="F2695">
        <f>HYPERLINK("https://www2.assemblee-nationale.fr/sycomore/fiche/(num_dept)/3973", "3973.0")</f>
        <v>0</v>
      </c>
      <c r="G2695">
        <f>HYPERLINK("https://www.senat.fr/senateur-3eme-republique/jacquy_jean0652r3.html", "jacquy_jean0652r3")</f>
        <v>0</v>
      </c>
      <c r="H2695">
        <f>HYPERLINK("https://www.wikidata.org/wiki/Q3172779", "Q3172779")</f>
        <v>0</v>
      </c>
    </row>
    <row r="2696" spans="1:8">
      <c r="A2696" t="s">
        <v>2702</v>
      </c>
      <c r="B2696" t="s">
        <v>7320</v>
      </c>
      <c r="C2696" t="s">
        <v>7342</v>
      </c>
      <c r="D2696" t="s">
        <v>13887</v>
      </c>
      <c r="E2696" s="2">
        <v>13335</v>
      </c>
      <c r="F2696">
        <f>HYPERLINK("https://www2.assemblee-nationale.fr/sycomore/fiche/(num_dept)/3975", "3975.0")</f>
        <v>0</v>
      </c>
      <c r="H2696">
        <f>HYPERLINK("https://www.wikidata.org/wiki/Q3172781", "Q3172781")</f>
        <v>0</v>
      </c>
    </row>
    <row r="2697" spans="1:8">
      <c r="A2697" t="s">
        <v>2703</v>
      </c>
      <c r="B2697" t="s">
        <v>7321</v>
      </c>
      <c r="C2697" t="s">
        <v>9471</v>
      </c>
      <c r="D2697" t="s">
        <v>13888</v>
      </c>
      <c r="E2697" s="2">
        <v>12830</v>
      </c>
      <c r="F2697">
        <f>HYPERLINK("https://www2.assemblee-nationale.fr/sycomore/fiche/(num_dept)/3977", "3977.0")</f>
        <v>0</v>
      </c>
      <c r="H2697">
        <f>HYPERLINK("https://www.wikidata.org/wiki/Q8339993", "Q8339993")</f>
        <v>0</v>
      </c>
    </row>
    <row r="2698" spans="1:8">
      <c r="A2698" t="s">
        <v>2704</v>
      </c>
      <c r="B2698" t="s">
        <v>7322</v>
      </c>
      <c r="C2698" t="s">
        <v>9471</v>
      </c>
      <c r="D2698" t="s">
        <v>13889</v>
      </c>
      <c r="E2698" s="2">
        <v>5896</v>
      </c>
      <c r="F2698">
        <f>HYPERLINK("https://www2.assemblee-nationale.fr/sycomore/fiche/(num_dept)/3984", "3984.0")</f>
        <v>0</v>
      </c>
      <c r="H2698">
        <f>HYPERLINK("https://www.wikidata.org/wiki/Q1266110", "Q1266110")</f>
        <v>0</v>
      </c>
    </row>
    <row r="2699" spans="1:8">
      <c r="A2699" t="s">
        <v>2705</v>
      </c>
      <c r="B2699" t="s">
        <v>7323</v>
      </c>
      <c r="C2699" t="s">
        <v>9524</v>
      </c>
      <c r="D2699" t="s">
        <v>11416</v>
      </c>
      <c r="E2699" t="s">
        <v>16190</v>
      </c>
      <c r="F2699">
        <f>HYPERLINK("https://www2.assemblee-nationale.fr/sycomore/fiche/(num_dept)/3985", "3985.0")</f>
        <v>0</v>
      </c>
      <c r="H2699">
        <f>HYPERLINK("https://www.wikidata.org/wiki/Q286003", "Q286003")</f>
        <v>0</v>
      </c>
    </row>
    <row r="2700" spans="1:8">
      <c r="A2700" t="s">
        <v>2706</v>
      </c>
      <c r="B2700" t="s">
        <v>7324</v>
      </c>
      <c r="C2700" t="s">
        <v>10539</v>
      </c>
      <c r="D2700" t="s">
        <v>13890</v>
      </c>
      <c r="E2700" t="s">
        <v>16191</v>
      </c>
      <c r="F2700">
        <f>HYPERLINK("https://www2.assemblee-nationale.fr/sycomore/fiche/(num_dept)/7968", "7968.0")</f>
        <v>0</v>
      </c>
      <c r="G2700">
        <f>HYPERLINK("https://www.senat.fr/senateur-3eme-republique/jametel_gustave1667r3.html", "jametel_gustave1667r3")</f>
        <v>0</v>
      </c>
      <c r="H2700">
        <f>HYPERLINK("https://www.wikidata.org/wiki/Q3121093", "Q3121093")</f>
        <v>0</v>
      </c>
    </row>
    <row r="2701" spans="1:8">
      <c r="A2701" t="s">
        <v>2707</v>
      </c>
      <c r="B2701" t="s">
        <v>7325</v>
      </c>
      <c r="C2701" t="s">
        <v>9471</v>
      </c>
      <c r="D2701" t="s">
        <v>13891</v>
      </c>
      <c r="E2701" s="2">
        <v>7325</v>
      </c>
      <c r="G2701">
        <f>HYPERLINK("https://www.senat.fr/senateur-3eme-republique/jamin_jules1290r3.html", "jamin_jules1290r3")</f>
        <v>0</v>
      </c>
      <c r="H2701">
        <f>HYPERLINK("https://www.wikidata.org/wiki/Q3188752", "Q3188752")</f>
        <v>0</v>
      </c>
    </row>
    <row r="2702" spans="1:8">
      <c r="A2702" t="s">
        <v>2708</v>
      </c>
      <c r="B2702" t="s">
        <v>7325</v>
      </c>
      <c r="C2702" t="s">
        <v>9368</v>
      </c>
      <c r="D2702" t="s">
        <v>13892</v>
      </c>
      <c r="E2702" s="2">
        <v>12353</v>
      </c>
      <c r="G2702">
        <f>HYPERLINK("https://www.senat.fr/senateur-3eme-republique/jamin_eugene0967r3.html", "jamin_eugene0967r3")</f>
        <v>0</v>
      </c>
      <c r="H2702">
        <f>HYPERLINK("https://www.wikidata.org/wiki/Q3059943", "Q3059943")</f>
        <v>0</v>
      </c>
    </row>
    <row r="2703" spans="1:8">
      <c r="A2703" t="s">
        <v>2709</v>
      </c>
      <c r="B2703" t="s">
        <v>7326</v>
      </c>
      <c r="C2703" t="s">
        <v>10540</v>
      </c>
      <c r="D2703" t="s">
        <v>13893</v>
      </c>
      <c r="E2703" s="2">
        <v>3590</v>
      </c>
      <c r="F2703">
        <f>HYPERLINK("https://www2.assemblee-nationale.fr/sycomore/fiche/(num_dept)/3989", "3989.0")</f>
        <v>0</v>
      </c>
      <c r="H2703">
        <f>HYPERLINK("https://www.wikidata.org/wiki/Q3271074", "Q3271074")</f>
        <v>0</v>
      </c>
    </row>
    <row r="2704" spans="1:8">
      <c r="A2704" t="s">
        <v>2710</v>
      </c>
      <c r="B2704" t="s">
        <v>7327</v>
      </c>
      <c r="C2704" t="s">
        <v>9373</v>
      </c>
      <c r="D2704" t="s">
        <v>13894</v>
      </c>
      <c r="E2704" s="2">
        <v>13108</v>
      </c>
      <c r="F2704">
        <f>HYPERLINK("https://www2.assemblee-nationale.fr/sycomore/fiche/(num_dept)/3991", "3991.0")</f>
        <v>0</v>
      </c>
      <c r="H2704">
        <f>HYPERLINK("https://www.wikidata.org/wiki/Q16025866", "Q16025866")</f>
        <v>0</v>
      </c>
    </row>
    <row r="2705" spans="1:8">
      <c r="A2705" t="s">
        <v>2711</v>
      </c>
      <c r="B2705" t="s">
        <v>7328</v>
      </c>
      <c r="C2705" t="s">
        <v>8208</v>
      </c>
      <c r="D2705" t="s">
        <v>13895</v>
      </c>
      <c r="E2705" s="2">
        <v>11284</v>
      </c>
      <c r="F2705">
        <f>HYPERLINK("https://www2.assemblee-nationale.fr/sycomore/fiche/(num_dept)/3992", "3992.0")</f>
        <v>0</v>
      </c>
      <c r="H2705">
        <f>HYPERLINK("https://www.wikidata.org/wiki/Q3345833", "Q3345833")</f>
        <v>0</v>
      </c>
    </row>
    <row r="2706" spans="1:8">
      <c r="A2706" t="s">
        <v>2712</v>
      </c>
      <c r="B2706" t="s">
        <v>7329</v>
      </c>
      <c r="C2706" t="s">
        <v>10541</v>
      </c>
      <c r="D2706" t="s">
        <v>13896</v>
      </c>
      <c r="E2706" t="s">
        <v>16192</v>
      </c>
      <c r="F2706">
        <f>HYPERLINK("https://www2.assemblee-nationale.fr/sycomore/fiche/(num_dept)/3997", "3997.0")</f>
        <v>0</v>
      </c>
      <c r="H2706">
        <f>HYPERLINK("https://www.wikidata.org/wiki/Q2958373", "Q2958373")</f>
        <v>0</v>
      </c>
    </row>
    <row r="2707" spans="1:8">
      <c r="A2707" t="s">
        <v>2713</v>
      </c>
      <c r="B2707" t="s">
        <v>7330</v>
      </c>
      <c r="C2707" t="s">
        <v>5117</v>
      </c>
      <c r="D2707" t="s">
        <v>13897</v>
      </c>
      <c r="E2707" s="2">
        <v>594</v>
      </c>
      <c r="F2707">
        <f>HYPERLINK("https://www2.assemblee-nationale.fr/sycomore/fiche/(num_dept)/3998", "3998.0")</f>
        <v>0</v>
      </c>
      <c r="H2707">
        <f>HYPERLINK("https://www.wikidata.org/wiki/Q2861876", "Q2861876")</f>
        <v>0</v>
      </c>
    </row>
    <row r="2708" spans="1:8">
      <c r="A2708" t="s">
        <v>2714</v>
      </c>
      <c r="B2708" t="s">
        <v>7331</v>
      </c>
      <c r="C2708" t="s">
        <v>9634</v>
      </c>
      <c r="D2708" t="s">
        <v>13898</v>
      </c>
      <c r="E2708" s="2">
        <v>1537</v>
      </c>
      <c r="G2708">
        <f>HYPERLINK("https://www.senat.fr/senateur-3eme-republique/japy_frederic1817r3.html", "japy_frederic1817r3")</f>
        <v>0</v>
      </c>
      <c r="H2708">
        <f>HYPERLINK("https://www.wikidata.org/wiki/Q3089541", "Q3089541")</f>
        <v>0</v>
      </c>
    </row>
    <row r="2709" spans="1:8">
      <c r="A2709" t="s">
        <v>2715</v>
      </c>
      <c r="B2709" t="s">
        <v>7331</v>
      </c>
      <c r="C2709" t="s">
        <v>9512</v>
      </c>
      <c r="D2709" t="s">
        <v>13899</v>
      </c>
      <c r="E2709" s="2">
        <v>13396</v>
      </c>
      <c r="G2709">
        <f>HYPERLINK("https://www.senat.fr/senateur-3eme-republique/japy_gaston0684r3.html", "japy_gaston0684r3")</f>
        <v>0</v>
      </c>
      <c r="H2709">
        <f>HYPERLINK("https://www.wikidata.org/wiki/Q3099037", "Q3099037")</f>
        <v>0</v>
      </c>
    </row>
    <row r="2710" spans="1:8">
      <c r="A2710" t="s">
        <v>2716</v>
      </c>
      <c r="B2710" t="s">
        <v>7332</v>
      </c>
      <c r="C2710" t="s">
        <v>8691</v>
      </c>
      <c r="D2710" t="s">
        <v>13900</v>
      </c>
      <c r="E2710" s="2">
        <v>14733</v>
      </c>
      <c r="F2710">
        <f>HYPERLINK("https://www2.assemblee-nationale.fr/sycomore/fiche/(num_dept)/4001", "4001.0")</f>
        <v>0</v>
      </c>
      <c r="H2710">
        <f>HYPERLINK("https://www.wikidata.org/wiki/Q16025867", "Q16025867")</f>
        <v>0</v>
      </c>
    </row>
    <row r="2711" spans="1:8">
      <c r="A2711" t="s">
        <v>2717</v>
      </c>
      <c r="B2711" t="s">
        <v>7333</v>
      </c>
      <c r="C2711" t="s">
        <v>8691</v>
      </c>
      <c r="D2711" t="s">
        <v>13901</v>
      </c>
      <c r="E2711" s="2">
        <v>16576</v>
      </c>
      <c r="F2711">
        <f>HYPERLINK("https://www2.assemblee-nationale.fr/sycomore/fiche/(num_dept)/4002", "4002.0")</f>
        <v>0</v>
      </c>
      <c r="H2711">
        <f>HYPERLINK("https://www.wikidata.org/wiki/Q3435526", "Q3435526")</f>
        <v>0</v>
      </c>
    </row>
    <row r="2712" spans="1:8">
      <c r="A2712" t="s">
        <v>2718</v>
      </c>
      <c r="B2712" t="s">
        <v>7334</v>
      </c>
      <c r="C2712" t="s">
        <v>9954</v>
      </c>
      <c r="D2712" t="s">
        <v>13902</v>
      </c>
      <c r="E2712" s="2">
        <v>22563</v>
      </c>
      <c r="F2712">
        <f>HYPERLINK("https://www2.assemblee-nationale.fr/sycomore/fiche/(num_dept)/4009", "4009.0")</f>
        <v>0</v>
      </c>
      <c r="H2712">
        <f>HYPERLINK("https://www.wikidata.org/wiki/Q3163678", "Q3163678")</f>
        <v>0</v>
      </c>
    </row>
    <row r="2713" spans="1:8">
      <c r="A2713" t="s">
        <v>2719</v>
      </c>
      <c r="B2713" t="s">
        <v>7335</v>
      </c>
      <c r="C2713" t="s">
        <v>5330</v>
      </c>
      <c r="D2713" t="s">
        <v>13903</v>
      </c>
      <c r="E2713" t="s">
        <v>11464</v>
      </c>
      <c r="G2713">
        <f>HYPERLINK("https://www.senat.fr/senateur-3eme-republique/jaureguiberry_bernard1486r3.html", "jaureguiberry_bernard1486r3")</f>
        <v>0</v>
      </c>
      <c r="H2713">
        <f>HYPERLINK("https://www.wikidata.org/wiki/Q259435", "Q259435")</f>
        <v>0</v>
      </c>
    </row>
    <row r="2714" spans="1:8">
      <c r="A2714" t="s">
        <v>2720</v>
      </c>
      <c r="B2714" t="s">
        <v>7336</v>
      </c>
      <c r="C2714" t="s">
        <v>10542</v>
      </c>
      <c r="D2714" t="s">
        <v>13904</v>
      </c>
      <c r="E2714" t="s">
        <v>16193</v>
      </c>
      <c r="G2714">
        <f>HYPERLINK("https://www.senat.fr/senateur-3eme-republique/jaures_benjamin1487r3.html", "jaures_benjamin1487r3")</f>
        <v>0</v>
      </c>
      <c r="H2714">
        <f>HYPERLINK("https://www.wikidata.org/wiki/Q635996", "Q635996")</f>
        <v>0</v>
      </c>
    </row>
    <row r="2715" spans="1:8">
      <c r="A2715" t="s">
        <v>2721</v>
      </c>
      <c r="B2715" t="s">
        <v>7337</v>
      </c>
      <c r="C2715" t="s">
        <v>10543</v>
      </c>
      <c r="D2715" t="s">
        <v>13905</v>
      </c>
      <c r="E2715" s="2">
        <v>18328</v>
      </c>
      <c r="F2715">
        <f>HYPERLINK("https://www2.assemblee-nationale.fr/sycomore/fiche/(num_dept)/2819", "2819.0")</f>
        <v>0</v>
      </c>
      <c r="H2715">
        <f>HYPERLINK("https://www.wikidata.org/wiki/Q16025667", "Q16025667")</f>
        <v>0</v>
      </c>
    </row>
    <row r="2716" spans="1:8">
      <c r="A2716" t="s">
        <v>2722</v>
      </c>
      <c r="B2716" t="s">
        <v>7338</v>
      </c>
      <c r="C2716" t="s">
        <v>10542</v>
      </c>
      <c r="D2716" t="s">
        <v>13904</v>
      </c>
      <c r="E2716" t="s">
        <v>16193</v>
      </c>
      <c r="H2716">
        <f>HYPERLINK("https://www.wikidata.org/wiki/Q635996", "Q635996")</f>
        <v>0</v>
      </c>
    </row>
    <row r="2717" spans="1:8">
      <c r="A2717" t="s">
        <v>2723</v>
      </c>
      <c r="B2717" t="s">
        <v>7338</v>
      </c>
      <c r="C2717" t="s">
        <v>7342</v>
      </c>
      <c r="D2717" t="s">
        <v>13906</v>
      </c>
      <c r="E2717" s="2">
        <v>5326</v>
      </c>
      <c r="F2717">
        <f>HYPERLINK("https://www2.assemblee-nationale.fr/sycomore/fiche/(num_dept)/4011", "4011.0")</f>
        <v>0</v>
      </c>
      <c r="H2717">
        <f>HYPERLINK("https://www.wikidata.org/wiki/Q12688", "Q12688")</f>
        <v>0</v>
      </c>
    </row>
    <row r="2718" spans="1:8">
      <c r="A2718" t="s">
        <v>2724</v>
      </c>
      <c r="B2718" t="s">
        <v>7338</v>
      </c>
      <c r="C2718" t="s">
        <v>7754</v>
      </c>
      <c r="D2718" t="s">
        <v>13907</v>
      </c>
      <c r="E2718" s="2">
        <v>13818</v>
      </c>
      <c r="F2718">
        <f>HYPERLINK("https://www2.assemblee-nationale.fr/sycomore/fiche/(num_dept)/4012", "4012.0")</f>
        <v>0</v>
      </c>
      <c r="H2718">
        <f>HYPERLINK("https://www.wikidata.org/wiki/Q3262311", "Q3262311")</f>
        <v>0</v>
      </c>
    </row>
    <row r="2719" spans="1:8">
      <c r="A2719" t="s">
        <v>2725</v>
      </c>
      <c r="B2719" t="s">
        <v>7339</v>
      </c>
      <c r="C2719" t="s">
        <v>5330</v>
      </c>
      <c r="D2719" t="s">
        <v>13903</v>
      </c>
      <c r="E2719" t="s">
        <v>11464</v>
      </c>
      <c r="H2719">
        <f>HYPERLINK("https://www.wikidata.org/wiki/Q259435", "Q259435")</f>
        <v>0</v>
      </c>
    </row>
    <row r="2720" spans="1:8">
      <c r="A2720" t="s">
        <v>2726</v>
      </c>
      <c r="B2720" t="s">
        <v>7340</v>
      </c>
      <c r="C2720" t="s">
        <v>10544</v>
      </c>
      <c r="D2720" t="s">
        <v>13908</v>
      </c>
      <c r="E2720" s="2">
        <v>2577</v>
      </c>
      <c r="F2720">
        <f>HYPERLINK("https://www2.assemblee-nationale.fr/sycomore/fiche/(num_dept)/4013", "4013.0")</f>
        <v>0</v>
      </c>
      <c r="H2720">
        <f>HYPERLINK("https://www.wikidata.org/wiki/Q286028", "Q286028")</f>
        <v>0</v>
      </c>
    </row>
    <row r="2721" spans="1:8">
      <c r="A2721" t="s">
        <v>2727</v>
      </c>
      <c r="B2721" t="s">
        <v>7340</v>
      </c>
      <c r="C2721" t="s">
        <v>10545</v>
      </c>
      <c r="D2721" t="s">
        <v>13909</v>
      </c>
      <c r="E2721" s="2">
        <v>5719</v>
      </c>
      <c r="F2721">
        <f>HYPERLINK("https://www2.assemblee-nationale.fr/sycomore/fiche/(num_dept)/4014", "4014.0")</f>
        <v>0</v>
      </c>
      <c r="H2721">
        <f>HYPERLINK("https://www.wikidata.org/wiki/Q3172806", "Q3172806")</f>
        <v>0</v>
      </c>
    </row>
    <row r="2722" spans="1:8">
      <c r="A2722" t="s">
        <v>2728</v>
      </c>
      <c r="B2722" t="s">
        <v>7341</v>
      </c>
      <c r="C2722" t="s">
        <v>5117</v>
      </c>
      <c r="D2722" t="s">
        <v>13046</v>
      </c>
      <c r="E2722" s="2">
        <v>14145</v>
      </c>
      <c r="F2722">
        <f>HYPERLINK("https://www2.assemblee-nationale.fr/sycomore/fiche/(num_dept)/4020", "4020.0")</f>
        <v>0</v>
      </c>
      <c r="H2722">
        <f>HYPERLINK("https://www.wikidata.org/wiki/Q4792670", "Q4792670")</f>
        <v>0</v>
      </c>
    </row>
    <row r="2723" spans="1:8">
      <c r="A2723" t="s">
        <v>2729</v>
      </c>
      <c r="B2723" t="s">
        <v>7342</v>
      </c>
      <c r="C2723" t="s">
        <v>9743</v>
      </c>
      <c r="D2723" t="s">
        <v>13910</v>
      </c>
      <c r="E2723" s="2">
        <v>15388</v>
      </c>
      <c r="F2723">
        <f>HYPERLINK("https://www2.assemblee-nationale.fr/sycomore/fiche/(num_dept)/4015", "4015.0")</f>
        <v>0</v>
      </c>
      <c r="H2723">
        <f>HYPERLINK("https://www.wikidata.org/wiki/Q3169422", "Q3169422")</f>
        <v>0</v>
      </c>
    </row>
    <row r="2724" spans="1:8">
      <c r="A2724" t="s">
        <v>2730</v>
      </c>
      <c r="B2724" t="s">
        <v>7342</v>
      </c>
      <c r="C2724" t="s">
        <v>9438</v>
      </c>
      <c r="D2724" t="s">
        <v>13911</v>
      </c>
      <c r="E2724" s="2">
        <v>19437</v>
      </c>
      <c r="F2724">
        <f>HYPERLINK("https://www2.assemblee-nationale.fr/sycomore/fiche/(num_dept)/4018", "4018.0")</f>
        <v>0</v>
      </c>
      <c r="H2724">
        <f>HYPERLINK("https://www.wikidata.org/wiki/Q2522404", "Q2522404")</f>
        <v>0</v>
      </c>
    </row>
    <row r="2725" spans="1:8">
      <c r="A2725" t="s">
        <v>2731</v>
      </c>
      <c r="B2725" t="s">
        <v>7342</v>
      </c>
      <c r="C2725" t="s">
        <v>10546</v>
      </c>
      <c r="D2725" t="s">
        <v>13912</v>
      </c>
      <c r="E2725" s="2">
        <v>22432</v>
      </c>
      <c r="F2725">
        <f>HYPERLINK("https://www2.assemblee-nationale.fr/sycomore/fiche/(num_dept)/4017", "4017.0")</f>
        <v>0</v>
      </c>
      <c r="H2725">
        <f>HYPERLINK("https://www.wikidata.org/wiki/Q3424912", "Q3424912")</f>
        <v>0</v>
      </c>
    </row>
    <row r="2726" spans="1:8">
      <c r="A2726" t="s">
        <v>2732</v>
      </c>
      <c r="B2726" t="s">
        <v>7343</v>
      </c>
      <c r="C2726" t="s">
        <v>10547</v>
      </c>
      <c r="D2726" t="s">
        <v>13913</v>
      </c>
      <c r="E2726" s="2">
        <v>20937</v>
      </c>
      <c r="F2726">
        <f>HYPERLINK("https://www2.assemblee-nationale.fr/sycomore/fiche/(num_dept)/4024", "4024.0")</f>
        <v>0</v>
      </c>
      <c r="G2726">
        <f>HYPERLINK("https://www.senat.fr/senateur-3eme-republique/jeanneney_jules1206r3.html", "jeanneney_jules1206r3")</f>
        <v>0</v>
      </c>
      <c r="H2726">
        <f>HYPERLINK("https://www.wikidata.org/wiki/Q3188688", "Q3188688")</f>
        <v>0</v>
      </c>
    </row>
    <row r="2727" spans="1:8">
      <c r="A2727" t="s">
        <v>2733</v>
      </c>
      <c r="B2727" t="s">
        <v>7344</v>
      </c>
      <c r="C2727" t="s">
        <v>7942</v>
      </c>
      <c r="D2727" t="s">
        <v>13914</v>
      </c>
      <c r="E2727" s="2">
        <v>19407</v>
      </c>
      <c r="F2727">
        <f>HYPERLINK("https://www2.assemblee-nationale.fr/sycomore/fiche/(num_dept)/4025", "4025.0")</f>
        <v>0</v>
      </c>
      <c r="H2727">
        <f>HYPERLINK("https://www.wikidata.org/wiki/Q8336088", "Q8336088")</f>
        <v>0</v>
      </c>
    </row>
    <row r="2728" spans="1:8">
      <c r="A2728" t="s">
        <v>2734</v>
      </c>
      <c r="B2728" t="s">
        <v>7345</v>
      </c>
      <c r="C2728" t="s">
        <v>9429</v>
      </c>
      <c r="D2728" t="s">
        <v>13838</v>
      </c>
      <c r="E2728" s="2">
        <v>4054</v>
      </c>
      <c r="F2728">
        <f>HYPERLINK("https://www2.assemblee-nationale.fr/sycomore/fiche/(num_dept)/4029", "4029.0")</f>
        <v>0</v>
      </c>
      <c r="H2728">
        <f>HYPERLINK("https://www.wikidata.org/wiki/Q16025870", "Q16025870")</f>
        <v>0</v>
      </c>
    </row>
    <row r="2729" spans="1:8">
      <c r="A2729" t="s">
        <v>2735</v>
      </c>
      <c r="B2729" t="s">
        <v>7346</v>
      </c>
      <c r="C2729" t="s">
        <v>7782</v>
      </c>
      <c r="D2729" t="s">
        <v>13915</v>
      </c>
      <c r="E2729" s="2">
        <v>11994</v>
      </c>
      <c r="G2729">
        <f>HYPERLINK("https://www.senat.fr/senateur-3eme-republique/jenouvrier_leon0560r3.html", "jenouvrier_leon0560r3")</f>
        <v>0</v>
      </c>
      <c r="H2729">
        <f>HYPERLINK("https://www.wikidata.org/wiki/Q3271082", "Q3271082")</f>
        <v>0</v>
      </c>
    </row>
    <row r="2730" spans="1:8">
      <c r="A2730" t="s">
        <v>2736</v>
      </c>
      <c r="B2730" t="s">
        <v>7347</v>
      </c>
      <c r="C2730" t="s">
        <v>7754</v>
      </c>
      <c r="D2730" t="s">
        <v>13916</v>
      </c>
      <c r="E2730" s="2">
        <v>2719</v>
      </c>
      <c r="G2730">
        <f>HYPERLINK("https://www.senat.fr/senateur-3eme-republique/jobard_louis1175r3.html", "jobard_louis1175r3")</f>
        <v>0</v>
      </c>
      <c r="H2730">
        <f>HYPERLINK("https://www.wikidata.org/wiki/Q3262327", "Q3262327")</f>
        <v>0</v>
      </c>
    </row>
    <row r="2731" spans="1:8">
      <c r="A2731" t="s">
        <v>2737</v>
      </c>
      <c r="B2731" t="s">
        <v>7348</v>
      </c>
      <c r="C2731" t="s">
        <v>9746</v>
      </c>
      <c r="D2731" t="s">
        <v>13917</v>
      </c>
      <c r="E2731" s="2">
        <v>15451</v>
      </c>
      <c r="F2731">
        <f>HYPERLINK("https://www2.assemblee-nationale.fr/sycomore/fiche/(num_dept)/4033", "4033.0")</f>
        <v>0</v>
      </c>
      <c r="H2731">
        <f>HYPERLINK("https://www.wikidata.org/wiki/Q16025872", "Q16025872")</f>
        <v>0</v>
      </c>
    </row>
    <row r="2732" spans="1:8">
      <c r="A2732" t="s">
        <v>2738</v>
      </c>
      <c r="B2732" t="s">
        <v>7349</v>
      </c>
      <c r="C2732" t="s">
        <v>10548</v>
      </c>
      <c r="D2732" t="s">
        <v>13918</v>
      </c>
      <c r="E2732" s="2">
        <v>11471</v>
      </c>
      <c r="F2732">
        <f>HYPERLINK("https://www2.assemblee-nationale.fr/sycomore/fiche/(num_dept)/4034", "4034.0")</f>
        <v>0</v>
      </c>
      <c r="H2732">
        <f>HYPERLINK("https://www.wikidata.org/wiki/Q3131341", "Q3131341")</f>
        <v>0</v>
      </c>
    </row>
    <row r="2733" spans="1:8">
      <c r="A2733" t="s">
        <v>2739</v>
      </c>
      <c r="B2733" t="s">
        <v>7350</v>
      </c>
      <c r="C2733" t="s">
        <v>9471</v>
      </c>
      <c r="D2733" t="s">
        <v>13919</v>
      </c>
      <c r="E2733" t="s">
        <v>16194</v>
      </c>
      <c r="F2733">
        <f>HYPERLINK("https://www2.assemblee-nationale.fr/sycomore/fiche/(num_dept)/4035", "4035.0")</f>
        <v>0</v>
      </c>
      <c r="H2733">
        <f>HYPERLINK("https://www.wikidata.org/wiki/Q3188690", "Q3188690")</f>
        <v>0</v>
      </c>
    </row>
    <row r="2734" spans="1:8">
      <c r="A2734" t="s">
        <v>2740</v>
      </c>
      <c r="B2734" t="s">
        <v>7351</v>
      </c>
      <c r="C2734" t="s">
        <v>8384</v>
      </c>
      <c r="D2734" t="s">
        <v>13920</v>
      </c>
      <c r="E2734" t="s">
        <v>16195</v>
      </c>
      <c r="F2734">
        <f>HYPERLINK("https://www2.assemblee-nationale.fr/sycomore/fiche/(num_dept)/4036", "4036.0")</f>
        <v>0</v>
      </c>
      <c r="G2734">
        <f>HYPERLINK("https://www.senat.fr/senateur-3eme-republique/joigneaux_pierre0546r3.html", "joigneaux_pierre0546r3")</f>
        <v>0</v>
      </c>
      <c r="H2734">
        <f>HYPERLINK("https://www.wikidata.org/wiki/Q3385603", "Q3385603")</f>
        <v>0</v>
      </c>
    </row>
    <row r="2735" spans="1:8">
      <c r="A2735" t="s">
        <v>2741</v>
      </c>
      <c r="B2735" t="s">
        <v>7352</v>
      </c>
      <c r="C2735" t="s">
        <v>5096</v>
      </c>
      <c r="D2735" t="s">
        <v>13921</v>
      </c>
      <c r="E2735" s="2">
        <v>24474</v>
      </c>
      <c r="F2735">
        <f>HYPERLINK("https://www2.assemblee-nationale.fr/sycomore/fiche/(num_dept)/4038", "4038.0")</f>
        <v>0</v>
      </c>
      <c r="G2735">
        <f>HYPERLINK("https://www.senat.fr/senateur-3eme-republique/join_lambert_andre0759r3.html", "join_lambert_andre0759r3")</f>
        <v>0</v>
      </c>
      <c r="H2735">
        <f>HYPERLINK("https://www.wikidata.org/wiki/Q2847994", "Q2847994")</f>
        <v>0</v>
      </c>
    </row>
    <row r="2736" spans="1:8">
      <c r="A2736" t="s">
        <v>2742</v>
      </c>
      <c r="B2736" t="s">
        <v>7353</v>
      </c>
      <c r="C2736" t="s">
        <v>9368</v>
      </c>
      <c r="D2736" t="s">
        <v>13922</v>
      </c>
      <c r="E2736" t="s">
        <v>16196</v>
      </c>
      <c r="F2736">
        <f>HYPERLINK("https://www2.assemblee-nationale.fr/sycomore/fiche/(num_dept)/4039", "4039.0")</f>
        <v>0</v>
      </c>
      <c r="H2736">
        <f>HYPERLINK("https://www.wikidata.org/wiki/Q15971837", "Q15971837")</f>
        <v>0</v>
      </c>
    </row>
    <row r="2737" spans="1:8">
      <c r="A2737" t="s">
        <v>2743</v>
      </c>
      <c r="B2737" t="s">
        <v>7354</v>
      </c>
      <c r="C2737" t="s">
        <v>10549</v>
      </c>
      <c r="D2737" t="s">
        <v>13923</v>
      </c>
      <c r="E2737" s="2">
        <v>20531</v>
      </c>
      <c r="H2737">
        <f>HYPERLINK("https://www.wikidata.org/wiki/Q7504", "Q7504")</f>
        <v>0</v>
      </c>
    </row>
    <row r="2738" spans="1:8">
      <c r="A2738" t="s">
        <v>2744</v>
      </c>
      <c r="B2738" t="s">
        <v>7355</v>
      </c>
      <c r="C2738" t="s">
        <v>10550</v>
      </c>
      <c r="D2738" t="s">
        <v>13924</v>
      </c>
      <c r="E2738" s="2">
        <v>13008</v>
      </c>
      <c r="F2738">
        <f>HYPERLINK("https://www2.assemblee-nationale.fr/sycomore/fiche/(num_dept)/4042", "4042.0")</f>
        <v>0</v>
      </c>
      <c r="H2738">
        <f>HYPERLINK("https://www.wikidata.org/wiki/Q16011416", "Q16011416")</f>
        <v>0</v>
      </c>
    </row>
    <row r="2739" spans="1:8">
      <c r="A2739" t="s">
        <v>2745</v>
      </c>
      <c r="B2739" t="s">
        <v>7356</v>
      </c>
      <c r="C2739" t="s">
        <v>9355</v>
      </c>
      <c r="D2739" t="s">
        <v>13925</v>
      </c>
      <c r="E2739" s="2">
        <v>4887</v>
      </c>
      <c r="F2739">
        <f>HYPERLINK("https://www2.assemblee-nationale.fr/sycomore/fiche/(num_dept)/7970", "7970.0")</f>
        <v>0</v>
      </c>
      <c r="H2739">
        <f>HYPERLINK("https://www.wikidata.org/wiki/Q8342589", "Q8342589")</f>
        <v>0</v>
      </c>
    </row>
    <row r="2740" spans="1:8">
      <c r="A2740" t="s">
        <v>2746</v>
      </c>
      <c r="B2740" t="s">
        <v>7357</v>
      </c>
      <c r="C2740" t="s">
        <v>9337</v>
      </c>
      <c r="D2740" t="s">
        <v>13926</v>
      </c>
      <c r="E2740" s="2">
        <v>10135</v>
      </c>
      <c r="F2740">
        <f>HYPERLINK("https://www2.assemblee-nationale.fr/sycomore/fiche/(num_dept)/4047", "4047.0")</f>
        <v>0</v>
      </c>
      <c r="G2740">
        <f>HYPERLINK("https://www.senat.fr/senateur-3eme-republique/jonnart_celestin0975r3.html", "jonnart_celestin0975r3")</f>
        <v>0</v>
      </c>
      <c r="H2740">
        <f>HYPERLINK("https://www.wikidata.org/wiki/Q212634", "Q212634")</f>
        <v>0</v>
      </c>
    </row>
    <row r="2741" spans="1:8">
      <c r="A2741" t="s">
        <v>2747</v>
      </c>
      <c r="B2741" t="s">
        <v>7358</v>
      </c>
      <c r="C2741" t="s">
        <v>10551</v>
      </c>
      <c r="D2741" t="s">
        <v>13927</v>
      </c>
      <c r="E2741" s="2">
        <v>19565</v>
      </c>
      <c r="F2741">
        <f>HYPERLINK("https://www2.assemblee-nationale.fr/sycomore/fiche/(num_dept)/4053", "4053.0")</f>
        <v>0</v>
      </c>
      <c r="G2741">
        <f>HYPERLINK("https://www.senat.fr/senateur-3eme-republique/josse_prosper0745r3.html", "josse_prosper0745r3")</f>
        <v>0</v>
      </c>
      <c r="H2741">
        <f>HYPERLINK("https://www.wikidata.org/wiki/Q3407787", "Q3407787")</f>
        <v>0</v>
      </c>
    </row>
    <row r="2742" spans="1:8">
      <c r="A2742" t="s">
        <v>2748</v>
      </c>
      <c r="B2742" t="s">
        <v>7359</v>
      </c>
      <c r="C2742" t="s">
        <v>8384</v>
      </c>
      <c r="D2742" t="s">
        <v>13928</v>
      </c>
      <c r="E2742" s="2">
        <v>15097</v>
      </c>
      <c r="G2742">
        <f>HYPERLINK("https://www.senat.fr/senateur-3eme-republique/jossot_pierre0554r3.html", "jossot_pierre0554r3")</f>
        <v>0</v>
      </c>
      <c r="H2742">
        <f>HYPERLINK("https://www.wikidata.org/wiki/Q3385628", "Q3385628")</f>
        <v>0</v>
      </c>
    </row>
    <row r="2743" spans="1:8">
      <c r="A2743" t="s">
        <v>2749</v>
      </c>
      <c r="B2743" t="s">
        <v>7360</v>
      </c>
      <c r="C2743" t="s">
        <v>10552</v>
      </c>
      <c r="D2743" t="s">
        <v>13929</v>
      </c>
      <c r="E2743" s="2">
        <v>6015</v>
      </c>
      <c r="F2743">
        <f>HYPERLINK("https://www2.assemblee-nationale.fr/sycomore/fiche/(num_dept)/4055", "4055.0")</f>
        <v>0</v>
      </c>
      <c r="H2743">
        <f>HYPERLINK("https://www.wikidata.org/wiki/Q16025876", "Q16025876")</f>
        <v>0</v>
      </c>
    </row>
    <row r="2744" spans="1:8">
      <c r="A2744" t="s">
        <v>2750</v>
      </c>
      <c r="B2744" t="s">
        <v>7361</v>
      </c>
      <c r="C2744" t="s">
        <v>9355</v>
      </c>
      <c r="D2744" t="s">
        <v>13930</v>
      </c>
      <c r="E2744" s="2">
        <v>6570</v>
      </c>
      <c r="F2744">
        <f>HYPERLINK("https://www2.assemblee-nationale.fr/sycomore/fiche/(num_dept)/4056", "4056.0")</f>
        <v>0</v>
      </c>
      <c r="H2744">
        <f>HYPERLINK("https://www.wikidata.org/wiki/Q16025877", "Q16025877")</f>
        <v>0</v>
      </c>
    </row>
    <row r="2745" spans="1:8">
      <c r="A2745" t="s">
        <v>2751</v>
      </c>
      <c r="B2745" t="s">
        <v>7362</v>
      </c>
      <c r="C2745" t="s">
        <v>10026</v>
      </c>
      <c r="D2745" t="s">
        <v>13931</v>
      </c>
      <c r="E2745" t="s">
        <v>16197</v>
      </c>
      <c r="G2745">
        <f>HYPERLINK("https://www.senat.fr/senateur-3eme-republique/joubert_bonnaire_achille1156r3.html", "joubert_bonnaire_achille1156r3")</f>
        <v>0</v>
      </c>
      <c r="H2745">
        <f>HYPERLINK("https://www.wikidata.org/wiki/Q2823030", "Q2823030")</f>
        <v>0</v>
      </c>
    </row>
    <row r="2746" spans="1:8">
      <c r="A2746" t="s">
        <v>2752</v>
      </c>
      <c r="B2746" t="s">
        <v>7363</v>
      </c>
      <c r="C2746" t="s">
        <v>9332</v>
      </c>
      <c r="D2746" t="s">
        <v>13932</v>
      </c>
      <c r="E2746" s="2">
        <v>15184</v>
      </c>
      <c r="F2746">
        <f>HYPERLINK("https://www2.assemblee-nationale.fr/sycomore/fiche/(num_dept)/4060", "4060.0")</f>
        <v>0</v>
      </c>
      <c r="H2746">
        <f>HYPERLINK("https://www.wikidata.org/wiki/Q8345356", "Q8345356")</f>
        <v>0</v>
      </c>
    </row>
    <row r="2747" spans="1:8">
      <c r="A2747" t="s">
        <v>2753</v>
      </c>
      <c r="B2747" t="s">
        <v>7364</v>
      </c>
      <c r="C2747" t="s">
        <v>7782</v>
      </c>
      <c r="D2747" t="s">
        <v>13933</v>
      </c>
      <c r="E2747" t="s">
        <v>16189</v>
      </c>
      <c r="F2747">
        <f>HYPERLINK("https://www2.assemblee-nationale.fr/sycomore/fiche/(num_dept)/8147", "8147.0")</f>
        <v>0</v>
      </c>
      <c r="H2747">
        <f>HYPERLINK("https://www.wikidata.org/wiki/Q3271087", "Q3271087")</f>
        <v>0</v>
      </c>
    </row>
    <row r="2748" spans="1:8">
      <c r="A2748" t="s">
        <v>2754</v>
      </c>
      <c r="B2748" t="s">
        <v>7364</v>
      </c>
      <c r="C2748" t="s">
        <v>7782</v>
      </c>
      <c r="D2748" t="s">
        <v>13934</v>
      </c>
      <c r="E2748" s="2">
        <v>658</v>
      </c>
      <c r="F2748">
        <f>HYPERLINK("https://www2.assemblee-nationale.fr/sycomore/fiche/(num_dept)/4059", "4059.0")</f>
        <v>0</v>
      </c>
      <c r="H2748">
        <f>HYPERLINK("https://www.wikidata.org/wiki/Q3271088", "Q3271088")</f>
        <v>0</v>
      </c>
    </row>
    <row r="2749" spans="1:8">
      <c r="A2749" t="s">
        <v>2755</v>
      </c>
      <c r="B2749" t="s">
        <v>7365</v>
      </c>
      <c r="C2749" t="s">
        <v>9352</v>
      </c>
      <c r="D2749" t="s">
        <v>13935</v>
      </c>
      <c r="E2749" s="2">
        <v>2157</v>
      </c>
      <c r="F2749">
        <f>HYPERLINK("https://www2.assemblee-nationale.fr/sycomore/fiche/(num_dept)/7971", "7971.0")</f>
        <v>0</v>
      </c>
      <c r="G2749">
        <f>HYPERLINK("https://www.senat.fr/senateur-3eme-republique/jouffrault_camille1624r3.html", "jouffrault_camille1624r3")</f>
        <v>0</v>
      </c>
      <c r="H2749">
        <f>HYPERLINK("https://www.wikidata.org/wiki/Q2934967", "Q2934967")</f>
        <v>0</v>
      </c>
    </row>
    <row r="2750" spans="1:8">
      <c r="A2750" t="s">
        <v>2756</v>
      </c>
      <c r="B2750" t="s">
        <v>7365</v>
      </c>
      <c r="C2750" t="s">
        <v>5096</v>
      </c>
      <c r="D2750" t="s">
        <v>13936</v>
      </c>
      <c r="E2750" s="2">
        <v>27742</v>
      </c>
      <c r="F2750">
        <f>HYPERLINK("https://www2.assemblee-nationale.fr/sycomore/fiche/(num_dept)/4061", "4061.0")</f>
        <v>0</v>
      </c>
      <c r="H2750">
        <f>HYPERLINK("https://www.wikidata.org/wiki/Q2848010", "Q2848010")</f>
        <v>0</v>
      </c>
    </row>
    <row r="2751" spans="1:8">
      <c r="A2751" t="s">
        <v>2757</v>
      </c>
      <c r="B2751" t="s">
        <v>7366</v>
      </c>
      <c r="C2751" t="s">
        <v>9352</v>
      </c>
      <c r="D2751" t="s">
        <v>13937</v>
      </c>
      <c r="E2751" s="2">
        <v>8890</v>
      </c>
      <c r="F2751">
        <f>HYPERLINK("https://www2.assemblee-nationale.fr/sycomore/fiche/(num_dept)/4062", "4062.0")</f>
        <v>0</v>
      </c>
      <c r="G2751">
        <f>HYPERLINK("https://www.senat.fr/senateur-3eme-republique/jouffray_camille1192r3.html", "jouffray_camille1192r3")</f>
        <v>0</v>
      </c>
      <c r="H2751">
        <f>HYPERLINK("https://www.wikidata.org/wiki/Q2934968", "Q2934968")</f>
        <v>0</v>
      </c>
    </row>
    <row r="2752" spans="1:8">
      <c r="A2752" t="s">
        <v>2758</v>
      </c>
      <c r="B2752" t="s">
        <v>7367</v>
      </c>
      <c r="C2752" t="s">
        <v>9533</v>
      </c>
      <c r="D2752" t="s">
        <v>13938</v>
      </c>
      <c r="E2752" s="2">
        <v>18127</v>
      </c>
      <c r="F2752">
        <f>HYPERLINK("https://www2.assemblee-nationale.fr/sycomore/fiche/(num_dept)/4066", "4066.0")</f>
        <v>0</v>
      </c>
      <c r="H2752">
        <f>HYPERLINK("https://www.wikidata.org/wiki/Q16025878", "Q16025878")</f>
        <v>0</v>
      </c>
    </row>
    <row r="2753" spans="1:8">
      <c r="A2753" t="s">
        <v>2759</v>
      </c>
      <c r="B2753" t="s">
        <v>7368</v>
      </c>
      <c r="C2753" t="s">
        <v>8384</v>
      </c>
      <c r="D2753" t="s">
        <v>13939</v>
      </c>
      <c r="E2753" t="s">
        <v>16198</v>
      </c>
      <c r="G2753">
        <f>HYPERLINK("https://www.senat.fr/senateur-3eme-republique/jouin_pierre0526r3.html", "jouin_pierre0526r3")</f>
        <v>0</v>
      </c>
      <c r="H2753">
        <f>HYPERLINK("https://www.wikidata.org/wiki/Q3385632", "Q3385632")</f>
        <v>0</v>
      </c>
    </row>
    <row r="2754" spans="1:8">
      <c r="A2754" t="s">
        <v>2760</v>
      </c>
      <c r="B2754" t="s">
        <v>7369</v>
      </c>
      <c r="C2754" t="s">
        <v>6006</v>
      </c>
      <c r="D2754" t="s">
        <v>13940</v>
      </c>
      <c r="E2754" s="2">
        <v>19859</v>
      </c>
      <c r="G2754">
        <f>HYPERLINK("https://www.senat.fr/senateur-3eme-republique/jouis_constant0966r3.html", "jouis_constant0966r3")</f>
        <v>0</v>
      </c>
      <c r="H2754">
        <f>HYPERLINK("https://www.wikidata.org/wiki/Q2994860", "Q2994860")</f>
        <v>0</v>
      </c>
    </row>
    <row r="2755" spans="1:8">
      <c r="A2755" t="s">
        <v>2761</v>
      </c>
      <c r="B2755" t="s">
        <v>7370</v>
      </c>
      <c r="C2755" t="s">
        <v>10553</v>
      </c>
      <c r="D2755" t="s">
        <v>13941</v>
      </c>
      <c r="F2755">
        <f>HYPERLINK("https://www2.assemblee-nationale.fr/sycomore/fiche/(num_dept)/4068", "4068.0")</f>
        <v>0</v>
      </c>
      <c r="H2755">
        <f>HYPERLINK("https://www.wikidata.org/wiki/Q16025879", "Q16025879")</f>
        <v>0</v>
      </c>
    </row>
    <row r="2756" spans="1:8">
      <c r="A2756" t="s">
        <v>2762</v>
      </c>
      <c r="B2756" t="s">
        <v>7370</v>
      </c>
      <c r="C2756" t="s">
        <v>10554</v>
      </c>
      <c r="D2756" t="s">
        <v>13942</v>
      </c>
      <c r="E2756" s="2">
        <v>17617</v>
      </c>
      <c r="F2756">
        <f>HYPERLINK("https://www2.assemblee-nationale.fr/sycomore/fiche/(num_dept)/4069", "4069.0")</f>
        <v>0</v>
      </c>
      <c r="G2756">
        <f>HYPERLINK("https://www.senat.fr/senateur-3eme-republique/jourdain_paul1113r3.html", "jourdain_paul1113r3")</f>
        <v>0</v>
      </c>
      <c r="H2756">
        <f>HYPERLINK("https://www.wikidata.org/wiki/Q3371547", "Q3371547")</f>
        <v>0</v>
      </c>
    </row>
    <row r="2757" spans="1:8">
      <c r="A2757" t="s">
        <v>2763</v>
      </c>
      <c r="B2757" t="s">
        <v>7371</v>
      </c>
      <c r="C2757" t="s">
        <v>7754</v>
      </c>
      <c r="D2757" t="s">
        <v>13943</v>
      </c>
      <c r="E2757" s="2">
        <v>11781</v>
      </c>
      <c r="F2757">
        <f>HYPERLINK("https://www2.assemblee-nationale.fr/sycomore/fiche/(num_dept)/4072", "4072.0")</f>
        <v>0</v>
      </c>
      <c r="H2757">
        <f>HYPERLINK("https://www.wikidata.org/wiki/Q3262379", "Q3262379")</f>
        <v>0</v>
      </c>
    </row>
    <row r="2758" spans="1:8">
      <c r="A2758" t="s">
        <v>2764</v>
      </c>
      <c r="B2758" t="s">
        <v>7371</v>
      </c>
      <c r="C2758" t="s">
        <v>9373</v>
      </c>
      <c r="D2758" t="s">
        <v>13944</v>
      </c>
      <c r="E2758" s="2">
        <v>12467</v>
      </c>
      <c r="F2758">
        <f>HYPERLINK("https://www2.assemblee-nationale.fr/sycomore/fiche/(num_dept)/4071", "4071.0")</f>
        <v>0</v>
      </c>
      <c r="H2758">
        <f>HYPERLINK("https://www.wikidata.org/wiki/Q8301305", "Q8301305")</f>
        <v>0</v>
      </c>
    </row>
    <row r="2759" spans="1:8">
      <c r="A2759" t="s">
        <v>2765</v>
      </c>
      <c r="B2759" t="s">
        <v>7372</v>
      </c>
      <c r="C2759" t="s">
        <v>9533</v>
      </c>
      <c r="D2759" t="s">
        <v>12390</v>
      </c>
      <c r="E2759" s="2">
        <v>8431</v>
      </c>
      <c r="F2759">
        <f>HYPERLINK("https://www2.assemblee-nationale.fr/sycomore/fiche/(num_dept)/4073", "4073.0")</f>
        <v>0</v>
      </c>
      <c r="H2759">
        <f>HYPERLINK("https://www.wikidata.org/wiki/Q16025881", "Q16025881")</f>
        <v>0</v>
      </c>
    </row>
    <row r="2760" spans="1:8">
      <c r="A2760" t="s">
        <v>2766</v>
      </c>
      <c r="B2760" t="s">
        <v>7373</v>
      </c>
      <c r="C2760" t="s">
        <v>10555</v>
      </c>
      <c r="D2760" t="s">
        <v>13945</v>
      </c>
      <c r="E2760" t="s">
        <v>16199</v>
      </c>
      <c r="F2760">
        <f>HYPERLINK("https://www2.assemblee-nationale.fr/sycomore/fiche/(num_dept)/8266", "8266.0")</f>
        <v>0</v>
      </c>
      <c r="G2760">
        <f>HYPERLINK("https://www.senat.fr/senateur-3eme-republique/journault_louis1660r3.html", "journault_louis1660r3")</f>
        <v>0</v>
      </c>
      <c r="H2760">
        <f>HYPERLINK("https://www.wikidata.org/wiki/Q3262381", "Q3262381")</f>
        <v>0</v>
      </c>
    </row>
    <row r="2761" spans="1:8">
      <c r="A2761" t="s">
        <v>2767</v>
      </c>
      <c r="B2761" t="s">
        <v>7374</v>
      </c>
      <c r="C2761" t="s">
        <v>10556</v>
      </c>
      <c r="D2761" t="s">
        <v>13946</v>
      </c>
      <c r="E2761" s="2">
        <v>15409</v>
      </c>
      <c r="F2761">
        <f>HYPERLINK("https://www2.assemblee-nationale.fr/sycomore/fiche/(num_dept)/4076", "4076.0")</f>
        <v>0</v>
      </c>
      <c r="H2761">
        <f>HYPERLINK("https://www.wikidata.org/wiki/Q2861882", "Q2861882")</f>
        <v>0</v>
      </c>
    </row>
    <row r="2762" spans="1:8">
      <c r="A2762" t="s">
        <v>2768</v>
      </c>
      <c r="B2762" t="s">
        <v>7375</v>
      </c>
      <c r="C2762" t="s">
        <v>10557</v>
      </c>
      <c r="D2762" t="s">
        <v>13947</v>
      </c>
      <c r="E2762" t="s">
        <v>15922</v>
      </c>
      <c r="F2762">
        <f>HYPERLINK("https://www2.assemblee-nationale.fr/sycomore/fiche/(num_dept)/8158", "8158.0")</f>
        <v>0</v>
      </c>
      <c r="H2762">
        <f>HYPERLINK("https://www.wikidata.org/wiki/Q16025882", "Q16025882")</f>
        <v>0</v>
      </c>
    </row>
    <row r="2763" spans="1:8">
      <c r="A2763" t="s">
        <v>2769</v>
      </c>
      <c r="B2763" t="s">
        <v>7376</v>
      </c>
      <c r="C2763" t="s">
        <v>10558</v>
      </c>
      <c r="D2763" t="s">
        <v>13948</v>
      </c>
      <c r="E2763" t="s">
        <v>16200</v>
      </c>
      <c r="F2763">
        <f>HYPERLINK("https://www2.assemblee-nationale.fr/sycomore/fiche/(num_dept)/7972", "7972.0")</f>
        <v>0</v>
      </c>
      <c r="H2763">
        <f>HYPERLINK("https://www.wikidata.org/wiki/Q8344043", "Q8344043")</f>
        <v>0</v>
      </c>
    </row>
    <row r="2764" spans="1:8">
      <c r="A2764" t="s">
        <v>2770</v>
      </c>
      <c r="B2764" t="s">
        <v>7377</v>
      </c>
      <c r="C2764" t="s">
        <v>9324</v>
      </c>
      <c r="D2764" t="s">
        <v>13949</v>
      </c>
      <c r="E2764" s="2">
        <v>13061</v>
      </c>
      <c r="G2764">
        <f>HYPERLINK("https://www.senat.fr/senateur-3eme-republique/jouvenel_des_ursins_henri0468r3.html", "jouvenel_des_ursins_henri0468r3")</f>
        <v>0</v>
      </c>
      <c r="H2764">
        <f>HYPERLINK("https://www.wikidata.org/wiki/Q3133192", "Q3133192")</f>
        <v>0</v>
      </c>
    </row>
    <row r="2765" spans="1:8">
      <c r="A2765" t="s">
        <v>2771</v>
      </c>
      <c r="B2765" t="s">
        <v>7378</v>
      </c>
      <c r="C2765" t="s">
        <v>10559</v>
      </c>
      <c r="D2765" t="s">
        <v>13950</v>
      </c>
      <c r="E2765" s="2">
        <v>20025</v>
      </c>
      <c r="F2765">
        <f>HYPERLINK("https://www2.assemblee-nationale.fr/sycomore/fiche/(num_dept)/4079", "4079.0")</f>
        <v>0</v>
      </c>
      <c r="G2765">
        <f>HYPERLINK("https://www.senat.fr/senateur-3eme-republique/jovelet_anatole1661r3.html", "jovelet_anatole1661r3")</f>
        <v>0</v>
      </c>
      <c r="H2765">
        <f>HYPERLINK("https://www.wikidata.org/wiki/Q2845585", "Q2845585")</f>
        <v>0</v>
      </c>
    </row>
    <row r="2766" spans="1:8">
      <c r="A2766" t="s">
        <v>2772</v>
      </c>
      <c r="B2766" t="s">
        <v>7379</v>
      </c>
      <c r="C2766" t="s">
        <v>7342</v>
      </c>
      <c r="D2766" t="s">
        <v>13951</v>
      </c>
      <c r="E2766" s="2">
        <v>6202</v>
      </c>
      <c r="F2766">
        <f>HYPERLINK("https://www2.assemblee-nationale.fr/sycomore/fiche/(num_dept)/4080", "4080.0")</f>
        <v>0</v>
      </c>
      <c r="H2766">
        <f>HYPERLINK("https://www.wikidata.org/wiki/Q3172852", "Q3172852")</f>
        <v>0</v>
      </c>
    </row>
    <row r="2767" spans="1:8">
      <c r="A2767" t="s">
        <v>2773</v>
      </c>
      <c r="B2767" t="s">
        <v>7380</v>
      </c>
      <c r="C2767" t="s">
        <v>7342</v>
      </c>
      <c r="D2767" t="s">
        <v>13496</v>
      </c>
      <c r="E2767" s="2">
        <v>6476</v>
      </c>
      <c r="F2767">
        <f>HYPERLINK("https://www2.assemblee-nationale.fr/sycomore/fiche/(num_dept)/4083", "4083.0")</f>
        <v>0</v>
      </c>
      <c r="H2767">
        <f>HYPERLINK("https://www.wikidata.org/wiki/Q16025883", "Q16025883")</f>
        <v>0</v>
      </c>
    </row>
    <row r="2768" spans="1:8">
      <c r="A2768" t="s">
        <v>2774</v>
      </c>
      <c r="B2768" t="s">
        <v>7381</v>
      </c>
      <c r="C2768" t="s">
        <v>7342</v>
      </c>
      <c r="D2768" t="s">
        <v>13952</v>
      </c>
      <c r="E2768" s="2">
        <v>2683</v>
      </c>
      <c r="F2768">
        <f>HYPERLINK("https://www2.assemblee-nationale.fr/sycomore/fiche/(num_dept)/4085", "4085.0")</f>
        <v>0</v>
      </c>
      <c r="H2768">
        <f>HYPERLINK("https://www.wikidata.org/wiki/Q3172854", "Q3172854")</f>
        <v>0</v>
      </c>
    </row>
    <row r="2769" spans="1:8">
      <c r="A2769" t="s">
        <v>2775</v>
      </c>
      <c r="B2769" t="s">
        <v>7381</v>
      </c>
      <c r="C2769" t="s">
        <v>9438</v>
      </c>
      <c r="D2769" t="s">
        <v>13953</v>
      </c>
      <c r="E2769" s="2">
        <v>14167</v>
      </c>
      <c r="F2769">
        <f>HYPERLINK("https://www2.assemblee-nationale.fr/sycomore/fiche/(num_dept)/4086", "4086.0")</f>
        <v>0</v>
      </c>
      <c r="G2769">
        <f>HYPERLINK("https://www.senat.fr/senateur-3eme-republique/judet_victor0628r3.html", "judet_victor0628r3")</f>
        <v>0</v>
      </c>
      <c r="H2769">
        <f>HYPERLINK("https://www.wikidata.org/wiki/Q2398706", "Q2398706")</f>
        <v>0</v>
      </c>
    </row>
    <row r="2770" spans="1:8">
      <c r="A2770" t="s">
        <v>2776</v>
      </c>
      <c r="B2770" t="s">
        <v>7382</v>
      </c>
      <c r="C2770" t="s">
        <v>10560</v>
      </c>
      <c r="D2770" t="s">
        <v>13954</v>
      </c>
      <c r="E2770" s="2">
        <v>16535</v>
      </c>
      <c r="F2770">
        <f>HYPERLINK("https://www2.assemblee-nationale.fr/sycomore/fiche/(num_dept)/4089", "4089.0")</f>
        <v>0</v>
      </c>
      <c r="H2770">
        <f>HYPERLINK("https://www.wikidata.org/wiki/Q16025885", "Q16025885")</f>
        <v>0</v>
      </c>
    </row>
    <row r="2771" spans="1:8">
      <c r="A2771" t="s">
        <v>2777</v>
      </c>
      <c r="B2771" t="s">
        <v>7383</v>
      </c>
      <c r="C2771" t="s">
        <v>10561</v>
      </c>
      <c r="D2771" t="s">
        <v>13955</v>
      </c>
      <c r="E2771" s="2">
        <v>287</v>
      </c>
      <c r="F2771">
        <f>HYPERLINK("https://www2.assemblee-nationale.fr/sycomore/fiche/(num_dept)/4091", "4091.0")</f>
        <v>0</v>
      </c>
      <c r="H2771">
        <f>HYPERLINK("https://www.wikidata.org/wiki/Q2960767", "Q2960767")</f>
        <v>0</v>
      </c>
    </row>
    <row r="2772" spans="1:8">
      <c r="A2772" t="s">
        <v>2778</v>
      </c>
      <c r="B2772" t="s">
        <v>7383</v>
      </c>
      <c r="C2772" t="s">
        <v>9909</v>
      </c>
      <c r="D2772" t="s">
        <v>12724</v>
      </c>
      <c r="E2772" s="2">
        <v>18699</v>
      </c>
      <c r="F2772">
        <f>HYPERLINK("https://www2.assemblee-nationale.fr/sycomore/fiche/(num_dept)/4090", "4090.0")</f>
        <v>0</v>
      </c>
      <c r="H2772">
        <f>HYPERLINK("https://www.wikidata.org/wiki/Q3158160", "Q3158160")</f>
        <v>0</v>
      </c>
    </row>
    <row r="2773" spans="1:8">
      <c r="A2773" t="s">
        <v>2779</v>
      </c>
      <c r="B2773" t="s">
        <v>7384</v>
      </c>
      <c r="C2773" t="s">
        <v>9564</v>
      </c>
      <c r="D2773" t="s">
        <v>13956</v>
      </c>
      <c r="E2773" s="2">
        <v>28133</v>
      </c>
      <c r="F2773">
        <f>HYPERLINK("https://www2.assemblee-nationale.fr/sycomore/fiche/(num_dept)/4092", "4092.0")</f>
        <v>0</v>
      </c>
      <c r="H2773">
        <f>HYPERLINK("https://www.wikidata.org/wiki/Q2835216", "Q2835216")</f>
        <v>0</v>
      </c>
    </row>
    <row r="2774" spans="1:8">
      <c r="A2774" t="s">
        <v>2780</v>
      </c>
      <c r="B2774" t="s">
        <v>7385</v>
      </c>
      <c r="C2774" t="s">
        <v>10562</v>
      </c>
      <c r="D2774" t="s">
        <v>13957</v>
      </c>
      <c r="E2774" s="2">
        <v>4589</v>
      </c>
      <c r="F2774">
        <f>HYPERLINK("https://www2.assemblee-nationale.fr/sycomore/fiche/(num_dept)/4099", "4099.0")</f>
        <v>0</v>
      </c>
      <c r="H2774">
        <f>HYPERLINK("https://www.wikidata.org/wiki/Q16025887", "Q16025887")</f>
        <v>0</v>
      </c>
    </row>
    <row r="2775" spans="1:8">
      <c r="A2775" t="s">
        <v>2781</v>
      </c>
      <c r="B2775" t="s">
        <v>7386</v>
      </c>
      <c r="C2775" t="s">
        <v>9414</v>
      </c>
      <c r="D2775" t="s">
        <v>13958</v>
      </c>
      <c r="G2775">
        <f>HYPERLINK("https://www.senat.fr/senateur-3eme-republique/jumeau_ferdinand0765r3.html", "jumeau_ferdinand0765r3")</f>
        <v>0</v>
      </c>
      <c r="H2775">
        <f>HYPERLINK("https://www.wikidata.org/wiki/Q3068594", "Q3068594")</f>
        <v>0</v>
      </c>
    </row>
    <row r="2776" spans="1:8">
      <c r="A2776" t="s">
        <v>2782</v>
      </c>
      <c r="B2776" t="s">
        <v>7387</v>
      </c>
      <c r="C2776" t="s">
        <v>10563</v>
      </c>
      <c r="D2776" t="s">
        <v>13959</v>
      </c>
      <c r="E2776" s="2">
        <v>6798</v>
      </c>
      <c r="F2776">
        <f>HYPERLINK("https://www2.assemblee-nationale.fr/sycomore/fiche/(num_dept)/4101", "4101.0")</f>
        <v>0</v>
      </c>
      <c r="H2776">
        <f>HYPERLINK("https://www.wikidata.org/wiki/Q16025888", "Q16025888")</f>
        <v>0</v>
      </c>
    </row>
    <row r="2777" spans="1:8">
      <c r="A2777" t="s">
        <v>2783</v>
      </c>
      <c r="B2777" t="s">
        <v>7388</v>
      </c>
      <c r="C2777" t="s">
        <v>10564</v>
      </c>
      <c r="D2777" t="s">
        <v>13960</v>
      </c>
      <c r="E2777" s="2">
        <v>22370</v>
      </c>
      <c r="F2777">
        <f>HYPERLINK("https://www2.assemblee-nationale.fr/sycomore/fiche/(num_dept)/4044", "4044.0")</f>
        <v>0</v>
      </c>
      <c r="H2777">
        <f>HYPERLINK("https://www.wikidata.org/wiki/Q3385652", "Q3385652")</f>
        <v>0</v>
      </c>
    </row>
    <row r="2778" spans="1:8">
      <c r="A2778" t="s">
        <v>2784</v>
      </c>
      <c r="B2778" t="s">
        <v>7389</v>
      </c>
      <c r="C2778" t="s">
        <v>9524</v>
      </c>
      <c r="D2778" t="s">
        <v>13961</v>
      </c>
      <c r="E2778" s="2">
        <v>3339</v>
      </c>
      <c r="F2778">
        <f>HYPERLINK("https://www2.assemblee-nationale.fr/sycomore/fiche/(num_dept)/7973", "7973.0")</f>
        <v>0</v>
      </c>
      <c r="H2778">
        <f>HYPERLINK("https://www.wikidata.org/wiki/Q3588593", "Q3588593")</f>
        <v>0</v>
      </c>
    </row>
    <row r="2779" spans="1:8">
      <c r="A2779" t="s">
        <v>2785</v>
      </c>
      <c r="B2779" t="s">
        <v>7390</v>
      </c>
      <c r="C2779" t="s">
        <v>10565</v>
      </c>
      <c r="D2779" t="s">
        <v>13962</v>
      </c>
      <c r="E2779" s="2">
        <v>2312</v>
      </c>
      <c r="F2779">
        <f>HYPERLINK("https://www2.assemblee-nationale.fr/sycomore/fiche/(num_dept)/4121", "4121.0")</f>
        <v>0</v>
      </c>
      <c r="H2779">
        <f>HYPERLINK("https://www.wikidata.org/wiki/Q16025889", "Q16025889")</f>
        <v>0</v>
      </c>
    </row>
    <row r="2780" spans="1:8">
      <c r="A2780" t="s">
        <v>2786</v>
      </c>
      <c r="B2780" t="s">
        <v>7391</v>
      </c>
      <c r="C2780" t="s">
        <v>7942</v>
      </c>
      <c r="D2780" t="s">
        <v>13963</v>
      </c>
      <c r="E2780" s="2">
        <v>17451</v>
      </c>
      <c r="F2780">
        <f>HYPERLINK("https://www2.assemblee-nationale.fr/sycomore/fiche/(num_dept)/4122", "4122.0")</f>
        <v>0</v>
      </c>
      <c r="H2780">
        <f>HYPERLINK("https://www.wikidata.org/wiki/Q16025890", "Q16025890")</f>
        <v>0</v>
      </c>
    </row>
    <row r="2781" spans="1:8">
      <c r="A2781" t="s">
        <v>2787</v>
      </c>
      <c r="B2781" t="s">
        <v>7392</v>
      </c>
      <c r="C2781" t="s">
        <v>9450</v>
      </c>
      <c r="D2781" t="s">
        <v>13964</v>
      </c>
      <c r="E2781" t="s">
        <v>16201</v>
      </c>
      <c r="F2781">
        <f>HYPERLINK("https://www2.assemblee-nationale.fr/sycomore/fiche/(num_dept)/4125", "4125.0")</f>
        <v>0</v>
      </c>
      <c r="H2781">
        <f>HYPERLINK("https://www.wikidata.org/wiki/Q2959750", "Q2959750")</f>
        <v>0</v>
      </c>
    </row>
    <row r="2782" spans="1:8">
      <c r="A2782" t="s">
        <v>2788</v>
      </c>
      <c r="B2782" t="s">
        <v>7393</v>
      </c>
      <c r="C2782" t="s">
        <v>10566</v>
      </c>
      <c r="D2782" t="s">
        <v>13965</v>
      </c>
      <c r="E2782" s="2">
        <v>7150</v>
      </c>
      <c r="F2782">
        <f>HYPERLINK("https://www2.assemblee-nationale.fr/sycomore/fiche/(num_dept)/4126", "4126.0")</f>
        <v>0</v>
      </c>
      <c r="H2782">
        <f>HYPERLINK("https://www.wikidata.org/wiki/Q8326442", "Q8326442")</f>
        <v>0</v>
      </c>
    </row>
    <row r="2783" spans="1:8">
      <c r="A2783" t="s">
        <v>2789</v>
      </c>
      <c r="B2783" t="s">
        <v>7394</v>
      </c>
      <c r="C2783" t="s">
        <v>10567</v>
      </c>
      <c r="D2783" t="s">
        <v>12727</v>
      </c>
      <c r="E2783" s="2">
        <v>20450</v>
      </c>
      <c r="F2783">
        <f>HYPERLINK("https://www2.assemblee-nationale.fr/sycomore/fiche/(num_dept)/4128", "4128.0")</f>
        <v>0</v>
      </c>
      <c r="H2783">
        <f>HYPERLINK("https://www.wikidata.org/wiki/Q3121362", "Q3121362")</f>
        <v>0</v>
      </c>
    </row>
    <row r="2784" spans="1:8">
      <c r="A2784" t="s">
        <v>2790</v>
      </c>
      <c r="B2784" t="s">
        <v>7395</v>
      </c>
      <c r="C2784" t="s">
        <v>10568</v>
      </c>
      <c r="D2784" t="s">
        <v>13966</v>
      </c>
      <c r="E2784" s="2">
        <v>3280</v>
      </c>
      <c r="F2784">
        <f>HYPERLINK("https://www2.assemblee-nationale.fr/sycomore/fiche/(num_dept)/4130", "4130.0")</f>
        <v>0</v>
      </c>
      <c r="H2784">
        <f>HYPERLINK("https://www.wikidata.org/wiki/Q3161253", "Q3161253")</f>
        <v>0</v>
      </c>
    </row>
    <row r="2785" spans="1:8">
      <c r="A2785" t="s">
        <v>2791</v>
      </c>
      <c r="B2785" t="s">
        <v>7396</v>
      </c>
      <c r="C2785" t="s">
        <v>10569</v>
      </c>
      <c r="D2785" t="s">
        <v>13967</v>
      </c>
      <c r="E2785" t="s">
        <v>16202</v>
      </c>
      <c r="F2785">
        <f>HYPERLINK("https://www2.assemblee-nationale.fr/sycomore/fiche/(num_dept)/4131", "4131.0")</f>
        <v>0</v>
      </c>
      <c r="H2785">
        <f>HYPERLINK("https://www.wikidata.org/wiki/Q3588415", "Q3588415")</f>
        <v>0</v>
      </c>
    </row>
    <row r="2786" spans="1:8">
      <c r="A2786" t="s">
        <v>2792</v>
      </c>
      <c r="B2786" t="s">
        <v>7397</v>
      </c>
      <c r="C2786" t="s">
        <v>10570</v>
      </c>
      <c r="D2786" t="s">
        <v>11443</v>
      </c>
      <c r="E2786" s="2">
        <v>11904</v>
      </c>
      <c r="F2786">
        <f>HYPERLINK("https://www2.assemblee-nationale.fr/sycomore/fiche/(num_dept)/4132", "4132.0")</f>
        <v>0</v>
      </c>
      <c r="H2786">
        <f>HYPERLINK("https://www.wikidata.org/wiki/Q3159295", "Q3159295")</f>
        <v>0</v>
      </c>
    </row>
    <row r="2787" spans="1:8">
      <c r="A2787" t="s">
        <v>2793</v>
      </c>
      <c r="B2787" t="s">
        <v>7398</v>
      </c>
      <c r="C2787" t="s">
        <v>10233</v>
      </c>
      <c r="D2787" t="s">
        <v>13968</v>
      </c>
      <c r="E2787" s="2">
        <v>10336</v>
      </c>
      <c r="F2787">
        <f>HYPERLINK("https://www2.assemblee-nationale.fr/sycomore/fiche/(num_dept)/4135", "4135.0")</f>
        <v>0</v>
      </c>
      <c r="H2787">
        <f>HYPERLINK("https://www.wikidata.org/wiki/Q3262370", "Q3262370")</f>
        <v>0</v>
      </c>
    </row>
    <row r="2788" spans="1:8">
      <c r="A2788" t="s">
        <v>2794</v>
      </c>
      <c r="B2788" t="s">
        <v>7399</v>
      </c>
      <c r="C2788" t="s">
        <v>10571</v>
      </c>
      <c r="D2788" t="s">
        <v>13969</v>
      </c>
      <c r="E2788" s="2">
        <v>16676</v>
      </c>
      <c r="F2788">
        <f>HYPERLINK("https://www2.assemblee-nationale.fr/sycomore/fiche/(num_dept)/4138", "4138.0")</f>
        <v>0</v>
      </c>
      <c r="H2788">
        <f>HYPERLINK("https://www.wikidata.org/wiki/Q16025891", "Q16025891")</f>
        <v>0</v>
      </c>
    </row>
    <row r="2789" spans="1:8">
      <c r="A2789" t="s">
        <v>2795</v>
      </c>
      <c r="B2789" t="s">
        <v>7400</v>
      </c>
      <c r="C2789" t="s">
        <v>10326</v>
      </c>
      <c r="D2789" t="s">
        <v>13970</v>
      </c>
      <c r="E2789" t="s">
        <v>16203</v>
      </c>
      <c r="G2789">
        <f>HYPERLINK("https://www.senat.fr/senateur-3eme-republique/kiener_christian1803r3.html", "kiener_christian1803r3")</f>
        <v>0</v>
      </c>
      <c r="H2789">
        <f>HYPERLINK("https://www.wikidata.org/wiki/Q2965373", "Q2965373")</f>
        <v>0</v>
      </c>
    </row>
    <row r="2790" spans="1:8">
      <c r="A2790" t="s">
        <v>2796</v>
      </c>
      <c r="B2790" t="s">
        <v>7401</v>
      </c>
      <c r="C2790" t="s">
        <v>10572</v>
      </c>
      <c r="D2790" t="s">
        <v>13971</v>
      </c>
      <c r="E2790" s="2">
        <v>11124</v>
      </c>
      <c r="F2790">
        <f>HYPERLINK("https://www2.assemblee-nationale.fr/sycomore/fiche/(num_dept)/4148", "4148.0")</f>
        <v>0</v>
      </c>
      <c r="G2790">
        <f>HYPERLINK("https://www.senat.fr/senateur-3eme-republique/klotz_louis1683r3.html", "klotz_louis1683r3")</f>
        <v>0</v>
      </c>
      <c r="H2790">
        <f>HYPERLINK("https://www.wikidata.org/wiki/Q179586", "Q179586")</f>
        <v>0</v>
      </c>
    </row>
    <row r="2791" spans="1:8">
      <c r="A2791" t="s">
        <v>2797</v>
      </c>
      <c r="B2791" t="s">
        <v>7401</v>
      </c>
      <c r="C2791" t="s">
        <v>10572</v>
      </c>
      <c r="D2791" t="s">
        <v>13972</v>
      </c>
      <c r="E2791" s="2">
        <v>11124</v>
      </c>
      <c r="H2791">
        <f>HYPERLINK("https://www.wikidata.org/wiki/Q179586", "Q179586")</f>
        <v>0</v>
      </c>
    </row>
    <row r="2792" spans="1:8">
      <c r="A2792" t="s">
        <v>2798</v>
      </c>
      <c r="B2792" t="s">
        <v>7402</v>
      </c>
      <c r="C2792" t="s">
        <v>10064</v>
      </c>
      <c r="D2792" t="s">
        <v>13973</v>
      </c>
      <c r="E2792" s="2">
        <v>5951</v>
      </c>
      <c r="G2792">
        <f>HYPERLINK("https://www.senat.fr/senateur-3eme-republique/knight_amedee0700r3.html", "knight_amedee0700r3")</f>
        <v>0</v>
      </c>
      <c r="H2792">
        <f>HYPERLINK("https://www.wikidata.org/wiki/Q2844676", "Q2844676")</f>
        <v>0</v>
      </c>
    </row>
    <row r="2793" spans="1:8">
      <c r="A2793" t="s">
        <v>2799</v>
      </c>
      <c r="B2793" t="s">
        <v>7403</v>
      </c>
      <c r="C2793" t="s">
        <v>9564</v>
      </c>
      <c r="D2793" t="s">
        <v>13974</v>
      </c>
      <c r="E2793" t="s">
        <v>16204</v>
      </c>
      <c r="F2793">
        <f>HYPERLINK("https://www2.assemblee-nationale.fr/sycomore/fiche/(num_dept)/13396", "13396.0")</f>
        <v>0</v>
      </c>
      <c r="H2793">
        <f>HYPERLINK("https://www.wikidata.org/wiki/Q2835230", "Q2835230")</f>
        <v>0</v>
      </c>
    </row>
    <row r="2794" spans="1:8">
      <c r="A2794" t="s">
        <v>2800</v>
      </c>
      <c r="B2794" t="s">
        <v>7404</v>
      </c>
      <c r="C2794" t="s">
        <v>9355</v>
      </c>
      <c r="D2794" t="s">
        <v>13975</v>
      </c>
      <c r="E2794" t="s">
        <v>16015</v>
      </c>
      <c r="G2794">
        <f>HYPERLINK("https://www.senat.fr/senateur-3eme-republique/kolb_bernard_charles1488r3.html", "kolb_bernard_charles1488r3")</f>
        <v>0</v>
      </c>
      <c r="H2794">
        <f>HYPERLINK("https://www.wikidata.org/wiki/Q2959527", "Q2959527")</f>
        <v>0</v>
      </c>
    </row>
    <row r="2795" spans="1:8">
      <c r="A2795" t="s">
        <v>2801</v>
      </c>
      <c r="B2795" t="s">
        <v>7405</v>
      </c>
      <c r="C2795" t="s">
        <v>10444</v>
      </c>
      <c r="D2795" t="s">
        <v>13882</v>
      </c>
      <c r="E2795" t="s">
        <v>16205</v>
      </c>
      <c r="G2795">
        <f>HYPERLINK("https://www.senat.fr/senateur-3eme-republique/krantz_sebastien1489r3.html", "krantz_sebastien1489r3")</f>
        <v>0</v>
      </c>
      <c r="H2795">
        <f>HYPERLINK("https://www.wikidata.org/wiki/Q3164447", "Q3164447")</f>
        <v>0</v>
      </c>
    </row>
    <row r="2796" spans="1:8">
      <c r="A2796" t="s">
        <v>2802</v>
      </c>
      <c r="B2796" t="s">
        <v>7406</v>
      </c>
      <c r="C2796" t="s">
        <v>9352</v>
      </c>
      <c r="D2796" t="s">
        <v>13976</v>
      </c>
      <c r="E2796" s="2">
        <v>8887</v>
      </c>
      <c r="F2796">
        <f>HYPERLINK("https://www2.assemblee-nationale.fr/sycomore/fiche/(num_dept)/4153", "4153.0")</f>
        <v>0</v>
      </c>
      <c r="H2796">
        <f>HYPERLINK("https://www.wikidata.org/wiki/Q2934973", "Q2934973")</f>
        <v>0</v>
      </c>
    </row>
    <row r="2797" spans="1:8">
      <c r="A2797" t="s">
        <v>2803</v>
      </c>
      <c r="B2797" t="s">
        <v>7407</v>
      </c>
      <c r="C2797" t="s">
        <v>8370</v>
      </c>
      <c r="D2797" t="s">
        <v>13977</v>
      </c>
      <c r="E2797" s="2">
        <v>1737</v>
      </c>
      <c r="F2797">
        <f>HYPERLINK("https://www2.assemblee-nationale.fr/sycomore/fiche/(num_dept)/4154", "4154.0")</f>
        <v>0</v>
      </c>
      <c r="H2797">
        <f>HYPERLINK("https://www.wikidata.org/wiki/Q16025893", "Q16025893")</f>
        <v>0</v>
      </c>
    </row>
    <row r="2798" spans="1:8">
      <c r="A2798" t="s">
        <v>2804</v>
      </c>
      <c r="B2798" t="s">
        <v>7408</v>
      </c>
      <c r="C2798" t="s">
        <v>10573</v>
      </c>
      <c r="D2798" t="s">
        <v>12725</v>
      </c>
      <c r="E2798" s="2">
        <v>17152</v>
      </c>
      <c r="F2798">
        <f>HYPERLINK("https://www2.assemblee-nationale.fr/sycomore/fiche/(num_dept)/4123", "4123.0")</f>
        <v>0</v>
      </c>
      <c r="H2798">
        <f>HYPERLINK("https://www.wikidata.org/wiki/Q3134672", "Q3134672")</f>
        <v>0</v>
      </c>
    </row>
    <row r="2799" spans="1:8">
      <c r="A2799" t="s">
        <v>2805</v>
      </c>
      <c r="B2799" t="s">
        <v>7409</v>
      </c>
      <c r="C2799" t="s">
        <v>10574</v>
      </c>
      <c r="D2799" t="s">
        <v>13978</v>
      </c>
      <c r="E2799" s="2">
        <v>21286</v>
      </c>
      <c r="F2799">
        <f>HYPERLINK("https://www2.assemblee-nationale.fr/sycomore/fiche/(num_dept)/4129", "4129.0")</f>
        <v>0</v>
      </c>
      <c r="H2799">
        <f>HYPERLINK("https://www.wikidata.org/wiki/Q3132283", "Q3132283")</f>
        <v>0</v>
      </c>
    </row>
    <row r="2800" spans="1:8">
      <c r="A2800" t="s">
        <v>2806</v>
      </c>
      <c r="B2800" t="s">
        <v>7410</v>
      </c>
      <c r="C2800" t="s">
        <v>10575</v>
      </c>
      <c r="D2800" t="s">
        <v>12728</v>
      </c>
      <c r="E2800" s="2">
        <v>11135</v>
      </c>
      <c r="F2800">
        <f>HYPERLINK("https://www2.assemblee-nationale.fr/sycomore/fiche/(num_dept)/4133", "4133.0")</f>
        <v>0</v>
      </c>
      <c r="H2800">
        <f>HYPERLINK("https://www.wikidata.org/wiki/Q3090311", "Q3090311")</f>
        <v>0</v>
      </c>
    </row>
    <row r="2801" spans="1:8">
      <c r="A2801" t="s">
        <v>2807</v>
      </c>
      <c r="B2801" t="s">
        <v>7411</v>
      </c>
      <c r="C2801" t="s">
        <v>10576</v>
      </c>
      <c r="D2801" t="s">
        <v>13979</v>
      </c>
      <c r="E2801" s="2">
        <v>27546</v>
      </c>
      <c r="F2801">
        <f>HYPERLINK("https://www2.assemblee-nationale.fr/sycomore/fiche/(num_dept)/4134", "4134.0")</f>
        <v>0</v>
      </c>
      <c r="H2801">
        <f>HYPERLINK("https://www.wikidata.org/wiki/Q3357532", "Q3357532")</f>
        <v>0</v>
      </c>
    </row>
    <row r="2802" spans="1:8">
      <c r="A2802" t="s">
        <v>2808</v>
      </c>
      <c r="B2802" t="s">
        <v>7412</v>
      </c>
      <c r="C2802" t="s">
        <v>10577</v>
      </c>
      <c r="D2802" t="s">
        <v>13980</v>
      </c>
      <c r="E2802" s="2">
        <v>11396</v>
      </c>
      <c r="F2802">
        <f>HYPERLINK("https://www2.assemblee-nationale.fr/sycomore/fiche/(num_dept)/4165", "4165.0")</f>
        <v>0</v>
      </c>
      <c r="H2802">
        <f>HYPERLINK("https://www.wikidata.org/wiki/Q3436746", "Q3436746")</f>
        <v>0</v>
      </c>
    </row>
    <row r="2803" spans="1:8">
      <c r="A2803" t="s">
        <v>2809</v>
      </c>
      <c r="B2803" t="s">
        <v>7412</v>
      </c>
      <c r="C2803" t="s">
        <v>10578</v>
      </c>
      <c r="D2803" t="s">
        <v>11814</v>
      </c>
      <c r="E2803" s="2">
        <v>13038</v>
      </c>
      <c r="F2803">
        <f>HYPERLINK("https://www2.assemblee-nationale.fr/sycomore/fiche/(num_dept)/4163", "4163.0")</f>
        <v>0</v>
      </c>
      <c r="H2803">
        <f>HYPERLINK("https://www.wikidata.org/wiki/Q3291942", "Q3291942")</f>
        <v>0</v>
      </c>
    </row>
    <row r="2804" spans="1:8">
      <c r="A2804" t="s">
        <v>2810</v>
      </c>
      <c r="B2804" t="s">
        <v>7413</v>
      </c>
      <c r="C2804" t="s">
        <v>10579</v>
      </c>
      <c r="D2804" t="s">
        <v>12472</v>
      </c>
      <c r="E2804" s="2">
        <v>17049</v>
      </c>
      <c r="F2804">
        <f>HYPERLINK("https://www2.assemblee-nationale.fr/sycomore/fiche/(num_dept)/4166", "4166.0")</f>
        <v>0</v>
      </c>
      <c r="H2804">
        <f>HYPERLINK("https://www.wikidata.org/wiki/Q3455687", "Q3455687")</f>
        <v>0</v>
      </c>
    </row>
    <row r="2805" spans="1:8">
      <c r="A2805" t="s">
        <v>2811</v>
      </c>
      <c r="B2805" t="s">
        <v>7414</v>
      </c>
      <c r="C2805" t="s">
        <v>9503</v>
      </c>
      <c r="D2805" t="s">
        <v>13981</v>
      </c>
      <c r="E2805" s="2">
        <v>15252</v>
      </c>
      <c r="F2805">
        <f>HYPERLINK("https://www2.assemblee-nationale.fr/sycomore/fiche/(num_dept)/4168", "4168.0")</f>
        <v>0</v>
      </c>
      <c r="H2805">
        <f>HYPERLINK("https://www.wikidata.org/wiki/Q3121244", "Q3121244")</f>
        <v>0</v>
      </c>
    </row>
    <row r="2806" spans="1:8">
      <c r="A2806" t="s">
        <v>2812</v>
      </c>
      <c r="B2806" t="s">
        <v>7415</v>
      </c>
      <c r="C2806" t="s">
        <v>7754</v>
      </c>
      <c r="D2806" t="s">
        <v>13982</v>
      </c>
      <c r="E2806" s="2">
        <v>17084</v>
      </c>
      <c r="F2806">
        <f>HYPERLINK("https://www2.assemblee-nationale.fr/sycomore/fiche/(num_dept)/4167", "4167.0")</f>
        <v>0</v>
      </c>
      <c r="H2806">
        <f>HYPERLINK("https://www.wikidata.org/wiki/Q3262410", "Q3262410")</f>
        <v>0</v>
      </c>
    </row>
    <row r="2807" spans="1:8">
      <c r="A2807" t="s">
        <v>2813</v>
      </c>
      <c r="B2807" t="s">
        <v>7416</v>
      </c>
      <c r="C2807" t="s">
        <v>7754</v>
      </c>
      <c r="D2807" t="s">
        <v>13983</v>
      </c>
      <c r="E2807" t="s">
        <v>16206</v>
      </c>
      <c r="G2807">
        <f>HYPERLINK("https://www.senat.fr/senateur-3eme-republique/la_caze_louis1055r3.html", "la_caze_louis1055r3")</f>
        <v>0</v>
      </c>
      <c r="H2807">
        <f>HYPERLINK("https://www.wikidata.org/wiki/Q16025909", "Q16025909")</f>
        <v>0</v>
      </c>
    </row>
    <row r="2808" spans="1:8">
      <c r="A2808" t="s">
        <v>2814</v>
      </c>
      <c r="B2808" t="s">
        <v>7417</v>
      </c>
      <c r="C2808" t="s">
        <v>7174</v>
      </c>
      <c r="D2808" t="s">
        <v>12287</v>
      </c>
      <c r="E2808" s="2">
        <v>27538</v>
      </c>
      <c r="H2808">
        <f>HYPERLINK("https://www.wikidata.org/wiki/Q3121895", "Q3121895")</f>
        <v>0</v>
      </c>
    </row>
    <row r="2809" spans="1:8">
      <c r="A2809" t="s">
        <v>2815</v>
      </c>
      <c r="B2809" t="s">
        <v>7418</v>
      </c>
      <c r="C2809" t="s">
        <v>7342</v>
      </c>
      <c r="D2809" t="s">
        <v>13984</v>
      </c>
      <c r="E2809" s="2">
        <v>22944</v>
      </c>
      <c r="F2809">
        <f>HYPERLINK("https://www2.assemblee-nationale.fr/sycomore/fiche/(num_dept)/4191", "4191.0")</f>
        <v>0</v>
      </c>
      <c r="H2809">
        <f>HYPERLINK("https://www.wikidata.org/wiki/Q16025897", "Q16025897")</f>
        <v>0</v>
      </c>
    </row>
    <row r="2810" spans="1:8">
      <c r="A2810" t="s">
        <v>2816</v>
      </c>
      <c r="B2810" t="s">
        <v>7419</v>
      </c>
      <c r="C2810" t="s">
        <v>8384</v>
      </c>
      <c r="D2810" t="s">
        <v>13985</v>
      </c>
      <c r="E2810" s="2">
        <v>1774</v>
      </c>
      <c r="F2810">
        <f>HYPERLINK("https://www2.assemblee-nationale.fr/sycomore/fiche/(num_dept)/4194", "4194.0")</f>
        <v>0</v>
      </c>
      <c r="H2810">
        <f>HYPERLINK("https://www.wikidata.org/wiki/Q16025898", "Q16025898")</f>
        <v>0</v>
      </c>
    </row>
    <row r="2811" spans="1:8">
      <c r="A2811" t="s">
        <v>2817</v>
      </c>
      <c r="B2811" t="s">
        <v>7420</v>
      </c>
      <c r="C2811" t="s">
        <v>10580</v>
      </c>
      <c r="D2811" t="s">
        <v>13986</v>
      </c>
      <c r="E2811" s="2">
        <v>5414</v>
      </c>
      <c r="F2811">
        <f>HYPERLINK("https://www2.assemblee-nationale.fr/sycomore/fiche/(num_dept)/4195", "4195.0")</f>
        <v>0</v>
      </c>
      <c r="H2811">
        <f>HYPERLINK("https://www.wikidata.org/wiki/Q15264150", "Q15264150")</f>
        <v>0</v>
      </c>
    </row>
    <row r="2812" spans="1:8">
      <c r="A2812" t="s">
        <v>2818</v>
      </c>
      <c r="B2812" t="s">
        <v>7420</v>
      </c>
      <c r="C2812" t="s">
        <v>9397</v>
      </c>
      <c r="D2812" t="s">
        <v>13987</v>
      </c>
      <c r="E2812" t="s">
        <v>16207</v>
      </c>
      <c r="F2812">
        <f>HYPERLINK("https://www2.assemblee-nationale.fr/sycomore/fiche/(num_dept)/4196", "4196.0")</f>
        <v>0</v>
      </c>
      <c r="H2812">
        <f>HYPERLINK("https://www.wikidata.org/wiki/Q16025899", "Q16025899")</f>
        <v>0</v>
      </c>
    </row>
    <row r="2813" spans="1:8">
      <c r="A2813" t="s">
        <v>2819</v>
      </c>
      <c r="B2813" t="s">
        <v>7421</v>
      </c>
      <c r="C2813" t="s">
        <v>9377</v>
      </c>
      <c r="D2813" t="s">
        <v>13988</v>
      </c>
      <c r="E2813" s="2">
        <v>18561</v>
      </c>
      <c r="F2813">
        <f>HYPERLINK("https://www2.assemblee-nationale.fr/sycomore/fiche/(num_dept)/4197", "4197.0")</f>
        <v>0</v>
      </c>
      <c r="H2813">
        <f>HYPERLINK("https://www.wikidata.org/wiki/Q16025901", "Q16025901")</f>
        <v>0</v>
      </c>
    </row>
    <row r="2814" spans="1:8">
      <c r="A2814" t="s">
        <v>2820</v>
      </c>
      <c r="B2814" t="s">
        <v>7422</v>
      </c>
      <c r="C2814" t="s">
        <v>7782</v>
      </c>
      <c r="D2814" t="s">
        <v>13989</v>
      </c>
      <c r="E2814" s="2">
        <v>5925</v>
      </c>
      <c r="G2814">
        <f>HYPERLINK("https://www.senat.fr/senateur-3eme-republique/labbe_leon0918r3.html", "labbe_leon0918r3")</f>
        <v>0</v>
      </c>
      <c r="H2814">
        <f>HYPERLINK("https://www.wikidata.org/wiki/Q3271106", "Q3271106")</f>
        <v>0</v>
      </c>
    </row>
    <row r="2815" spans="1:8">
      <c r="A2815" t="s">
        <v>2821</v>
      </c>
      <c r="B2815" t="s">
        <v>7422</v>
      </c>
      <c r="C2815" t="s">
        <v>9332</v>
      </c>
      <c r="D2815" t="s">
        <v>11693</v>
      </c>
      <c r="E2815" s="2">
        <v>15658</v>
      </c>
      <c r="G2815">
        <f>HYPERLINK("https://www.senat.fr/senateur-3eme-republique/labbe_ernest0177r3.html", "labbe_ernest0177r3")</f>
        <v>0</v>
      </c>
      <c r="H2815">
        <f>HYPERLINK("https://www.wikidata.org/wiki/Q3057027", "Q3057027")</f>
        <v>0</v>
      </c>
    </row>
    <row r="2816" spans="1:8">
      <c r="A2816" t="s">
        <v>2822</v>
      </c>
      <c r="B2816" t="s">
        <v>7423</v>
      </c>
      <c r="C2816" t="s">
        <v>10581</v>
      </c>
      <c r="D2816" t="s">
        <v>11502</v>
      </c>
      <c r="E2816" s="2">
        <v>21838</v>
      </c>
      <c r="F2816">
        <f>HYPERLINK("https://www2.assemblee-nationale.fr/sycomore/fiche/(num_dept)/4202", "4202.0")</f>
        <v>0</v>
      </c>
      <c r="H2816">
        <f>HYPERLINK("https://www.wikidata.org/wiki/Q3579920", "Q3579920")</f>
        <v>0</v>
      </c>
    </row>
    <row r="2817" spans="1:8">
      <c r="A2817" t="s">
        <v>2823</v>
      </c>
      <c r="B2817" t="s">
        <v>7424</v>
      </c>
      <c r="C2817" t="s">
        <v>9471</v>
      </c>
      <c r="D2817" t="s">
        <v>13990</v>
      </c>
      <c r="G2817">
        <f>HYPERLINK("https://www.senat.fr/senateur-3eme-republique/labiche_jules1040r3.html", "labiche_jules1040r3")</f>
        <v>0</v>
      </c>
      <c r="H2817">
        <f>HYPERLINK("https://www.wikidata.org/wiki/Q3188700", "Q3188700")</f>
        <v>0</v>
      </c>
    </row>
    <row r="2818" spans="1:8">
      <c r="A2818" t="s">
        <v>2824</v>
      </c>
      <c r="B2818" t="s">
        <v>7424</v>
      </c>
      <c r="C2818" t="s">
        <v>9524</v>
      </c>
      <c r="D2818" t="s">
        <v>13991</v>
      </c>
      <c r="E2818" s="2">
        <v>8134</v>
      </c>
      <c r="G2818">
        <f>HYPERLINK("https://www.senat.fr/senateur-3eme-republique/labiche_emile0771r3.html", "labiche_emile0771r3")</f>
        <v>0</v>
      </c>
      <c r="H2818">
        <f>HYPERLINK("https://www.wikidata.org/wiki/Q3588592", "Q3588592")</f>
        <v>0</v>
      </c>
    </row>
    <row r="2819" spans="1:8">
      <c r="A2819" t="s">
        <v>2825</v>
      </c>
      <c r="B2819" t="s">
        <v>7425</v>
      </c>
      <c r="C2819" t="s">
        <v>10582</v>
      </c>
      <c r="D2819" t="s">
        <v>13992</v>
      </c>
      <c r="E2819" t="s">
        <v>16208</v>
      </c>
      <c r="F2819">
        <f>HYPERLINK("https://www2.assemblee-nationale.fr/sycomore/fiche/(num_dept)/8269", "8269.0")</f>
        <v>0</v>
      </c>
      <c r="G2819">
        <f>HYPERLINK("https://www.senat.fr/senateur-3eme-republique/labitte_porphyre1676r3.html", "labitte_porphyre1676r3")</f>
        <v>0</v>
      </c>
      <c r="H2819">
        <f>HYPERLINK("https://www.wikidata.org/wiki/Q3131388", "Q3131388")</f>
        <v>0</v>
      </c>
    </row>
    <row r="2820" spans="1:8">
      <c r="A2820" t="s">
        <v>2826</v>
      </c>
      <c r="B2820" t="s">
        <v>7426</v>
      </c>
      <c r="C2820" t="s">
        <v>10583</v>
      </c>
      <c r="D2820" t="s">
        <v>13993</v>
      </c>
      <c r="E2820" s="2">
        <v>3707</v>
      </c>
      <c r="F2820">
        <f>HYPERLINK("https://www2.assemblee-nationale.fr/sycomore/fiche/(num_dept)/7974", "7974.0")</f>
        <v>0</v>
      </c>
      <c r="H2820">
        <f>HYPERLINK("https://www.wikidata.org/wiki/Q16025903", "Q16025903")</f>
        <v>0</v>
      </c>
    </row>
    <row r="2821" spans="1:8">
      <c r="A2821" t="s">
        <v>2827</v>
      </c>
      <c r="B2821" t="s">
        <v>7427</v>
      </c>
      <c r="C2821" t="s">
        <v>7342</v>
      </c>
      <c r="D2821" t="s">
        <v>13994</v>
      </c>
      <c r="G2821">
        <f>HYPERLINK("https://www.senat.fr/senateur-3eme-republique/labordere_jean1340r3.html", "labordere_jean1340r3")</f>
        <v>0</v>
      </c>
      <c r="H2821">
        <f>HYPERLINK("https://www.wikidata.org/wiki/Q16025905", "Q16025905")</f>
        <v>0</v>
      </c>
    </row>
    <row r="2822" spans="1:8">
      <c r="A2822" t="s">
        <v>2828</v>
      </c>
      <c r="B2822" t="s">
        <v>7428</v>
      </c>
      <c r="C2822" t="s">
        <v>10584</v>
      </c>
      <c r="D2822" t="s">
        <v>13994</v>
      </c>
      <c r="E2822" s="2">
        <v>6997</v>
      </c>
      <c r="F2822">
        <f>HYPERLINK("https://www2.assemblee-nationale.fr/sycomore/fiche/(num_dept)/17859", "17859.0")</f>
        <v>0</v>
      </c>
      <c r="H2822">
        <f>HYPERLINK("https://www.wikidata.org/wiki/Q16025905", "Q16025905")</f>
        <v>0</v>
      </c>
    </row>
    <row r="2823" spans="1:8">
      <c r="A2823" t="s">
        <v>2829</v>
      </c>
      <c r="B2823" t="s">
        <v>7429</v>
      </c>
      <c r="C2823" t="s">
        <v>9918</v>
      </c>
      <c r="D2823" t="s">
        <v>13995</v>
      </c>
      <c r="E2823" s="2">
        <v>6283</v>
      </c>
      <c r="F2823">
        <f>HYPERLINK("https://www2.assemblee-nationale.fr/sycomore/fiche/(num_dept)/11853", "11853.0")</f>
        <v>0</v>
      </c>
      <c r="H2823">
        <f>HYPERLINK("https://www.wikidata.org/wiki/Q922807", "Q922807")</f>
        <v>0</v>
      </c>
    </row>
    <row r="2824" spans="1:8">
      <c r="A2824" t="s">
        <v>2830</v>
      </c>
      <c r="B2824" t="s">
        <v>7430</v>
      </c>
      <c r="C2824" t="s">
        <v>7001</v>
      </c>
      <c r="D2824" t="s">
        <v>13996</v>
      </c>
      <c r="E2824" s="2">
        <v>12704</v>
      </c>
      <c r="G2824">
        <f>HYPERLINK("https://www.senat.fr/senateur-3eme-republique/laboulbene_georges0740r3.html", "laboulbene_georges0740r3")</f>
        <v>0</v>
      </c>
      <c r="H2824">
        <f>HYPERLINK("https://www.wikidata.org/wiki/Q3102986", "Q3102986")</f>
        <v>0</v>
      </c>
    </row>
    <row r="2825" spans="1:8">
      <c r="A2825" t="s">
        <v>2831</v>
      </c>
      <c r="B2825" t="s">
        <v>7431</v>
      </c>
      <c r="C2825" t="s">
        <v>9324</v>
      </c>
      <c r="D2825" t="s">
        <v>13997</v>
      </c>
      <c r="E2825" s="2">
        <v>23618</v>
      </c>
      <c r="F2825">
        <f>HYPERLINK("https://www2.assemblee-nationale.fr/sycomore/fiche/(num_dept)/4207", "4207.0")</f>
        <v>0</v>
      </c>
      <c r="H2825">
        <f>HYPERLINK("https://www.wikidata.org/wiki/Q16025906", "Q16025906")</f>
        <v>0</v>
      </c>
    </row>
    <row r="2826" spans="1:8">
      <c r="A2826" t="s">
        <v>2832</v>
      </c>
      <c r="B2826" t="s">
        <v>7432</v>
      </c>
      <c r="C2826" t="s">
        <v>10585</v>
      </c>
      <c r="D2826" t="s">
        <v>13998</v>
      </c>
      <c r="E2826" s="2">
        <v>3998</v>
      </c>
      <c r="F2826">
        <f>HYPERLINK("https://www2.assemblee-nationale.fr/sycomore/fiche/(num_dept)/4209", "4209.0")</f>
        <v>0</v>
      </c>
      <c r="H2826">
        <f>HYPERLINK("https://www.wikidata.org/wiki/Q3380114", "Q3380114")</f>
        <v>0</v>
      </c>
    </row>
    <row r="2827" spans="1:8">
      <c r="A2827" t="s">
        <v>2833</v>
      </c>
      <c r="B2827" t="s">
        <v>7433</v>
      </c>
      <c r="C2827" t="s">
        <v>8370</v>
      </c>
      <c r="D2827" t="s">
        <v>11852</v>
      </c>
      <c r="E2827" s="2">
        <v>3998</v>
      </c>
      <c r="G2827">
        <f>HYPERLINK("https://www.senat.fr/senateur-3eme-republique/labrousse_philippe0456r3.html", "labrousse_philippe0456r3")</f>
        <v>0</v>
      </c>
      <c r="H2827">
        <f>HYPERLINK("https://www.wikidata.org/wiki/Q3380114", "Q3380114")</f>
        <v>0</v>
      </c>
    </row>
    <row r="2828" spans="1:8">
      <c r="A2828" t="s">
        <v>2834</v>
      </c>
      <c r="B2828" t="s">
        <v>7433</v>
      </c>
      <c r="C2828" t="s">
        <v>6864</v>
      </c>
      <c r="D2828" t="s">
        <v>13999</v>
      </c>
      <c r="E2828" s="2">
        <v>18959</v>
      </c>
      <c r="G2828">
        <f>HYPERLINK("https://www.senat.fr/senateur-3eme-republique/labrousse_francois0002r4.html", "labrousse_francois0002r4")</f>
        <v>0</v>
      </c>
      <c r="H2828">
        <f>HYPERLINK("https://www.wikidata.org/wiki/Q2406575", "Q2406575")</f>
        <v>0</v>
      </c>
    </row>
    <row r="2829" spans="1:8">
      <c r="A2829" t="s">
        <v>2835</v>
      </c>
      <c r="B2829" t="s">
        <v>7434</v>
      </c>
      <c r="C2829" t="s">
        <v>9457</v>
      </c>
      <c r="D2829" t="s">
        <v>14000</v>
      </c>
      <c r="E2829" s="2">
        <v>8871</v>
      </c>
      <c r="F2829">
        <f>HYPERLINK("https://www2.assemblee-nationale.fr/sycomore/fiche/(num_dept)/4210", "4210.0")</f>
        <v>0</v>
      </c>
      <c r="H2829">
        <f>HYPERLINK("https://www.wikidata.org/wiki/Q16025907", "Q16025907")</f>
        <v>0</v>
      </c>
    </row>
    <row r="2830" spans="1:8">
      <c r="A2830" t="s">
        <v>2836</v>
      </c>
      <c r="B2830" t="s">
        <v>7434</v>
      </c>
      <c r="C2830" t="s">
        <v>9524</v>
      </c>
      <c r="D2830" t="s">
        <v>14001</v>
      </c>
      <c r="E2830" s="2">
        <v>8818</v>
      </c>
      <c r="F2830">
        <f>HYPERLINK("https://www2.assemblee-nationale.fr/sycomore/fiche/(num_dept)/4211", "4211.0")</f>
        <v>0</v>
      </c>
      <c r="H2830">
        <f>HYPERLINK("https://www.wikidata.org/wiki/Q3588594", "Q3588594")</f>
        <v>0</v>
      </c>
    </row>
    <row r="2831" spans="1:8">
      <c r="A2831" t="s">
        <v>2837</v>
      </c>
      <c r="B2831" t="s">
        <v>7435</v>
      </c>
      <c r="C2831" t="s">
        <v>10171</v>
      </c>
      <c r="D2831" t="s">
        <v>14002</v>
      </c>
      <c r="E2831" s="2">
        <v>5160</v>
      </c>
      <c r="F2831">
        <f>HYPERLINK("https://www2.assemblee-nationale.fr/sycomore/fiche/(num_dept)/8287", "8287.0")</f>
        <v>0</v>
      </c>
      <c r="H2831">
        <f>HYPERLINK("https://www.wikidata.org/wiki/Q3190464", "Q3190464")</f>
        <v>0</v>
      </c>
    </row>
    <row r="2832" spans="1:8">
      <c r="A2832" t="s">
        <v>2838</v>
      </c>
      <c r="B2832" t="s">
        <v>7436</v>
      </c>
      <c r="C2832" t="s">
        <v>7754</v>
      </c>
      <c r="D2832" t="s">
        <v>14003</v>
      </c>
      <c r="G2832">
        <f>HYPERLINK("https://www.senat.fr/senateur-3eme-republique/lacave_laplagne_louis0128r3.html", "lacave_laplagne_louis0128r3")</f>
        <v>0</v>
      </c>
      <c r="H2832">
        <f>HYPERLINK("https://www.wikidata.org/wiki/Q3262415", "Q3262415")</f>
        <v>0</v>
      </c>
    </row>
    <row r="2833" spans="1:8">
      <c r="A2833" t="s">
        <v>2839</v>
      </c>
      <c r="B2833" t="s">
        <v>7437</v>
      </c>
      <c r="C2833" t="s">
        <v>9430</v>
      </c>
      <c r="D2833" t="s">
        <v>13305</v>
      </c>
      <c r="E2833" s="2">
        <v>30053</v>
      </c>
      <c r="F2833">
        <f>HYPERLINK("https://www2.assemblee-nationale.fr/sycomore/fiche/(num_dept)/4216", "4216.0")</f>
        <v>0</v>
      </c>
      <c r="H2833">
        <f>HYPERLINK("https://www.wikidata.org/wiki/Q3371599", "Q3371599")</f>
        <v>0</v>
      </c>
    </row>
    <row r="2834" spans="1:8">
      <c r="A2834" t="s">
        <v>2840</v>
      </c>
      <c r="B2834" t="s">
        <v>7438</v>
      </c>
      <c r="C2834" t="s">
        <v>10586</v>
      </c>
      <c r="D2834" t="s">
        <v>13983</v>
      </c>
      <c r="E2834" t="s">
        <v>16206</v>
      </c>
      <c r="F2834">
        <f>HYPERLINK("https://www2.assemblee-nationale.fr/sycomore/fiche/(num_dept)/8218", "8218.0")</f>
        <v>0</v>
      </c>
      <c r="H2834">
        <f>HYPERLINK("https://www.wikidata.org/wiki/Q16025909", "Q16025909")</f>
        <v>0</v>
      </c>
    </row>
    <row r="2835" spans="1:8">
      <c r="A2835" t="s">
        <v>2841</v>
      </c>
      <c r="B2835" t="s">
        <v>7438</v>
      </c>
      <c r="C2835" t="s">
        <v>9377</v>
      </c>
      <c r="D2835" t="s">
        <v>14004</v>
      </c>
      <c r="E2835" s="2">
        <v>20171</v>
      </c>
      <c r="H2835">
        <f>HYPERLINK("https://www.wikidata.org/wiki/Q932986", "Q932986")</f>
        <v>0</v>
      </c>
    </row>
    <row r="2836" spans="1:8">
      <c r="A2836" t="s">
        <v>2842</v>
      </c>
      <c r="B2836" t="s">
        <v>7439</v>
      </c>
      <c r="C2836" t="s">
        <v>9386</v>
      </c>
      <c r="D2836" t="s">
        <v>14005</v>
      </c>
      <c r="E2836" s="2">
        <v>23022</v>
      </c>
      <c r="F2836">
        <f>HYPERLINK("https://www2.assemblee-nationale.fr/sycomore/fiche/(num_dept)/4219", "4219.0")</f>
        <v>0</v>
      </c>
      <c r="H2836">
        <f>HYPERLINK("https://www.wikidata.org/wiki/Q2416396", "Q2416396")</f>
        <v>0</v>
      </c>
    </row>
    <row r="2837" spans="1:8">
      <c r="A2837" t="s">
        <v>2843</v>
      </c>
      <c r="B2837" t="s">
        <v>7440</v>
      </c>
      <c r="C2837" t="s">
        <v>9346</v>
      </c>
      <c r="D2837" t="s">
        <v>14006</v>
      </c>
      <c r="E2837" s="2">
        <v>8697</v>
      </c>
      <c r="F2837">
        <f>HYPERLINK("https://www2.assemblee-nationale.fr/sycomore/fiche/(num_dept)/4220", "4220.0")</f>
        <v>0</v>
      </c>
      <c r="H2837">
        <f>HYPERLINK("https://www.wikidata.org/wiki/Q16025910", "Q16025910")</f>
        <v>0</v>
      </c>
    </row>
    <row r="2838" spans="1:8">
      <c r="A2838" t="s">
        <v>2844</v>
      </c>
      <c r="B2838" t="s">
        <v>7441</v>
      </c>
      <c r="C2838" t="s">
        <v>6888</v>
      </c>
      <c r="D2838" t="s">
        <v>14007</v>
      </c>
      <c r="E2838" s="2">
        <v>7952</v>
      </c>
      <c r="F2838">
        <f>HYPERLINK("https://www2.assemblee-nationale.fr/sycomore/fiche/(num_dept)/4223", "4223.0")</f>
        <v>0</v>
      </c>
      <c r="H2838">
        <f>HYPERLINK("https://www.wikidata.org/wiki/Q13080876", "Q13080876")</f>
        <v>0</v>
      </c>
    </row>
    <row r="2839" spans="1:8">
      <c r="A2839" t="s">
        <v>2845</v>
      </c>
      <c r="B2839" t="s">
        <v>7442</v>
      </c>
      <c r="C2839" t="s">
        <v>5058</v>
      </c>
      <c r="D2839" t="s">
        <v>12879</v>
      </c>
      <c r="E2839" s="2">
        <v>9190</v>
      </c>
      <c r="F2839">
        <f>HYPERLINK("https://www2.assemblee-nationale.fr/sycomore/fiche/(num_dept)/4222", "4222.0")</f>
        <v>0</v>
      </c>
      <c r="H2839">
        <f>HYPERLINK("https://www.wikidata.org/wiki/Q2831302", "Q2831302")</f>
        <v>0</v>
      </c>
    </row>
    <row r="2840" spans="1:8">
      <c r="A2840" t="s">
        <v>2846</v>
      </c>
      <c r="B2840" t="s">
        <v>7443</v>
      </c>
      <c r="C2840" t="s">
        <v>5354</v>
      </c>
      <c r="D2840" t="s">
        <v>14008</v>
      </c>
      <c r="E2840" s="2">
        <v>1373</v>
      </c>
      <c r="G2840">
        <f>HYPERLINK("https://www.senat.fr/senateur-3eme-republique/lacombe_bertrand0390r3.html", "lacombe_bertrand0390r3")</f>
        <v>0</v>
      </c>
      <c r="H2840">
        <f>HYPERLINK("https://www.wikidata.org/wiki/Q2899588", "Q2899588")</f>
        <v>0</v>
      </c>
    </row>
    <row r="2841" spans="1:8">
      <c r="A2841" t="s">
        <v>2847</v>
      </c>
      <c r="B2841" t="s">
        <v>7443</v>
      </c>
      <c r="C2841" t="s">
        <v>8384</v>
      </c>
      <c r="D2841" t="s">
        <v>14009</v>
      </c>
      <c r="E2841" s="2">
        <v>6833</v>
      </c>
      <c r="G2841">
        <f>HYPERLINK("https://www.senat.fr/senateur-3eme-republique/lacombe_pierre0286r3.html", "lacombe_pierre0286r3")</f>
        <v>0</v>
      </c>
      <c r="H2841">
        <f>HYPERLINK("https://www.wikidata.org/wiki/Q3385710", "Q3385710")</f>
        <v>0</v>
      </c>
    </row>
    <row r="2842" spans="1:8">
      <c r="A2842" t="s">
        <v>2848</v>
      </c>
      <c r="B2842" t="s">
        <v>7444</v>
      </c>
      <c r="C2842" t="s">
        <v>7754</v>
      </c>
      <c r="D2842" t="s">
        <v>11521</v>
      </c>
      <c r="E2842" s="2">
        <v>10046</v>
      </c>
      <c r="F2842">
        <f>HYPERLINK("https://www2.assemblee-nationale.fr/sycomore/fiche/(num_dept)/4228", "4228.0")</f>
        <v>0</v>
      </c>
      <c r="H2842">
        <f>HYPERLINK("https://www.wikidata.org/wiki/Q16025912", "Q16025912")</f>
        <v>0</v>
      </c>
    </row>
    <row r="2843" spans="1:8">
      <c r="A2843" t="s">
        <v>2849</v>
      </c>
      <c r="B2843" t="s">
        <v>7444</v>
      </c>
      <c r="C2843" t="s">
        <v>9357</v>
      </c>
      <c r="D2843" t="s">
        <v>14010</v>
      </c>
      <c r="E2843" s="2">
        <v>14569</v>
      </c>
      <c r="F2843">
        <f>HYPERLINK("https://www2.assemblee-nationale.fr/sycomore/fiche/(num_dept)/4224", "4224.0")</f>
        <v>0</v>
      </c>
      <c r="H2843">
        <f>HYPERLINK("https://www.wikidata.org/wiki/Q16025911", "Q16025911")</f>
        <v>0</v>
      </c>
    </row>
    <row r="2844" spans="1:8">
      <c r="A2844" t="s">
        <v>2850</v>
      </c>
      <c r="B2844" t="s">
        <v>7445</v>
      </c>
      <c r="C2844" t="s">
        <v>9548</v>
      </c>
      <c r="D2844" t="s">
        <v>14011</v>
      </c>
      <c r="E2844" t="s">
        <v>15988</v>
      </c>
      <c r="G2844">
        <f>HYPERLINK("https://www.senat.fr/senateur-3eme-republique/lacomme_claude0530r3.html", "lacomme_claude0530r3")</f>
        <v>0</v>
      </c>
      <c r="H2844">
        <f>HYPERLINK("https://www.wikidata.org/wiki/Q2977633", "Q2977633")</f>
        <v>0</v>
      </c>
    </row>
    <row r="2845" spans="1:8">
      <c r="A2845" t="s">
        <v>2851</v>
      </c>
      <c r="B2845" t="s">
        <v>7446</v>
      </c>
      <c r="C2845" t="s">
        <v>10587</v>
      </c>
      <c r="D2845" t="s">
        <v>13157</v>
      </c>
      <c r="E2845" s="2">
        <v>27704</v>
      </c>
      <c r="H2845">
        <f>HYPERLINK("https://www.wikidata.org/wiki/Q3505985", "Q3505985")</f>
        <v>0</v>
      </c>
    </row>
    <row r="2846" spans="1:8">
      <c r="A2846" t="s">
        <v>2852</v>
      </c>
      <c r="B2846" t="s">
        <v>7447</v>
      </c>
      <c r="C2846" t="s">
        <v>10063</v>
      </c>
      <c r="D2846" t="s">
        <v>14012</v>
      </c>
      <c r="E2846" s="2">
        <v>15949</v>
      </c>
      <c r="F2846">
        <f>HYPERLINK("https://www2.assemblee-nationale.fr/sycomore/fiche/(num_dept)/4232", "4232.0")</f>
        <v>0</v>
      </c>
      <c r="H2846">
        <f>HYPERLINK("https://www.wikidata.org/wiki/Q16025914", "Q16025914")</f>
        <v>0</v>
      </c>
    </row>
    <row r="2847" spans="1:8">
      <c r="A2847" t="s">
        <v>2853</v>
      </c>
      <c r="B2847" t="s">
        <v>7448</v>
      </c>
      <c r="C2847" t="s">
        <v>10588</v>
      </c>
      <c r="D2847" t="s">
        <v>14013</v>
      </c>
      <c r="E2847" s="2">
        <v>4589</v>
      </c>
      <c r="F2847">
        <f>HYPERLINK("https://www2.assemblee-nationale.fr/sycomore/fiche/(num_dept)/5272", "5272.0")</f>
        <v>0</v>
      </c>
      <c r="H2847">
        <f>HYPERLINK("https://www.wikidata.org/wiki/Q16026101", "Q16026101")</f>
        <v>0</v>
      </c>
    </row>
    <row r="2848" spans="1:8">
      <c r="A2848" t="s">
        <v>2854</v>
      </c>
      <c r="B2848" t="s">
        <v>7448</v>
      </c>
      <c r="C2848" t="s">
        <v>10589</v>
      </c>
      <c r="D2848" t="s">
        <v>14014</v>
      </c>
      <c r="E2848" s="2">
        <v>16516</v>
      </c>
      <c r="F2848">
        <f>HYPERLINK("https://www2.assemblee-nationale.fr/sycomore/fiche/(num_dept)/4233", "4233.0")</f>
        <v>0</v>
      </c>
      <c r="H2848">
        <f>HYPERLINK("https://www.wikidata.org/wiki/Q2871256", "Q2871256")</f>
        <v>0</v>
      </c>
    </row>
    <row r="2849" spans="1:8">
      <c r="A2849" t="s">
        <v>2855</v>
      </c>
      <c r="B2849" t="s">
        <v>7449</v>
      </c>
      <c r="C2849" t="s">
        <v>9564</v>
      </c>
      <c r="D2849" t="s">
        <v>14015</v>
      </c>
      <c r="E2849" s="2">
        <v>18889</v>
      </c>
      <c r="F2849">
        <f>HYPERLINK("https://www2.assemblee-nationale.fr/sycomore/fiche/(num_dept)/4234", "4234.0")</f>
        <v>0</v>
      </c>
      <c r="H2849">
        <f>HYPERLINK("https://www.wikidata.org/wiki/Q16025915", "Q16025915")</f>
        <v>0</v>
      </c>
    </row>
    <row r="2850" spans="1:8">
      <c r="A2850" t="s">
        <v>2856</v>
      </c>
      <c r="B2850" t="s">
        <v>7450</v>
      </c>
      <c r="C2850" t="s">
        <v>10590</v>
      </c>
      <c r="D2850" t="s">
        <v>14016</v>
      </c>
      <c r="E2850" t="s">
        <v>15895</v>
      </c>
      <c r="F2850">
        <f>HYPERLINK("https://www2.assemblee-nationale.fr/sycomore/fiche/(num_dept)/4236", "4236.0")</f>
        <v>0</v>
      </c>
      <c r="H2850">
        <f>HYPERLINK("https://www.wikidata.org/wiki/Q3383114", "Q3383114")</f>
        <v>0</v>
      </c>
    </row>
    <row r="2851" spans="1:8">
      <c r="A2851" t="s">
        <v>2857</v>
      </c>
      <c r="B2851" t="s">
        <v>7450</v>
      </c>
      <c r="C2851" t="s">
        <v>9696</v>
      </c>
      <c r="D2851" t="s">
        <v>14017</v>
      </c>
      <c r="E2851" t="s">
        <v>16209</v>
      </c>
      <c r="F2851">
        <f>HYPERLINK("https://www2.assemblee-nationale.fr/sycomore/fiche/(num_dept)/4235", "4235.0")</f>
        <v>0</v>
      </c>
      <c r="H2851">
        <f>HYPERLINK("https://www.wikidata.org/wiki/Q8331614", "Q8331614")</f>
        <v>0</v>
      </c>
    </row>
    <row r="2852" spans="1:8">
      <c r="A2852" t="s">
        <v>2858</v>
      </c>
      <c r="B2852" t="s">
        <v>7451</v>
      </c>
      <c r="C2852" t="s">
        <v>9618</v>
      </c>
      <c r="D2852" t="s">
        <v>11839</v>
      </c>
      <c r="E2852" s="2">
        <v>547</v>
      </c>
      <c r="F2852">
        <f>HYPERLINK("https://www2.assemblee-nationale.fr/sycomore/fiche/(num_dept)/4238", "4238.0")</f>
        <v>0</v>
      </c>
      <c r="H2852">
        <f>HYPERLINK("https://www.wikidata.org/wiki/Q3120001", "Q3120001")</f>
        <v>0</v>
      </c>
    </row>
    <row r="2853" spans="1:8">
      <c r="A2853" t="s">
        <v>2859</v>
      </c>
      <c r="B2853" t="s">
        <v>7451</v>
      </c>
      <c r="C2853" t="s">
        <v>10591</v>
      </c>
      <c r="D2853" t="s">
        <v>14018</v>
      </c>
      <c r="E2853" s="2">
        <v>3626</v>
      </c>
      <c r="F2853">
        <f>HYPERLINK("https://www2.assemblee-nationale.fr/sycomore/fiche/(num_dept)/7975", "7975.0")</f>
        <v>0</v>
      </c>
      <c r="H2853">
        <f>HYPERLINK("https://www.wikidata.org/wiki/Q13091116", "Q13091116")</f>
        <v>0</v>
      </c>
    </row>
    <row r="2854" spans="1:8">
      <c r="A2854" t="s">
        <v>2860</v>
      </c>
      <c r="B2854" t="s">
        <v>7452</v>
      </c>
      <c r="C2854" t="s">
        <v>8691</v>
      </c>
      <c r="D2854" t="s">
        <v>14019</v>
      </c>
      <c r="E2854" s="2">
        <v>11381</v>
      </c>
      <c r="G2854">
        <f>HYPERLINK("https://www.senat.fr/senateur-3eme-republique/lacroix_robert1124r3.html", "lacroix_robert1124r3")</f>
        <v>0</v>
      </c>
      <c r="H2854">
        <f>HYPERLINK("https://www.wikidata.org/wiki/Q3435630", "Q3435630")</f>
        <v>0</v>
      </c>
    </row>
    <row r="2855" spans="1:8">
      <c r="A2855" t="s">
        <v>2861</v>
      </c>
      <c r="B2855" t="s">
        <v>7453</v>
      </c>
      <c r="C2855" t="s">
        <v>9337</v>
      </c>
      <c r="D2855" t="s">
        <v>14020</v>
      </c>
      <c r="E2855" t="s">
        <v>16210</v>
      </c>
      <c r="F2855">
        <f>HYPERLINK("https://www2.assemblee-nationale.fr/sycomore/fiche/(num_dept)/4231", "4231.0")</f>
        <v>0</v>
      </c>
      <c r="H2855">
        <f>HYPERLINK("https://www.wikidata.org/wiki/Q16025913", "Q16025913")</f>
        <v>0</v>
      </c>
    </row>
    <row r="2856" spans="1:8">
      <c r="A2856" t="s">
        <v>2862</v>
      </c>
      <c r="B2856" t="s">
        <v>7454</v>
      </c>
      <c r="C2856" t="s">
        <v>9524</v>
      </c>
      <c r="D2856" t="s">
        <v>14021</v>
      </c>
      <c r="E2856" t="s">
        <v>16211</v>
      </c>
      <c r="G2856">
        <f>HYPERLINK("https://www.senat.fr/senateur-3eme-republique/lades_gout_emile0267r3.html", "lades_gout_emile0267r3")</f>
        <v>0</v>
      </c>
      <c r="H2856">
        <f>HYPERLINK("https://www.wikidata.org/wiki/Q3588595", "Q3588595")</f>
        <v>0</v>
      </c>
    </row>
    <row r="2857" spans="1:8">
      <c r="A2857" t="s">
        <v>2863</v>
      </c>
      <c r="B2857" t="s">
        <v>7455</v>
      </c>
      <c r="C2857" t="s">
        <v>10592</v>
      </c>
      <c r="D2857" t="s">
        <v>14022</v>
      </c>
      <c r="E2857" s="2">
        <v>4723</v>
      </c>
      <c r="F2857">
        <f>HYPERLINK("https://www2.assemblee-nationale.fr/sycomore/fiche/(num_dept)/4242", "4242.0")</f>
        <v>0</v>
      </c>
      <c r="H2857">
        <f>HYPERLINK("https://www.wikidata.org/wiki/Q16025916", "Q16025916")</f>
        <v>0</v>
      </c>
    </row>
    <row r="2858" spans="1:8">
      <c r="A2858" t="s">
        <v>2864</v>
      </c>
      <c r="B2858" t="s">
        <v>7456</v>
      </c>
      <c r="C2858" t="s">
        <v>8716</v>
      </c>
      <c r="D2858" t="s">
        <v>14023</v>
      </c>
      <c r="E2858" s="2">
        <v>21891</v>
      </c>
      <c r="F2858">
        <f>HYPERLINK("https://www2.assemblee-nationale.fr/sycomore/fiche/(num_dept)/4243", "4243.0")</f>
        <v>0</v>
      </c>
      <c r="H2858">
        <f>HYPERLINK("https://www.wikidata.org/wiki/Q16025917", "Q16025917")</f>
        <v>0</v>
      </c>
    </row>
    <row r="2859" spans="1:8">
      <c r="A2859" t="s">
        <v>2865</v>
      </c>
      <c r="B2859" t="s">
        <v>7457</v>
      </c>
      <c r="C2859" t="s">
        <v>9320</v>
      </c>
      <c r="D2859" t="s">
        <v>14024</v>
      </c>
      <c r="E2859" s="2">
        <v>13918</v>
      </c>
      <c r="F2859">
        <f>HYPERLINK("https://www2.assemblee-nationale.fr/sycomore/fiche/(num_dept)/4244", "4244.0")</f>
        <v>0</v>
      </c>
      <c r="H2859">
        <f>HYPERLINK("https://www.wikidata.org/wiki/Q16025918", "Q16025918")</f>
        <v>0</v>
      </c>
    </row>
    <row r="2860" spans="1:8">
      <c r="A2860" t="s">
        <v>2866</v>
      </c>
      <c r="B2860" t="s">
        <v>7458</v>
      </c>
      <c r="C2860" t="s">
        <v>9430</v>
      </c>
      <c r="D2860" t="s">
        <v>14025</v>
      </c>
      <c r="E2860" s="2">
        <v>4347</v>
      </c>
      <c r="F2860">
        <f>HYPERLINK("https://www2.assemblee-nationale.fr/sycomore/fiche/(num_dept)/4245", "4245.0")</f>
        <v>0</v>
      </c>
      <c r="H2860">
        <f>HYPERLINK("https://www.wikidata.org/wiki/Q317152", "Q317152")</f>
        <v>0</v>
      </c>
    </row>
    <row r="2861" spans="1:8">
      <c r="A2861" t="s">
        <v>2867</v>
      </c>
      <c r="B2861" t="s">
        <v>7459</v>
      </c>
      <c r="C2861" t="s">
        <v>10593</v>
      </c>
      <c r="D2861" t="s">
        <v>14026</v>
      </c>
      <c r="E2861" s="2">
        <v>21569</v>
      </c>
      <c r="F2861">
        <f>HYPERLINK("https://www2.assemblee-nationale.fr/sycomore/fiche/(num_dept)/4247", "4247.0")</f>
        <v>0</v>
      </c>
      <c r="H2861">
        <f>HYPERLINK("https://www.wikidata.org/wiki/Q3093813", "Q3093813")</f>
        <v>0</v>
      </c>
    </row>
    <row r="2862" spans="1:8">
      <c r="A2862" t="s">
        <v>2868</v>
      </c>
      <c r="B2862" t="s">
        <v>7460</v>
      </c>
      <c r="C2862" t="s">
        <v>7754</v>
      </c>
      <c r="D2862" t="s">
        <v>14027</v>
      </c>
      <c r="E2862" s="2">
        <v>10652</v>
      </c>
      <c r="F2862">
        <f>HYPERLINK("https://www2.assemblee-nationale.fr/sycomore/fiche/(num_dept)/4248", "4248.0")</f>
        <v>0</v>
      </c>
      <c r="G2862">
        <f>HYPERLINK("https://www.senat.fr/senateur-3eme-republique/lafferre_antonin0251r3.html", "lafferre_antonin0251r3")</f>
        <v>0</v>
      </c>
      <c r="H2862">
        <f>HYPERLINK("https://www.wikidata.org/wiki/Q3262422", "Q3262422")</f>
        <v>0</v>
      </c>
    </row>
    <row r="2863" spans="1:8">
      <c r="A2863" t="s">
        <v>2869</v>
      </c>
      <c r="B2863" t="s">
        <v>7461</v>
      </c>
      <c r="C2863" t="s">
        <v>9320</v>
      </c>
      <c r="D2863" t="s">
        <v>14028</v>
      </c>
      <c r="E2863" t="s">
        <v>16212</v>
      </c>
      <c r="F2863">
        <f>HYPERLINK("https://www2.assemblee-nationale.fr/sycomore/fiche/(num_dept)/4252", "4252.0")</f>
        <v>0</v>
      </c>
      <c r="H2863">
        <f>HYPERLINK("https://www.wikidata.org/wiki/Q8339088", "Q8339088")</f>
        <v>0</v>
      </c>
    </row>
    <row r="2864" spans="1:8">
      <c r="A2864" t="s">
        <v>2870</v>
      </c>
      <c r="B2864" t="s">
        <v>7462</v>
      </c>
      <c r="C2864" t="s">
        <v>9430</v>
      </c>
      <c r="D2864" t="s">
        <v>14029</v>
      </c>
      <c r="E2864" s="2">
        <v>16266</v>
      </c>
      <c r="F2864">
        <f>HYPERLINK("https://www2.assemblee-nationale.fr/sycomore/fiche/(num_dept)/4253", "4253.0")</f>
        <v>0</v>
      </c>
      <c r="G2864">
        <f>HYPERLINK("https://www.senat.fr/senateur-3eme-republique/laffont_paul0184r3.html", "laffont_paul0184r3")</f>
        <v>0</v>
      </c>
      <c r="H2864">
        <f>HYPERLINK("https://www.wikidata.org/wiki/Q3371619", "Q3371619")</f>
        <v>0</v>
      </c>
    </row>
    <row r="2865" spans="1:8">
      <c r="A2865" t="s">
        <v>2871</v>
      </c>
      <c r="B2865" t="s">
        <v>7463</v>
      </c>
      <c r="C2865" t="s">
        <v>7174</v>
      </c>
      <c r="D2865" t="s">
        <v>14030</v>
      </c>
      <c r="E2865" t="s">
        <v>16213</v>
      </c>
      <c r="G2865">
        <f>HYPERLINK("https://www.senat.fr/senateur-3eme-republique/lafond_de_saint_mur_guy0455r3.html", "lafond_de_saint_mur_guy0455r3")</f>
        <v>0</v>
      </c>
      <c r="H2865">
        <f>HYPERLINK("https://www.wikidata.org/wiki/Q3121898", "Q3121898")</f>
        <v>0</v>
      </c>
    </row>
    <row r="2866" spans="1:8">
      <c r="A2866" t="s">
        <v>2872</v>
      </c>
      <c r="B2866" t="s">
        <v>7464</v>
      </c>
      <c r="C2866" t="s">
        <v>10594</v>
      </c>
      <c r="D2866" t="s">
        <v>14031</v>
      </c>
      <c r="E2866" s="2">
        <v>3081</v>
      </c>
      <c r="F2866">
        <f>HYPERLINK("https://www2.assemblee-nationale.fr/sycomore/fiche/(num_dept)/7976", "7976.0")</f>
        <v>0</v>
      </c>
      <c r="H2866">
        <f>HYPERLINK("https://www.wikidata.org/wiki/Q19628657", "Q19628657")</f>
        <v>0</v>
      </c>
    </row>
    <row r="2867" spans="1:8">
      <c r="A2867" t="s">
        <v>2873</v>
      </c>
      <c r="B2867" t="s">
        <v>7464</v>
      </c>
      <c r="C2867" t="s">
        <v>9332</v>
      </c>
      <c r="D2867" t="s">
        <v>14032</v>
      </c>
      <c r="E2867" t="s">
        <v>12185</v>
      </c>
      <c r="F2867">
        <f>HYPERLINK("https://www2.assemblee-nationale.fr/sycomore/fiche/(num_dept)/4260", "4260.0")</f>
        <v>0</v>
      </c>
      <c r="H2867">
        <f>HYPERLINK("https://www.wikidata.org/wiki/Q17350214", "Q17350214")</f>
        <v>0</v>
      </c>
    </row>
    <row r="2868" spans="1:8">
      <c r="A2868" t="s">
        <v>2874</v>
      </c>
      <c r="B2868" t="s">
        <v>7464</v>
      </c>
      <c r="C2868" t="s">
        <v>10595</v>
      </c>
      <c r="D2868" t="s">
        <v>14033</v>
      </c>
      <c r="E2868" s="2">
        <v>16929</v>
      </c>
      <c r="F2868">
        <f>HYPERLINK("https://www2.assemblee-nationale.fr/sycomore/fiche/(num_dept)/4259", "4259.0")</f>
        <v>0</v>
      </c>
      <c r="H2868">
        <f>HYPERLINK("https://www.wikidata.org/wiki/Q3057034", "Q3057034")</f>
        <v>0</v>
      </c>
    </row>
    <row r="2869" spans="1:8">
      <c r="A2869" t="s">
        <v>2875</v>
      </c>
      <c r="B2869" t="s">
        <v>7465</v>
      </c>
      <c r="C2869" t="s">
        <v>10045</v>
      </c>
      <c r="D2869" t="s">
        <v>14034</v>
      </c>
      <c r="G2869">
        <f>HYPERLINK("https://www.senat.fr/senateur-3eme-republique/lagache_celestin0883r3.html", "lagache_celestin0883r3")</f>
        <v>0</v>
      </c>
      <c r="H2869">
        <f>HYPERLINK("https://www.wikidata.org/wiki/Q3010078", "Q3010078")</f>
        <v>0</v>
      </c>
    </row>
    <row r="2870" spans="1:8">
      <c r="A2870" t="s">
        <v>2876</v>
      </c>
      <c r="B2870" t="s">
        <v>7466</v>
      </c>
      <c r="C2870" t="s">
        <v>7754</v>
      </c>
      <c r="D2870" t="s">
        <v>14035</v>
      </c>
      <c r="E2870" s="2">
        <v>14700</v>
      </c>
      <c r="F2870">
        <f>HYPERLINK("https://www2.assemblee-nationale.fr/sycomore/fiche/(num_dept)/4263", "4263.0")</f>
        <v>0</v>
      </c>
      <c r="H2870">
        <f>HYPERLINK("https://www.wikidata.org/wiki/Q17353222", "Q17353222")</f>
        <v>0</v>
      </c>
    </row>
    <row r="2871" spans="1:8">
      <c r="A2871" t="s">
        <v>2877</v>
      </c>
      <c r="B2871" t="s">
        <v>7467</v>
      </c>
      <c r="C2871" t="s">
        <v>7314</v>
      </c>
      <c r="D2871" t="s">
        <v>14036</v>
      </c>
      <c r="E2871" t="s">
        <v>16214</v>
      </c>
      <c r="G2871">
        <f>HYPERLINK("https://www.senat.fr/senateur-3eme-republique/laget_jacques0830r3.html", "laget_jacques0830r3")</f>
        <v>0</v>
      </c>
      <c r="H2871">
        <f>HYPERLINK("https://www.wikidata.org/wiki/Q1607265", "Q1607265")</f>
        <v>0</v>
      </c>
    </row>
    <row r="2872" spans="1:8">
      <c r="A2872" t="s">
        <v>2878</v>
      </c>
      <c r="B2872" t="s">
        <v>7468</v>
      </c>
      <c r="C2872" t="s">
        <v>9533</v>
      </c>
      <c r="D2872" t="s">
        <v>14037</v>
      </c>
      <c r="E2872" s="2">
        <v>2656</v>
      </c>
      <c r="F2872">
        <f>HYPERLINK("https://www2.assemblee-nationale.fr/sycomore/fiche/(num_dept)/4264", "4264.0")</f>
        <v>0</v>
      </c>
      <c r="H2872">
        <f>HYPERLINK("https://www.wikidata.org/wiki/Q586560", "Q586560")</f>
        <v>0</v>
      </c>
    </row>
    <row r="2873" spans="1:8">
      <c r="A2873" t="s">
        <v>2879</v>
      </c>
      <c r="B2873" t="s">
        <v>7469</v>
      </c>
      <c r="C2873" t="s">
        <v>10596</v>
      </c>
      <c r="D2873" t="s">
        <v>14038</v>
      </c>
      <c r="E2873" s="2">
        <v>6318</v>
      </c>
      <c r="F2873">
        <f>HYPERLINK("https://www2.assemblee-nationale.fr/sycomore/fiche/(num_dept)/4266", "4266.0")</f>
        <v>0</v>
      </c>
      <c r="H2873">
        <f>HYPERLINK("https://www.wikidata.org/wiki/Q16026074", "Q16026074")</f>
        <v>0</v>
      </c>
    </row>
    <row r="2874" spans="1:8">
      <c r="A2874" t="s">
        <v>2880</v>
      </c>
      <c r="B2874" t="s">
        <v>7470</v>
      </c>
      <c r="C2874" t="s">
        <v>10597</v>
      </c>
      <c r="D2874" t="s">
        <v>13454</v>
      </c>
      <c r="E2874" t="s">
        <v>15963</v>
      </c>
      <c r="F2874">
        <f>HYPERLINK("https://www2.assemblee-nationale.fr/sycomore/fiche/(num_dept)/4270", "4270.0")</f>
        <v>0</v>
      </c>
      <c r="H2874">
        <f>HYPERLINK("https://www.wikidata.org/wiki/Q16025923", "Q16025923")</f>
        <v>0</v>
      </c>
    </row>
    <row r="2875" spans="1:8">
      <c r="A2875" t="s">
        <v>2881</v>
      </c>
      <c r="B2875" t="s">
        <v>7470</v>
      </c>
      <c r="C2875" t="s">
        <v>9425</v>
      </c>
      <c r="D2875" s="2">
        <v>333</v>
      </c>
      <c r="E2875" s="2">
        <v>14772</v>
      </c>
      <c r="F2875">
        <f>HYPERLINK("https://www2.assemblee-nationale.fr/sycomore/fiche/(num_dept)/4268", "4268.0")</f>
        <v>0</v>
      </c>
      <c r="H2875">
        <f>HYPERLINK("https://www.wikidata.org/wiki/Q3270494", "Q3270494")</f>
        <v>0</v>
      </c>
    </row>
    <row r="2876" spans="1:8">
      <c r="A2876" t="s">
        <v>2882</v>
      </c>
      <c r="B2876" t="s">
        <v>7471</v>
      </c>
      <c r="C2876" t="s">
        <v>10598</v>
      </c>
      <c r="D2876" t="s">
        <v>13186</v>
      </c>
      <c r="E2876" s="2">
        <v>18269</v>
      </c>
      <c r="F2876">
        <f>HYPERLINK("https://www2.assemblee-nationale.fr/sycomore/fiche/(num_dept)/4271", "4271.0")</f>
        <v>0</v>
      </c>
      <c r="H2876">
        <f>HYPERLINK("https://www.wikidata.org/wiki/Q3185196", "Q3185196")</f>
        <v>0</v>
      </c>
    </row>
    <row r="2877" spans="1:8">
      <c r="A2877" t="s">
        <v>2883</v>
      </c>
      <c r="B2877" t="s">
        <v>7472</v>
      </c>
      <c r="C2877" t="s">
        <v>7001</v>
      </c>
      <c r="D2877" t="s">
        <v>14039</v>
      </c>
      <c r="E2877" s="2">
        <v>4552</v>
      </c>
      <c r="F2877">
        <f>HYPERLINK("https://www2.assemblee-nationale.fr/sycomore/fiche/(num_dept)/4272", "4272.0")</f>
        <v>0</v>
      </c>
      <c r="H2877">
        <f>HYPERLINK("https://www.wikidata.org/wiki/Q3103015", "Q3103015")</f>
        <v>0</v>
      </c>
    </row>
    <row r="2878" spans="1:8">
      <c r="A2878" t="s">
        <v>2884</v>
      </c>
      <c r="B2878" t="s">
        <v>7472</v>
      </c>
      <c r="C2878" t="s">
        <v>10599</v>
      </c>
      <c r="D2878" t="s">
        <v>14040</v>
      </c>
      <c r="E2878" s="2">
        <v>8544</v>
      </c>
      <c r="F2878">
        <f>HYPERLINK("https://www2.assemblee-nationale.fr/sycomore/fiche/(num_dept)/4273", "4273.0")</f>
        <v>0</v>
      </c>
      <c r="H2878">
        <f>HYPERLINK("https://www.wikidata.org/wiki/Q21274345", "Q21274345")</f>
        <v>0</v>
      </c>
    </row>
    <row r="2879" spans="1:8">
      <c r="A2879" t="s">
        <v>2885</v>
      </c>
      <c r="B2879" t="s">
        <v>7473</v>
      </c>
      <c r="C2879" t="s">
        <v>10600</v>
      </c>
      <c r="D2879" t="s">
        <v>14041</v>
      </c>
      <c r="E2879" s="2">
        <v>16363</v>
      </c>
      <c r="F2879">
        <f>HYPERLINK("https://www2.assemblee-nationale.fr/sycomore/fiche/(num_dept)/4278", "4278.0")</f>
        <v>0</v>
      </c>
      <c r="H2879">
        <f>HYPERLINK("https://www.wikidata.org/wiki/Q16025924", "Q16025924")</f>
        <v>0</v>
      </c>
    </row>
    <row r="2880" spans="1:8">
      <c r="A2880" t="s">
        <v>2886</v>
      </c>
      <c r="B2880" t="s">
        <v>7474</v>
      </c>
      <c r="C2880" t="s">
        <v>10601</v>
      </c>
      <c r="D2880" t="s">
        <v>13511</v>
      </c>
      <c r="E2880" s="2">
        <v>9748</v>
      </c>
      <c r="F2880">
        <f>HYPERLINK("https://www2.assemblee-nationale.fr/sycomore/fiche/(num_dept)/4280", "4280.0")</f>
        <v>0</v>
      </c>
      <c r="H2880">
        <f>HYPERLINK("https://www.wikidata.org/wiki/Q3057030", "Q3057030")</f>
        <v>0</v>
      </c>
    </row>
    <row r="2881" spans="1:8">
      <c r="A2881" t="s">
        <v>2887</v>
      </c>
      <c r="B2881" t="s">
        <v>7475</v>
      </c>
      <c r="C2881" t="s">
        <v>10602</v>
      </c>
      <c r="D2881" t="s">
        <v>14042</v>
      </c>
      <c r="E2881" s="2">
        <v>7431</v>
      </c>
      <c r="F2881">
        <f>HYPERLINK("https://www2.assemblee-nationale.fr/sycomore/fiche/(num_dept)/4281", "4281.0")</f>
        <v>0</v>
      </c>
      <c r="H2881">
        <f>HYPERLINK("https://www.wikidata.org/wiki/Q25318", "Q25318")</f>
        <v>0</v>
      </c>
    </row>
    <row r="2882" spans="1:8">
      <c r="A2882" t="s">
        <v>2888</v>
      </c>
      <c r="B2882" t="s">
        <v>7476</v>
      </c>
      <c r="C2882" t="s">
        <v>7754</v>
      </c>
      <c r="D2882" t="s">
        <v>14043</v>
      </c>
      <c r="E2882" s="2">
        <v>20616</v>
      </c>
      <c r="F2882">
        <f>HYPERLINK("https://www2.assemblee-nationale.fr/sycomore/fiche/(num_dept)/4283", "4283.0")</f>
        <v>0</v>
      </c>
      <c r="H2882">
        <f>HYPERLINK("https://www.wikidata.org/wiki/Q16025925", "Q16025925")</f>
        <v>0</v>
      </c>
    </row>
    <row r="2883" spans="1:8">
      <c r="A2883" t="s">
        <v>2889</v>
      </c>
      <c r="B2883" t="s">
        <v>7477</v>
      </c>
      <c r="C2883" t="s">
        <v>10603</v>
      </c>
      <c r="D2883" t="s">
        <v>14044</v>
      </c>
      <c r="E2883" s="2">
        <v>3024</v>
      </c>
      <c r="F2883">
        <f>HYPERLINK("https://www2.assemblee-nationale.fr/sycomore/fiche/(num_dept)/4251", "4251.0")</f>
        <v>0</v>
      </c>
      <c r="H2883">
        <f>HYPERLINK("https://www.wikidata.org/wiki/Q16025919", "Q16025919")</f>
        <v>0</v>
      </c>
    </row>
    <row r="2884" spans="1:8">
      <c r="A2884" t="s">
        <v>2890</v>
      </c>
      <c r="B2884" t="s">
        <v>7478</v>
      </c>
      <c r="C2884" t="s">
        <v>6864</v>
      </c>
      <c r="D2884" t="s">
        <v>14045</v>
      </c>
      <c r="E2884" t="s">
        <v>16182</v>
      </c>
      <c r="F2884">
        <f>HYPERLINK("https://www2.assemblee-nationale.fr/sycomore/fiche/(num_dept)/4286", "4286.0")</f>
        <v>0</v>
      </c>
      <c r="H2884">
        <f>HYPERLINK("https://www.wikidata.org/wiki/Q16798496", "Q16798496")</f>
        <v>0</v>
      </c>
    </row>
    <row r="2885" spans="1:8">
      <c r="A2885" t="s">
        <v>2891</v>
      </c>
      <c r="B2885" t="s">
        <v>7479</v>
      </c>
      <c r="C2885" t="s">
        <v>7782</v>
      </c>
      <c r="D2885" t="s">
        <v>14046</v>
      </c>
      <c r="E2885" t="s">
        <v>16215</v>
      </c>
      <c r="G2885">
        <f>HYPERLINK("https://www.senat.fr/senateur-3eme-republique/lalanne_leon1492r3.html", "lalanne_leon1492r3")</f>
        <v>0</v>
      </c>
      <c r="H2885">
        <f>HYPERLINK("https://www.wikidata.org/wiki/Q3271116", "Q3271116")</f>
        <v>0</v>
      </c>
    </row>
    <row r="2886" spans="1:8">
      <c r="A2886" t="s">
        <v>2892</v>
      </c>
      <c r="B2886" t="s">
        <v>7480</v>
      </c>
      <c r="C2886" t="s">
        <v>10604</v>
      </c>
      <c r="D2886" t="s">
        <v>14047</v>
      </c>
      <c r="E2886" t="s">
        <v>16216</v>
      </c>
      <c r="F2886">
        <f>HYPERLINK("https://www2.assemblee-nationale.fr/sycomore/fiche/(num_dept)/8139", "8139.0")</f>
        <v>0</v>
      </c>
      <c r="H2886">
        <f>HYPERLINK("https://www.wikidata.org/wiki/Q16025927", "Q16025927")</f>
        <v>0</v>
      </c>
    </row>
    <row r="2887" spans="1:8">
      <c r="A2887" t="s">
        <v>2893</v>
      </c>
      <c r="B2887" t="s">
        <v>7480</v>
      </c>
      <c r="C2887" t="s">
        <v>9512</v>
      </c>
      <c r="D2887" t="s">
        <v>14048</v>
      </c>
      <c r="E2887" s="2">
        <v>20886</v>
      </c>
      <c r="F2887">
        <f>HYPERLINK("https://www2.assemblee-nationale.fr/sycomore/fiche/(num_dept)/4287", "4287.0")</f>
        <v>0</v>
      </c>
      <c r="H2887">
        <f>HYPERLINK("https://www.wikidata.org/wiki/Q16025926", "Q16025926")</f>
        <v>0</v>
      </c>
    </row>
    <row r="2888" spans="1:8">
      <c r="A2888" t="s">
        <v>2894</v>
      </c>
      <c r="B2888" t="s">
        <v>7481</v>
      </c>
      <c r="C2888" t="s">
        <v>10605</v>
      </c>
      <c r="D2888" t="s">
        <v>14049</v>
      </c>
      <c r="E2888" s="2">
        <v>17888</v>
      </c>
      <c r="F2888">
        <f>HYPERLINK("https://www2.assemblee-nationale.fr/sycomore/fiche/(num_dept)/4290", "4290.0")</f>
        <v>0</v>
      </c>
      <c r="H2888">
        <f>HYPERLINK("https://www.wikidata.org/wiki/Q16025928", "Q16025928")</f>
        <v>0</v>
      </c>
    </row>
    <row r="2889" spans="1:8">
      <c r="A2889" t="s">
        <v>2895</v>
      </c>
      <c r="B2889" t="s">
        <v>7482</v>
      </c>
      <c r="C2889" t="s">
        <v>10606</v>
      </c>
      <c r="D2889" t="s">
        <v>14050</v>
      </c>
      <c r="E2889" s="2">
        <v>2709</v>
      </c>
      <c r="F2889">
        <f>HYPERLINK("https://www2.assemblee-nationale.fr/sycomore/fiche/(num_dept)/4291", "4291.0")</f>
        <v>0</v>
      </c>
      <c r="H2889">
        <f>HYPERLINK("https://www.wikidata.org/wiki/Q13089896", "Q13089896")</f>
        <v>0</v>
      </c>
    </row>
    <row r="2890" spans="1:8">
      <c r="A2890" t="s">
        <v>2896</v>
      </c>
      <c r="B2890" t="s">
        <v>7483</v>
      </c>
      <c r="C2890" t="s">
        <v>9355</v>
      </c>
      <c r="D2890" t="s">
        <v>14051</v>
      </c>
      <c r="E2890" s="2">
        <v>6906</v>
      </c>
      <c r="F2890">
        <f>HYPERLINK("https://www2.assemblee-nationale.fr/sycomore/fiche/(num_dept)/4292", "4292.0")</f>
        <v>0</v>
      </c>
      <c r="H2890">
        <f>HYPERLINK("https://www.wikidata.org/wiki/Q2959554", "Q2959554")</f>
        <v>0</v>
      </c>
    </row>
    <row r="2891" spans="1:8">
      <c r="A2891" t="s">
        <v>2897</v>
      </c>
      <c r="B2891" t="s">
        <v>7484</v>
      </c>
      <c r="C2891" t="s">
        <v>10607</v>
      </c>
      <c r="D2891" t="s">
        <v>12738</v>
      </c>
      <c r="E2891" s="2">
        <v>10668</v>
      </c>
      <c r="F2891">
        <f>HYPERLINK("https://www2.assemblee-nationale.fr/sycomore/fiche/(num_dept)/4298", "4298.0")</f>
        <v>0</v>
      </c>
      <c r="H2891">
        <f>HYPERLINK("https://www.wikidata.org/wiki/Q3121364", "Q3121364")</f>
        <v>0</v>
      </c>
    </row>
    <row r="2892" spans="1:8">
      <c r="A2892" t="s">
        <v>2898</v>
      </c>
      <c r="B2892" t="s">
        <v>7485</v>
      </c>
      <c r="C2892" t="s">
        <v>10608</v>
      </c>
      <c r="D2892" t="s">
        <v>13183</v>
      </c>
      <c r="E2892" s="2">
        <v>11718</v>
      </c>
      <c r="F2892">
        <f>HYPERLINK("https://www2.assemblee-nationale.fr/sycomore/fiche/(num_dept)/1372", "1372.0")</f>
        <v>0</v>
      </c>
      <c r="H2892">
        <f>HYPERLINK("https://www.wikidata.org/wiki/Q15974120", "Q15974120")</f>
        <v>0</v>
      </c>
    </row>
    <row r="2893" spans="1:8">
      <c r="A2893" t="s">
        <v>2899</v>
      </c>
      <c r="B2893" t="s">
        <v>7486</v>
      </c>
      <c r="C2893" t="s">
        <v>8384</v>
      </c>
      <c r="D2893" t="s">
        <v>14052</v>
      </c>
      <c r="E2893" s="2">
        <v>18769</v>
      </c>
      <c r="F2893">
        <f>HYPERLINK("https://www2.assemblee-nationale.fr/sycomore/fiche/(num_dept)/4300", "4300.0")</f>
        <v>0</v>
      </c>
      <c r="H2893">
        <f>HYPERLINK("https://www.wikidata.org/wiki/Q16025929", "Q16025929")</f>
        <v>0</v>
      </c>
    </row>
    <row r="2894" spans="1:8">
      <c r="A2894" t="s">
        <v>2900</v>
      </c>
      <c r="B2894" t="s">
        <v>7487</v>
      </c>
      <c r="C2894" t="s">
        <v>9355</v>
      </c>
      <c r="D2894" t="s">
        <v>14053</v>
      </c>
      <c r="G2894">
        <f>HYPERLINK("https://www.senat.fr/senateur-3eme-republique/lambert_de_sainte_croix_charles0266r3.html", "lambert_de_sainte_croix_charles0266r3")</f>
        <v>0</v>
      </c>
      <c r="H2894">
        <f>HYPERLINK("https://www.wikidata.org/wiki/Q2959560", "Q2959560")</f>
        <v>0</v>
      </c>
    </row>
    <row r="2895" spans="1:8">
      <c r="A2895" t="s">
        <v>2901</v>
      </c>
      <c r="B2895" t="s">
        <v>7488</v>
      </c>
      <c r="C2895" t="s">
        <v>10034</v>
      </c>
      <c r="D2895" t="s">
        <v>14054</v>
      </c>
      <c r="E2895" s="2">
        <v>377</v>
      </c>
      <c r="G2895">
        <f>HYPERLINK("https://www.senat.fr/senateur-3eme-republique/lambert_arsene0799r3.html", "lambert_arsene0799r3")</f>
        <v>0</v>
      </c>
      <c r="H2895">
        <f>HYPERLINK("https://www.wikidata.org/wiki/Q2864455", "Q2864455")</f>
        <v>0</v>
      </c>
    </row>
    <row r="2896" spans="1:8">
      <c r="A2896" t="s">
        <v>2902</v>
      </c>
      <c r="B2896" t="s">
        <v>7489</v>
      </c>
      <c r="C2896" t="s">
        <v>10609</v>
      </c>
      <c r="D2896" t="s">
        <v>14055</v>
      </c>
      <c r="E2896" s="2">
        <v>26322</v>
      </c>
      <c r="F2896">
        <f>HYPERLINK("https://www2.assemblee-nationale.fr/sycomore/fiche/(num_dept)/4302", "4302.0")</f>
        <v>0</v>
      </c>
      <c r="H2896">
        <f>HYPERLINK("https://www.wikidata.org/wiki/Q2959557", "Q2959557")</f>
        <v>0</v>
      </c>
    </row>
    <row r="2897" spans="1:8">
      <c r="A2897" t="s">
        <v>2903</v>
      </c>
      <c r="B2897" t="s">
        <v>7490</v>
      </c>
      <c r="C2897" t="s">
        <v>10610</v>
      </c>
      <c r="D2897" t="s">
        <v>14056</v>
      </c>
      <c r="E2897" s="2">
        <v>4419</v>
      </c>
      <c r="F2897">
        <f>HYPERLINK("https://www2.assemblee-nationale.fr/sycomore/fiche/(num_dept)/7978", "7978.0")</f>
        <v>0</v>
      </c>
      <c r="H2897">
        <f>HYPERLINK("https://www.wikidata.org/wiki/Q16025932", "Q16025932")</f>
        <v>0</v>
      </c>
    </row>
    <row r="2898" spans="1:8">
      <c r="A2898" t="s">
        <v>2904</v>
      </c>
      <c r="B2898" t="s">
        <v>7491</v>
      </c>
      <c r="C2898" t="s">
        <v>9773</v>
      </c>
      <c r="D2898" t="s">
        <v>14057</v>
      </c>
      <c r="E2898" s="2">
        <v>7613</v>
      </c>
      <c r="F2898">
        <f>HYPERLINK("https://www2.assemblee-nationale.fr/sycomore/fiche/(num_dept)/4312", "4312.0")</f>
        <v>0</v>
      </c>
      <c r="H2898">
        <f>HYPERLINK("https://www.wikidata.org/wiki/Q2865188", "Q2865188")</f>
        <v>0</v>
      </c>
    </row>
    <row r="2899" spans="1:8">
      <c r="A2899" t="s">
        <v>2905</v>
      </c>
      <c r="B2899" t="s">
        <v>7492</v>
      </c>
      <c r="C2899" t="s">
        <v>7342</v>
      </c>
      <c r="D2899" t="s">
        <v>14058</v>
      </c>
      <c r="E2899" t="s">
        <v>16217</v>
      </c>
      <c r="G2899">
        <f>HYPERLINK("https://www.senat.fr/senateur-3eme-republique/lamorte_jean0720r3.html", "lamorte_jean0720r3")</f>
        <v>0</v>
      </c>
      <c r="H2899">
        <f>HYPERLINK("https://www.wikidata.org/wiki/Q3172970", "Q3172970")</f>
        <v>0</v>
      </c>
    </row>
    <row r="2900" spans="1:8">
      <c r="A2900" t="s">
        <v>2906</v>
      </c>
      <c r="B2900" t="s">
        <v>7493</v>
      </c>
      <c r="C2900" t="s">
        <v>10611</v>
      </c>
      <c r="D2900" t="s">
        <v>14059</v>
      </c>
      <c r="E2900" t="s">
        <v>16218</v>
      </c>
      <c r="F2900">
        <f>HYPERLINK("https://www2.assemblee-nationale.fr/sycomore/fiche/(num_dept)/4316", "4316.0")</f>
        <v>0</v>
      </c>
      <c r="H2900">
        <f>HYPERLINK("https://www.wikidata.org/wiki/Q16025935", "Q16025935")</f>
        <v>0</v>
      </c>
    </row>
    <row r="2901" spans="1:8">
      <c r="A2901" t="s">
        <v>2907</v>
      </c>
      <c r="B2901" t="s">
        <v>7494</v>
      </c>
      <c r="C2901" t="s">
        <v>6686</v>
      </c>
      <c r="D2901" t="s">
        <v>14060</v>
      </c>
      <c r="E2901" s="2">
        <v>14454</v>
      </c>
      <c r="F2901">
        <f>HYPERLINK("https://www2.assemblee-nationale.fr/sycomore/fiche/(num_dept)/4317", "4317.0")</f>
        <v>0</v>
      </c>
      <c r="H2901">
        <f>HYPERLINK("https://www.wikidata.org/wiki/Q3592233", "Q3592233")</f>
        <v>0</v>
      </c>
    </row>
    <row r="2902" spans="1:8">
      <c r="A2902" t="s">
        <v>2908</v>
      </c>
      <c r="B2902" t="s">
        <v>7494</v>
      </c>
      <c r="C2902" t="s">
        <v>9377</v>
      </c>
      <c r="D2902" t="s">
        <v>14061</v>
      </c>
      <c r="E2902" s="2">
        <v>25785</v>
      </c>
      <c r="F2902">
        <f>HYPERLINK("https://www2.assemblee-nationale.fr/sycomore/fiche/(num_dept)/4318", "4318.0")</f>
        <v>0</v>
      </c>
      <c r="H2902">
        <f>HYPERLINK("https://www.wikidata.org/wiki/Q3265583", "Q3265583")</f>
        <v>0</v>
      </c>
    </row>
    <row r="2903" spans="1:8">
      <c r="A2903" t="s">
        <v>2909</v>
      </c>
      <c r="B2903" t="s">
        <v>7495</v>
      </c>
      <c r="C2903" t="s">
        <v>9332</v>
      </c>
      <c r="D2903" t="s">
        <v>14062</v>
      </c>
      <c r="E2903" s="2">
        <v>10025</v>
      </c>
      <c r="F2903">
        <f>HYPERLINK("https://www2.assemblee-nationale.fr/sycomore/fiche/(num_dept)/4320", "4320.0")</f>
        <v>0</v>
      </c>
      <c r="G2903">
        <f>HYPERLINK("https://www.senat.fr/senateur-3eme-republique/lamy_ernest0911r3.html", "lamy_ernest0911r3")</f>
        <v>0</v>
      </c>
      <c r="H2903">
        <f>HYPERLINK("https://www.wikidata.org/wiki/Q3057035", "Q3057035")</f>
        <v>0</v>
      </c>
    </row>
    <row r="2904" spans="1:8">
      <c r="A2904" t="s">
        <v>2910</v>
      </c>
      <c r="B2904" t="s">
        <v>7496</v>
      </c>
      <c r="C2904" t="s">
        <v>9414</v>
      </c>
      <c r="D2904" t="s">
        <v>14063</v>
      </c>
      <c r="E2904" s="2">
        <v>20096</v>
      </c>
      <c r="F2904">
        <f>HYPERLINK("https://www2.assemblee-nationale.fr/sycomore/fiche/(num_dept)/4323", "4323.0")</f>
        <v>0</v>
      </c>
      <c r="G2904">
        <f>HYPERLINK("https://www.senat.fr/senateur-3eme-republique/lancien_ferdinand0803r3.html", "lancien_ferdinand0803r3")</f>
        <v>0</v>
      </c>
      <c r="H2904">
        <f>HYPERLINK("https://www.wikidata.org/wiki/Q3068602", "Q3068602")</f>
        <v>0</v>
      </c>
    </row>
    <row r="2905" spans="1:8">
      <c r="A2905" t="s">
        <v>2911</v>
      </c>
      <c r="B2905" t="s">
        <v>7497</v>
      </c>
      <c r="C2905" t="s">
        <v>10612</v>
      </c>
      <c r="D2905" t="s">
        <v>14064</v>
      </c>
      <c r="E2905" t="s">
        <v>16219</v>
      </c>
      <c r="F2905">
        <f>HYPERLINK("https://www2.assemblee-nationale.fr/sycomore/fiche/(num_dept)/1914", "1914.0")</f>
        <v>0</v>
      </c>
      <c r="H2905">
        <f>HYPERLINK("https://www.wikidata.org/wiki/Q2845609", "Q2845609")</f>
        <v>0</v>
      </c>
    </row>
    <row r="2906" spans="1:8">
      <c r="A2906" t="s">
        <v>2912</v>
      </c>
      <c r="B2906" t="s">
        <v>7498</v>
      </c>
      <c r="C2906" t="s">
        <v>8384</v>
      </c>
      <c r="D2906" t="s">
        <v>14065</v>
      </c>
      <c r="E2906" s="2">
        <v>8330</v>
      </c>
      <c r="G2906">
        <f>HYPERLINK("https://www.senat.fr/senateur-3eme-republique/landrodie_pierre0421r3.html", "landrodie_pierre0421r3")</f>
        <v>0</v>
      </c>
      <c r="H2906">
        <f>HYPERLINK("https://www.wikidata.org/wiki/Q3385757", "Q3385757")</f>
        <v>0</v>
      </c>
    </row>
    <row r="2907" spans="1:8">
      <c r="A2907" t="s">
        <v>2913</v>
      </c>
      <c r="B2907" t="s">
        <v>7499</v>
      </c>
      <c r="C2907" t="s">
        <v>9621</v>
      </c>
      <c r="D2907" t="s">
        <v>13712</v>
      </c>
      <c r="E2907" s="2">
        <v>20695</v>
      </c>
      <c r="F2907">
        <f>HYPERLINK("https://www2.assemblee-nationale.fr/sycomore/fiche/(num_dept)/4326", "4326.0")</f>
        <v>0</v>
      </c>
      <c r="G2907">
        <f>HYPERLINK("https://www.senat.fr/senateur-3eme-republique/landry_adolphe0199r4.html", "landry_adolphe0199r4")</f>
        <v>0</v>
      </c>
      <c r="H2907">
        <f>HYPERLINK("https://www.wikidata.org/wiki/Q2824853", "Q2824853")</f>
        <v>0</v>
      </c>
    </row>
    <row r="2908" spans="1:8">
      <c r="A2908" t="s">
        <v>2914</v>
      </c>
      <c r="B2908" t="s">
        <v>7500</v>
      </c>
      <c r="C2908" t="s">
        <v>10613</v>
      </c>
      <c r="D2908" t="s">
        <v>14066</v>
      </c>
      <c r="E2908" t="s">
        <v>16220</v>
      </c>
      <c r="F2908">
        <f>HYPERLINK("https://www2.assemblee-nationale.fr/sycomore/fiche/(num_dept)/8252", "8252.0")</f>
        <v>0</v>
      </c>
      <c r="H2908">
        <f>HYPERLINK("https://www.wikidata.org/wiki/Q13080835", "Q13080835")</f>
        <v>0</v>
      </c>
    </row>
    <row r="2909" spans="1:8">
      <c r="A2909" t="s">
        <v>2915</v>
      </c>
      <c r="B2909" t="s">
        <v>7501</v>
      </c>
      <c r="C2909" t="s">
        <v>10614</v>
      </c>
      <c r="D2909" t="s">
        <v>12740</v>
      </c>
      <c r="E2909" s="2">
        <v>7251</v>
      </c>
      <c r="F2909">
        <f>HYPERLINK("https://www2.assemblee-nationale.fr/sycomore/fiche/(num_dept)/4328", "4328.0")</f>
        <v>0</v>
      </c>
      <c r="H2909">
        <f>HYPERLINK("https://www.wikidata.org/wiki/Q645606", "Q645606")</f>
        <v>0</v>
      </c>
    </row>
    <row r="2910" spans="1:8">
      <c r="A2910" t="s">
        <v>2916</v>
      </c>
      <c r="B2910" t="s">
        <v>7502</v>
      </c>
      <c r="C2910" t="s">
        <v>8384</v>
      </c>
      <c r="D2910" t="s">
        <v>13695</v>
      </c>
      <c r="E2910" s="2">
        <v>5217</v>
      </c>
      <c r="F2910">
        <f>HYPERLINK("https://www2.assemblee-nationale.fr/sycomore/fiche/(num_dept)/4334", "4334.0")</f>
        <v>0</v>
      </c>
      <c r="H2910">
        <f>HYPERLINK("https://www.wikidata.org/wiki/Q3382923", "Q3382923")</f>
        <v>0</v>
      </c>
    </row>
    <row r="2911" spans="1:8">
      <c r="A2911" t="s">
        <v>2917</v>
      </c>
      <c r="B2911" t="s">
        <v>7503</v>
      </c>
      <c r="C2911" t="s">
        <v>9312</v>
      </c>
      <c r="D2911" t="s">
        <v>14067</v>
      </c>
      <c r="E2911" s="2">
        <v>9928</v>
      </c>
      <c r="F2911">
        <f>HYPERLINK("https://www2.assemblee-nationale.fr/sycomore/fiche/(num_dept)/4335", "4335.0")</f>
        <v>0</v>
      </c>
      <c r="H2911">
        <f>HYPERLINK("https://www.wikidata.org/wiki/Q3164202", "Q3164202")</f>
        <v>0</v>
      </c>
    </row>
    <row r="2912" spans="1:8">
      <c r="A2912" t="s">
        <v>2918</v>
      </c>
      <c r="B2912" t="s">
        <v>7504</v>
      </c>
      <c r="C2912" t="s">
        <v>7942</v>
      </c>
      <c r="D2912" t="s">
        <v>14068</v>
      </c>
      <c r="E2912" s="2">
        <v>15741</v>
      </c>
      <c r="G2912">
        <f>HYPERLINK("https://www.senat.fr/senateur-3eme-republique/langlois_meurinne_maurice0880r3.html", "langlois_meurinne_maurice0880r3")</f>
        <v>0</v>
      </c>
      <c r="H2912">
        <f>HYPERLINK("https://www.wikidata.org/wiki/Q3301006", "Q3301006")</f>
        <v>0</v>
      </c>
    </row>
    <row r="2913" spans="1:8">
      <c r="A2913" t="s">
        <v>2919</v>
      </c>
      <c r="B2913" t="s">
        <v>7505</v>
      </c>
      <c r="C2913" t="s">
        <v>10615</v>
      </c>
      <c r="D2913" t="s">
        <v>14069</v>
      </c>
      <c r="E2913" s="2">
        <v>999</v>
      </c>
      <c r="F2913">
        <f>HYPERLINK("https://www2.assemblee-nationale.fr/sycomore/fiche/(num_dept)/8265", "8265.0")</f>
        <v>0</v>
      </c>
      <c r="H2913">
        <f>HYPERLINK("https://www.wikidata.org/wiki/Q2844675", "Q2844675")</f>
        <v>0</v>
      </c>
    </row>
    <row r="2914" spans="1:8">
      <c r="A2914" t="s">
        <v>2920</v>
      </c>
      <c r="B2914" t="s">
        <v>7506</v>
      </c>
      <c r="C2914" t="s">
        <v>9851</v>
      </c>
      <c r="D2914" t="s">
        <v>14070</v>
      </c>
      <c r="E2914" s="2">
        <v>4426</v>
      </c>
      <c r="G2914">
        <f>HYPERLINK("https://www.senat.fr/senateur-3eme-republique/langlois_hippolyte0942r3.html", "langlois_hippolyte0942r3")</f>
        <v>0</v>
      </c>
      <c r="H2914">
        <f>HYPERLINK("https://www.wikidata.org/wiki/Q3136079", "Q3136079")</f>
        <v>0</v>
      </c>
    </row>
    <row r="2915" spans="1:8">
      <c r="A2915" t="s">
        <v>2921</v>
      </c>
      <c r="B2915" t="s">
        <v>7507</v>
      </c>
      <c r="C2915" t="s">
        <v>9324</v>
      </c>
      <c r="D2915" t="s">
        <v>11646</v>
      </c>
      <c r="E2915" s="2">
        <v>13291</v>
      </c>
      <c r="F2915">
        <f>HYPERLINK("https://www2.assemblee-nationale.fr/sycomore/fiche/(num_dept)/4337", "4337.0")</f>
        <v>0</v>
      </c>
      <c r="H2915">
        <f>HYPERLINK("https://www.wikidata.org/wiki/Q3131419", "Q3131419")</f>
        <v>0</v>
      </c>
    </row>
    <row r="2916" spans="1:8">
      <c r="A2916" t="s">
        <v>2922</v>
      </c>
      <c r="B2916" t="s">
        <v>7507</v>
      </c>
      <c r="C2916" t="s">
        <v>9373</v>
      </c>
      <c r="D2916" t="s">
        <v>14071</v>
      </c>
      <c r="E2916" s="2">
        <v>27492</v>
      </c>
      <c r="F2916">
        <f>HYPERLINK("https://www2.assemblee-nationale.fr/sycomore/fiche/(num_dept)/4338", "4338.0")</f>
        <v>0</v>
      </c>
      <c r="H2916">
        <f>HYPERLINK("https://www.wikidata.org/wiki/Q328240", "Q328240")</f>
        <v>0</v>
      </c>
    </row>
    <row r="2917" spans="1:8">
      <c r="A2917" t="s">
        <v>2923</v>
      </c>
      <c r="B2917" t="s">
        <v>7508</v>
      </c>
      <c r="C2917" t="s">
        <v>10616</v>
      </c>
      <c r="D2917" t="s">
        <v>14072</v>
      </c>
      <c r="E2917" s="2">
        <v>5877</v>
      </c>
      <c r="F2917">
        <f>HYPERLINK("https://www2.assemblee-nationale.fr/sycomore/fiche/(num_dept)/4339", "4339.0")</f>
        <v>0</v>
      </c>
      <c r="H2917">
        <f>HYPERLINK("https://www.wikidata.org/wiki/Q3370301", "Q3370301")</f>
        <v>0</v>
      </c>
    </row>
    <row r="2918" spans="1:8">
      <c r="A2918" t="s">
        <v>2924</v>
      </c>
      <c r="B2918" t="s">
        <v>7509</v>
      </c>
      <c r="C2918" t="s">
        <v>10617</v>
      </c>
      <c r="D2918" t="s">
        <v>14073</v>
      </c>
      <c r="E2918" s="2">
        <v>4374</v>
      </c>
      <c r="F2918">
        <f>HYPERLINK("https://www2.assemblee-nationale.fr/sycomore/fiche/(num_dept)/4340", "4340.0")</f>
        <v>0</v>
      </c>
      <c r="G2918">
        <f>HYPERLINK("https://www.senat.fr/senateur-3eme-republique/lannelongue_odilon0147r3.html", "lannelongue_odilon0147r3")</f>
        <v>0</v>
      </c>
      <c r="H2918">
        <f>HYPERLINK("https://www.wikidata.org/wiki/Q2331612", "Q2331612")</f>
        <v>0</v>
      </c>
    </row>
    <row r="2919" spans="1:8">
      <c r="A2919" t="s">
        <v>2925</v>
      </c>
      <c r="B2919" t="s">
        <v>7510</v>
      </c>
      <c r="C2919" t="s">
        <v>7342</v>
      </c>
      <c r="D2919" t="s">
        <v>14074</v>
      </c>
      <c r="E2919" s="2">
        <v>3143</v>
      </c>
      <c r="G2919">
        <f>HYPERLINK("https://www.senat.fr/senateur-3eme-republique/laporte_bisquit_jean0395r3.html", "laporte_bisquit_jean0395r3")</f>
        <v>0</v>
      </c>
      <c r="H2919">
        <f>HYPERLINK("https://www.wikidata.org/wiki/Q3172994", "Q3172994")</f>
        <v>0</v>
      </c>
    </row>
    <row r="2920" spans="1:8">
      <c r="A2920" t="s">
        <v>2926</v>
      </c>
      <c r="B2920" t="s">
        <v>7511</v>
      </c>
      <c r="C2920" t="s">
        <v>9346</v>
      </c>
      <c r="D2920" t="s">
        <v>14075</v>
      </c>
      <c r="E2920" t="s">
        <v>16221</v>
      </c>
      <c r="G2920">
        <f>HYPERLINK("https://www.senat.fr/senateur-3eme-republique/laporte_edouard0750r3.html", "laporte_edouard0750r3")</f>
        <v>0</v>
      </c>
      <c r="H2920">
        <f>HYPERLINK("https://www.wikidata.org/wiki/Q2309830", "Q2309830")</f>
        <v>0</v>
      </c>
    </row>
    <row r="2921" spans="1:8">
      <c r="A2921" t="s">
        <v>2927</v>
      </c>
      <c r="B2921" t="s">
        <v>7512</v>
      </c>
      <c r="C2921" t="s">
        <v>9512</v>
      </c>
      <c r="D2921" t="s">
        <v>14076</v>
      </c>
      <c r="E2921" s="2">
        <v>1331</v>
      </c>
      <c r="F2921">
        <f>HYPERLINK("https://www2.assemblee-nationale.fr/sycomore/fiche/(num_dept)/4346", "4346.0")</f>
        <v>0</v>
      </c>
      <c r="H2921">
        <f>HYPERLINK("https://www.wikidata.org/wiki/Q8318772", "Q8318772")</f>
        <v>0</v>
      </c>
    </row>
    <row r="2922" spans="1:8">
      <c r="A2922" t="s">
        <v>2928</v>
      </c>
      <c r="B2922" t="s">
        <v>7512</v>
      </c>
      <c r="C2922" t="s">
        <v>7342</v>
      </c>
      <c r="D2922" t="s">
        <v>14077</v>
      </c>
      <c r="E2922" s="2">
        <v>23460</v>
      </c>
      <c r="F2922">
        <f>HYPERLINK("https://www2.assemblee-nationale.fr/sycomore/fiche/(num_dept)/4347", "4347.0")</f>
        <v>0</v>
      </c>
      <c r="H2922">
        <f>HYPERLINK("https://www.wikidata.org/wiki/Q16025938", "Q16025938")</f>
        <v>0</v>
      </c>
    </row>
    <row r="2923" spans="1:8">
      <c r="A2923" t="s">
        <v>2929</v>
      </c>
      <c r="B2923" t="s">
        <v>7513</v>
      </c>
      <c r="C2923" t="s">
        <v>9386</v>
      </c>
      <c r="D2923" t="s">
        <v>14078</v>
      </c>
      <c r="E2923" s="2">
        <v>26883</v>
      </c>
      <c r="F2923">
        <f>HYPERLINK("https://www2.assemblee-nationale.fr/sycomore/fiche/(num_dept)/4349", "4349.0")</f>
        <v>0</v>
      </c>
      <c r="H2923">
        <f>HYPERLINK("https://www.wikidata.org/wiki/Q16672278", "Q16672278")</f>
        <v>0</v>
      </c>
    </row>
    <row r="2924" spans="1:8">
      <c r="A2924" t="s">
        <v>2930</v>
      </c>
      <c r="B2924" t="s">
        <v>7514</v>
      </c>
      <c r="C2924" t="s">
        <v>9524</v>
      </c>
      <c r="D2924" t="s">
        <v>14079</v>
      </c>
      <c r="E2924" s="2">
        <v>19915</v>
      </c>
      <c r="F2924">
        <f>HYPERLINK("https://www2.assemblee-nationale.fr/sycomore/fiche/(num_dept)/4351", "4351.0")</f>
        <v>0</v>
      </c>
      <c r="H2924">
        <f>HYPERLINK("https://www.wikidata.org/wiki/Q3588601", "Q3588601")</f>
        <v>0</v>
      </c>
    </row>
    <row r="2925" spans="1:8">
      <c r="A2925" t="s">
        <v>2931</v>
      </c>
      <c r="B2925" t="s">
        <v>7515</v>
      </c>
      <c r="C2925" t="s">
        <v>10618</v>
      </c>
      <c r="D2925" t="s">
        <v>14080</v>
      </c>
      <c r="E2925" s="2">
        <v>147</v>
      </c>
      <c r="F2925">
        <f>HYPERLINK("https://www2.assemblee-nationale.fr/sycomore/fiche/(num_dept)/4353", "4353.0")</f>
        <v>0</v>
      </c>
      <c r="H2925">
        <f>HYPERLINK("https://www.wikidata.org/wiki/Q7120698", "Q7120698")</f>
        <v>0</v>
      </c>
    </row>
    <row r="2926" spans="1:8">
      <c r="A2926" t="s">
        <v>2932</v>
      </c>
      <c r="B2926" t="s">
        <v>7516</v>
      </c>
      <c r="C2926" t="s">
        <v>7754</v>
      </c>
      <c r="D2926" t="s">
        <v>14081</v>
      </c>
      <c r="E2926" s="2">
        <v>11895</v>
      </c>
      <c r="G2926">
        <f>HYPERLINK("https://www.senat.fr/senateur-3eme-republique/larere_louis0566r3.html", "larere_louis0566r3")</f>
        <v>0</v>
      </c>
      <c r="H2926">
        <f>HYPERLINK("https://www.wikidata.org/wiki/Q3262441", "Q3262441")</f>
        <v>0</v>
      </c>
    </row>
    <row r="2927" spans="1:8">
      <c r="A2927" t="s">
        <v>2933</v>
      </c>
      <c r="B2927" t="s">
        <v>7517</v>
      </c>
      <c r="C2927" t="s">
        <v>10619</v>
      </c>
      <c r="D2927" t="s">
        <v>14082</v>
      </c>
      <c r="E2927" t="s">
        <v>16222</v>
      </c>
      <c r="F2927">
        <f>HYPERLINK("https://www2.assemblee-nationale.fr/sycomore/fiche/(num_dept)/8105", "8105.0")</f>
        <v>0</v>
      </c>
      <c r="H2927">
        <f>HYPERLINK("https://www.wikidata.org/wiki/Q2960118", "Q2960118")</f>
        <v>0</v>
      </c>
    </row>
    <row r="2928" spans="1:8">
      <c r="A2928" t="s">
        <v>2934</v>
      </c>
      <c r="B2928" t="s">
        <v>7517</v>
      </c>
      <c r="C2928" t="s">
        <v>10620</v>
      </c>
      <c r="D2928" t="s">
        <v>14083</v>
      </c>
      <c r="E2928" s="2">
        <v>7686</v>
      </c>
      <c r="F2928">
        <f>HYPERLINK("https://www2.assemblee-nationale.fr/sycomore/fiche/(num_dept)/6785", "6785.0")</f>
        <v>0</v>
      </c>
      <c r="H2928">
        <f>HYPERLINK("https://www.wikidata.org/wiki/Q3090160", "Q3090160")</f>
        <v>0</v>
      </c>
    </row>
    <row r="2929" spans="1:8">
      <c r="A2929" t="s">
        <v>2935</v>
      </c>
      <c r="B2929" t="s">
        <v>7518</v>
      </c>
      <c r="C2929" t="s">
        <v>9482</v>
      </c>
      <c r="D2929" t="s">
        <v>13817</v>
      </c>
      <c r="E2929" s="2">
        <v>19628</v>
      </c>
      <c r="F2929">
        <f>HYPERLINK("https://www2.assemblee-nationale.fr/sycomore/fiche/(num_dept)/4357", "4357.0")</f>
        <v>0</v>
      </c>
      <c r="H2929">
        <f>HYPERLINK("https://www.wikidata.org/wiki/Q16025940", "Q16025940")</f>
        <v>0</v>
      </c>
    </row>
    <row r="2930" spans="1:8">
      <c r="A2930" t="s">
        <v>2936</v>
      </c>
      <c r="B2930" t="s">
        <v>7519</v>
      </c>
      <c r="C2930" t="s">
        <v>10621</v>
      </c>
      <c r="D2930" t="s">
        <v>11482</v>
      </c>
      <c r="E2930" s="2">
        <v>11446</v>
      </c>
      <c r="F2930">
        <f>HYPERLINK("https://www2.assemblee-nationale.fr/sycomore/fiche/(num_dept)/4185", "4185.0")</f>
        <v>0</v>
      </c>
      <c r="H2930">
        <f>HYPERLINK("https://www.wikidata.org/wiki/Q3068526", "Q3068526")</f>
        <v>0</v>
      </c>
    </row>
    <row r="2931" spans="1:8">
      <c r="A2931" t="s">
        <v>2937</v>
      </c>
      <c r="B2931" t="s">
        <v>7520</v>
      </c>
      <c r="C2931" t="s">
        <v>10622</v>
      </c>
      <c r="D2931" t="s">
        <v>14084</v>
      </c>
      <c r="E2931" t="s">
        <v>16223</v>
      </c>
      <c r="F2931">
        <f>HYPERLINK("https://www2.assemblee-nationale.fr/sycomore/fiche/(num_dept)/8083", "8083.0")</f>
        <v>0</v>
      </c>
      <c r="H2931">
        <f>HYPERLINK("https://www.wikidata.org/wiki/Q3165358", "Q3165358")</f>
        <v>0</v>
      </c>
    </row>
    <row r="2932" spans="1:8">
      <c r="A2932" t="s">
        <v>2938</v>
      </c>
      <c r="B2932" t="s">
        <v>7520</v>
      </c>
      <c r="C2932" t="s">
        <v>10623</v>
      </c>
      <c r="D2932" t="s">
        <v>14085</v>
      </c>
      <c r="E2932" s="2">
        <v>5067</v>
      </c>
      <c r="F2932">
        <f>HYPERLINK("https://www2.assemblee-nationale.fr/sycomore/fiche/(num_dept)/4363", "4363.0")</f>
        <v>0</v>
      </c>
      <c r="H2932">
        <f>HYPERLINK("https://www.wikidata.org/wiki/Q3047523", "Q3047523")</f>
        <v>0</v>
      </c>
    </row>
    <row r="2933" spans="1:8">
      <c r="A2933" t="s">
        <v>2939</v>
      </c>
      <c r="B2933" t="s">
        <v>7520</v>
      </c>
      <c r="C2933" t="s">
        <v>9482</v>
      </c>
      <c r="D2933" t="s">
        <v>14086</v>
      </c>
      <c r="E2933" s="2">
        <v>21472</v>
      </c>
      <c r="F2933">
        <f>HYPERLINK("https://www2.assemblee-nationale.fr/sycomore/fiche/(num_dept)/4364", "4364.0")</f>
        <v>0</v>
      </c>
      <c r="H2933">
        <f>HYPERLINK("https://www.wikidata.org/wiki/Q3047887", "Q3047887")</f>
        <v>0</v>
      </c>
    </row>
    <row r="2934" spans="1:8">
      <c r="A2934" t="s">
        <v>2940</v>
      </c>
      <c r="B2934" t="s">
        <v>7521</v>
      </c>
      <c r="C2934" t="s">
        <v>9430</v>
      </c>
      <c r="D2934" t="s">
        <v>14087</v>
      </c>
      <c r="E2934" s="2">
        <v>1808</v>
      </c>
      <c r="G2934">
        <f>HYPERLINK("https://www.senat.fr/senateur-3eme-republique/laroche_paul0599r3.html", "laroche_paul0599r3")</f>
        <v>0</v>
      </c>
      <c r="H2934">
        <f>HYPERLINK("https://www.wikidata.org/wiki/Q3371636", "Q3371636")</f>
        <v>0</v>
      </c>
    </row>
    <row r="2935" spans="1:8">
      <c r="A2935" t="s">
        <v>2941</v>
      </c>
      <c r="B2935" t="s">
        <v>7522</v>
      </c>
      <c r="C2935" t="s">
        <v>9851</v>
      </c>
      <c r="D2935" t="s">
        <v>14088</v>
      </c>
      <c r="E2935" s="2">
        <v>5371</v>
      </c>
      <c r="F2935">
        <f>HYPERLINK("https://www2.assemblee-nationale.fr/sycomore/fiche/(num_dept)/4362", "4362.0")</f>
        <v>0</v>
      </c>
      <c r="H2935">
        <f>HYPERLINK("https://www.wikidata.org/wiki/Q8313321", "Q8313321")</f>
        <v>0</v>
      </c>
    </row>
    <row r="2936" spans="1:8">
      <c r="A2936" t="s">
        <v>2942</v>
      </c>
      <c r="B2936" t="s">
        <v>7522</v>
      </c>
      <c r="C2936" t="s">
        <v>9332</v>
      </c>
      <c r="D2936" t="s">
        <v>14089</v>
      </c>
      <c r="E2936" s="2">
        <v>22988</v>
      </c>
      <c r="F2936">
        <f>HYPERLINK("https://www2.assemblee-nationale.fr/sycomore/fiche/(num_dept)/4361", "4361.0")</f>
        <v>0</v>
      </c>
      <c r="H2936">
        <f>HYPERLINK("https://www.wikidata.org/wiki/Q3057038", "Q3057038")</f>
        <v>0</v>
      </c>
    </row>
    <row r="2937" spans="1:8">
      <c r="A2937" t="s">
        <v>2943</v>
      </c>
      <c r="B2937" t="s">
        <v>7523</v>
      </c>
      <c r="C2937" t="s">
        <v>10624</v>
      </c>
      <c r="D2937" t="s">
        <v>14090</v>
      </c>
      <c r="E2937" s="2">
        <v>4887</v>
      </c>
      <c r="F2937">
        <f>HYPERLINK("https://www2.assemblee-nationale.fr/sycomore/fiche/(num_dept)/4365", "4365.0")</f>
        <v>0</v>
      </c>
      <c r="H2937">
        <f>HYPERLINK("https://www.wikidata.org/wiki/Q2835251", "Q2835251")</f>
        <v>0</v>
      </c>
    </row>
    <row r="2938" spans="1:8">
      <c r="A2938" t="s">
        <v>2944</v>
      </c>
      <c r="B2938" t="s">
        <v>7523</v>
      </c>
      <c r="C2938" t="s">
        <v>7782</v>
      </c>
      <c r="D2938" t="s">
        <v>14091</v>
      </c>
      <c r="E2938" s="2">
        <v>4741</v>
      </c>
      <c r="F2938">
        <f>HYPERLINK("https://www2.assemblee-nationale.fr/sycomore/fiche/(num_dept)/4366", "4366.0")</f>
        <v>0</v>
      </c>
      <c r="H2938">
        <f>HYPERLINK("https://www.wikidata.org/wiki/Q16025941", "Q16025941")</f>
        <v>0</v>
      </c>
    </row>
    <row r="2939" spans="1:8">
      <c r="A2939" t="s">
        <v>2945</v>
      </c>
      <c r="B2939" t="s">
        <v>7523</v>
      </c>
      <c r="C2939" t="s">
        <v>8384</v>
      </c>
      <c r="D2939" t="s">
        <v>14092</v>
      </c>
      <c r="E2939" s="2">
        <v>15750</v>
      </c>
      <c r="F2939">
        <f>HYPERLINK("https://www2.assemblee-nationale.fr/sycomore/fiche/(num_dept)/4367", "4367.0")</f>
        <v>0</v>
      </c>
      <c r="H2939">
        <f>HYPERLINK("https://www.wikidata.org/wiki/Q16025942", "Q16025942")</f>
        <v>0</v>
      </c>
    </row>
    <row r="2940" spans="1:8">
      <c r="A2940" t="s">
        <v>2946</v>
      </c>
      <c r="B2940" t="s">
        <v>7524</v>
      </c>
      <c r="C2940" t="s">
        <v>9918</v>
      </c>
      <c r="D2940" t="s">
        <v>13154</v>
      </c>
      <c r="E2940" s="2">
        <v>17201</v>
      </c>
      <c r="F2940">
        <f>HYPERLINK("https://www2.assemblee-nationale.fr/sycomore/fiche/(num_dept)/4368", "4368.0")</f>
        <v>0</v>
      </c>
      <c r="H2940">
        <f>HYPERLINK("https://www.wikidata.org/wiki/Q16025943", "Q16025943")</f>
        <v>0</v>
      </c>
    </row>
    <row r="2941" spans="1:8">
      <c r="A2941" t="s">
        <v>2947</v>
      </c>
      <c r="B2941" t="s">
        <v>7525</v>
      </c>
      <c r="C2941" t="s">
        <v>10625</v>
      </c>
      <c r="D2941" t="s">
        <v>11713</v>
      </c>
      <c r="E2941" s="2">
        <v>3160</v>
      </c>
      <c r="F2941">
        <f>HYPERLINK("https://www2.assemblee-nationale.fr/sycomore/fiche/(num_dept)/5789", "5789.0")</f>
        <v>0</v>
      </c>
      <c r="H2941">
        <f>HYPERLINK("https://www.wikidata.org/wiki/Q16026302", "Q16026302")</f>
        <v>0</v>
      </c>
    </row>
    <row r="2942" spans="1:8">
      <c r="A2942" t="s">
        <v>2948</v>
      </c>
      <c r="B2942" t="s">
        <v>7526</v>
      </c>
      <c r="C2942" t="s">
        <v>9504</v>
      </c>
      <c r="D2942" t="s">
        <v>14093</v>
      </c>
      <c r="E2942" s="2">
        <v>6103</v>
      </c>
      <c r="F2942">
        <f>HYPERLINK("https://www2.assemblee-nationale.fr/sycomore/fiche/(num_dept)/4356", "4356.0")</f>
        <v>0</v>
      </c>
      <c r="H2942">
        <f>HYPERLINK("https://www.wikidata.org/wiki/Q2959575", "Q2959575")</f>
        <v>0</v>
      </c>
    </row>
    <row r="2943" spans="1:8">
      <c r="A2943" t="s">
        <v>2949</v>
      </c>
      <c r="B2943" t="s">
        <v>7527</v>
      </c>
      <c r="C2943" t="s">
        <v>9471</v>
      </c>
      <c r="D2943" t="s">
        <v>14094</v>
      </c>
      <c r="E2943" t="s">
        <v>16224</v>
      </c>
      <c r="F2943">
        <f>HYPERLINK("https://www2.assemblee-nationale.fr/sycomore/fiche/(num_dept)/4374", "4374.0")</f>
        <v>0</v>
      </c>
      <c r="H2943">
        <f>HYPERLINK("https://www.wikidata.org/wiki/Q16025944", "Q16025944")</f>
        <v>0</v>
      </c>
    </row>
    <row r="2944" spans="1:8">
      <c r="A2944" t="s">
        <v>2950</v>
      </c>
      <c r="B2944" t="s">
        <v>7528</v>
      </c>
      <c r="C2944" t="s">
        <v>9533</v>
      </c>
      <c r="D2944" t="s">
        <v>14095</v>
      </c>
      <c r="E2944" s="2">
        <v>2006</v>
      </c>
      <c r="F2944">
        <f>HYPERLINK("https://www2.assemblee-nationale.fr/sycomore/fiche/(num_dept)/4376", "4376.0")</f>
        <v>0</v>
      </c>
      <c r="H2944">
        <f>HYPERLINK("https://www.wikidata.org/wiki/Q16025945", "Q16025945")</f>
        <v>0</v>
      </c>
    </row>
    <row r="2945" spans="1:8">
      <c r="A2945" t="s">
        <v>2951</v>
      </c>
      <c r="B2945" t="s">
        <v>7529</v>
      </c>
      <c r="C2945" t="s">
        <v>9373</v>
      </c>
      <c r="D2945" t="s">
        <v>14096</v>
      </c>
      <c r="E2945" s="2">
        <v>9916</v>
      </c>
      <c r="F2945">
        <f>HYPERLINK("https://www2.assemblee-nationale.fr/sycomore/fiche/(num_dept)/4377", "4377.0")</f>
        <v>0</v>
      </c>
      <c r="H2945">
        <f>HYPERLINK("https://www.wikidata.org/wiki/Q3185212", "Q3185212")</f>
        <v>0</v>
      </c>
    </row>
    <row r="2946" spans="1:8">
      <c r="A2946" t="s">
        <v>2952</v>
      </c>
      <c r="B2946" t="s">
        <v>7530</v>
      </c>
      <c r="C2946" t="s">
        <v>10407</v>
      </c>
      <c r="D2946" t="s">
        <v>14097</v>
      </c>
      <c r="E2946" s="2">
        <v>11069</v>
      </c>
      <c r="F2946">
        <f>HYPERLINK("https://www2.assemblee-nationale.fr/sycomore/fiche/(num_dept)/4379", "4379.0")</f>
        <v>0</v>
      </c>
      <c r="H2946">
        <f>HYPERLINK("https://www.wikidata.org/wiki/Q16011445", "Q16011445")</f>
        <v>0</v>
      </c>
    </row>
    <row r="2947" spans="1:8">
      <c r="A2947" t="s">
        <v>2953</v>
      </c>
      <c r="B2947" t="s">
        <v>7530</v>
      </c>
      <c r="C2947" t="s">
        <v>10626</v>
      </c>
      <c r="D2947" t="s">
        <v>14098</v>
      </c>
      <c r="E2947" s="2">
        <v>14745</v>
      </c>
      <c r="F2947">
        <f>HYPERLINK("https://www2.assemblee-nationale.fr/sycomore/fiche/(num_dept)/4380", "4380.0")</f>
        <v>0</v>
      </c>
      <c r="H2947">
        <f>HYPERLINK("https://www.wikidata.org/wiki/Q3435667", "Q3435667")</f>
        <v>0</v>
      </c>
    </row>
    <row r="2948" spans="1:8">
      <c r="A2948" t="s">
        <v>2954</v>
      </c>
      <c r="B2948" t="s">
        <v>7531</v>
      </c>
      <c r="C2948" t="s">
        <v>9373</v>
      </c>
      <c r="D2948" t="s">
        <v>14099</v>
      </c>
      <c r="E2948" t="s">
        <v>15210</v>
      </c>
      <c r="F2948">
        <f>HYPERLINK("https://www2.assemblee-nationale.fr/sycomore/fiche/(num_dept)/4383", "4383.0")</f>
        <v>0</v>
      </c>
      <c r="H2948">
        <f>HYPERLINK("https://www.wikidata.org/wiki/Q16025946", "Q16025946")</f>
        <v>0</v>
      </c>
    </row>
    <row r="2949" spans="1:8">
      <c r="A2949" t="s">
        <v>2955</v>
      </c>
      <c r="B2949" t="s">
        <v>7531</v>
      </c>
      <c r="C2949" t="s">
        <v>7942</v>
      </c>
      <c r="D2949" t="s">
        <v>14100</v>
      </c>
      <c r="E2949" s="2">
        <v>12369</v>
      </c>
      <c r="F2949">
        <f>HYPERLINK("https://www2.assemblee-nationale.fr/sycomore/fiche/(num_dept)/4384", "4384.0")</f>
        <v>0</v>
      </c>
      <c r="H2949">
        <f>HYPERLINK("https://www.wikidata.org/wiki/Q16025947", "Q16025947")</f>
        <v>0</v>
      </c>
    </row>
    <row r="2950" spans="1:8">
      <c r="A2950" t="s">
        <v>2956</v>
      </c>
      <c r="B2950" t="s">
        <v>7531</v>
      </c>
      <c r="C2950" t="s">
        <v>10627</v>
      </c>
      <c r="D2950" t="s">
        <v>12832</v>
      </c>
      <c r="E2950" s="2">
        <v>22412</v>
      </c>
      <c r="F2950">
        <f>HYPERLINK("https://www2.assemblee-nationale.fr/sycomore/fiche/(num_dept)/4382", "4382.0")</f>
        <v>0</v>
      </c>
      <c r="H2950">
        <f>HYPERLINK("https://www.wikidata.org/wiki/Q3103034", "Q3103034")</f>
        <v>0</v>
      </c>
    </row>
    <row r="2951" spans="1:8">
      <c r="A2951" t="s">
        <v>2957</v>
      </c>
      <c r="B2951" t="s">
        <v>7532</v>
      </c>
      <c r="C2951" t="s">
        <v>9471</v>
      </c>
      <c r="D2951" t="s">
        <v>14101</v>
      </c>
      <c r="G2951">
        <f>HYPERLINK("https://www.senat.fr/senateur-3eme-republique/lasteyrie_du_saillant_jules1496r3.html", "lasteyrie_du_saillant_jules1496r3")</f>
        <v>0</v>
      </c>
      <c r="H2951">
        <f>HYPERLINK("https://www.wikidata.org/wiki/Q3188991", "Q3188991")</f>
        <v>0</v>
      </c>
    </row>
    <row r="2952" spans="1:8">
      <c r="A2952" t="s">
        <v>2958</v>
      </c>
      <c r="B2952" t="s">
        <v>7533</v>
      </c>
      <c r="C2952" t="s">
        <v>10628</v>
      </c>
      <c r="D2952" t="s">
        <v>13996</v>
      </c>
      <c r="E2952" s="2">
        <v>12011</v>
      </c>
      <c r="F2952">
        <f>HYPERLINK("https://www2.assemblee-nationale.fr/sycomore/fiche/(num_dept)/4388", "4388.0")</f>
        <v>0</v>
      </c>
      <c r="H2952">
        <f>HYPERLINK("https://www.wikidata.org/wiki/Q16025604", "Q16025604")</f>
        <v>0</v>
      </c>
    </row>
    <row r="2953" spans="1:8">
      <c r="A2953" t="s">
        <v>2959</v>
      </c>
      <c r="B2953" t="s">
        <v>7534</v>
      </c>
      <c r="C2953" t="s">
        <v>9773</v>
      </c>
      <c r="D2953" t="s">
        <v>14102</v>
      </c>
      <c r="G2953">
        <f>HYPERLINK("https://www.senat.fr/senateur-3eme-republique/latappy_arthur0340r3.html", "latappy_arthur0340r3")</f>
        <v>0</v>
      </c>
      <c r="H2953">
        <f>HYPERLINK("https://www.wikidata.org/wiki/Q2865189", "Q2865189")</f>
        <v>0</v>
      </c>
    </row>
    <row r="2954" spans="1:8">
      <c r="A2954" t="s">
        <v>2960</v>
      </c>
      <c r="B2954" t="s">
        <v>7535</v>
      </c>
      <c r="C2954" t="s">
        <v>9429</v>
      </c>
      <c r="D2954" t="s">
        <v>12716</v>
      </c>
      <c r="E2954" s="2">
        <v>4421</v>
      </c>
      <c r="G2954">
        <f>HYPERLINK("https://www.senat.fr/senateur-3eme-republique/laterrade_alexandre0129r3.html", "laterrade_alexandre0129r3")</f>
        <v>0</v>
      </c>
      <c r="H2954">
        <f>HYPERLINK("https://www.wikidata.org/wiki/Q2833806", "Q2833806")</f>
        <v>0</v>
      </c>
    </row>
    <row r="2955" spans="1:8">
      <c r="A2955" t="s">
        <v>2961</v>
      </c>
      <c r="B2955" t="s">
        <v>7536</v>
      </c>
      <c r="C2955" t="s">
        <v>10629</v>
      </c>
      <c r="D2955" t="s">
        <v>14103</v>
      </c>
      <c r="E2955" s="2">
        <v>4718</v>
      </c>
      <c r="F2955">
        <f>HYPERLINK("https://www2.assemblee-nationale.fr/sycomore/fiche/(num_dept)/8134", "8134.0")</f>
        <v>0</v>
      </c>
      <c r="H2955">
        <f>HYPERLINK("https://www.wikidata.org/wiki/Q16798498", "Q16798498")</f>
        <v>0</v>
      </c>
    </row>
    <row r="2956" spans="1:8">
      <c r="A2956" t="s">
        <v>2962</v>
      </c>
      <c r="B2956" t="s">
        <v>7537</v>
      </c>
      <c r="C2956" t="s">
        <v>10630</v>
      </c>
      <c r="D2956" t="s">
        <v>14104</v>
      </c>
      <c r="E2956" t="s">
        <v>16225</v>
      </c>
      <c r="F2956">
        <f>HYPERLINK("https://www2.assemblee-nationale.fr/sycomore/fiche/(num_dept)/8093", "8093.0")</f>
        <v>0</v>
      </c>
      <c r="H2956">
        <f>HYPERLINK("https://www.wikidata.org/wiki/Q16025428", "Q16025428")</f>
        <v>0</v>
      </c>
    </row>
    <row r="2957" spans="1:8">
      <c r="A2957" t="s">
        <v>2963</v>
      </c>
      <c r="B2957" t="s">
        <v>7538</v>
      </c>
      <c r="C2957" t="s">
        <v>9355</v>
      </c>
      <c r="D2957" t="s">
        <v>14105</v>
      </c>
      <c r="E2957" t="s">
        <v>16226</v>
      </c>
      <c r="G2957">
        <f>HYPERLINK("https://www.senat.fr/senateur-3eme-republique/laubry_charles1843r3.html", "laubry_charles1843r3")</f>
        <v>0</v>
      </c>
      <c r="H2957">
        <f>HYPERLINK("https://www.wikidata.org/wiki/Q2959577", "Q2959577")</f>
        <v>0</v>
      </c>
    </row>
    <row r="2958" spans="1:8">
      <c r="A2958" t="s">
        <v>2964</v>
      </c>
      <c r="B2958" t="s">
        <v>7539</v>
      </c>
      <c r="C2958" t="s">
        <v>7314</v>
      </c>
      <c r="D2958" t="s">
        <v>14106</v>
      </c>
      <c r="E2958" s="2">
        <v>7649</v>
      </c>
      <c r="F2958">
        <f>HYPERLINK("https://www2.assemblee-nationale.fr/sycomore/fiche/(num_dept)/4392", "4392.0")</f>
        <v>0</v>
      </c>
      <c r="H2958">
        <f>HYPERLINK("https://www.wikidata.org/wiki/Q13080898", "Q13080898")</f>
        <v>0</v>
      </c>
    </row>
    <row r="2959" spans="1:8">
      <c r="A2959" t="s">
        <v>2965</v>
      </c>
      <c r="B2959" t="s">
        <v>7540</v>
      </c>
      <c r="C2959" t="s">
        <v>9324</v>
      </c>
      <c r="D2959" t="s">
        <v>14107</v>
      </c>
      <c r="E2959" s="2">
        <v>15990</v>
      </c>
      <c r="F2959">
        <f>HYPERLINK("https://www2.assemblee-nationale.fr/sycomore/fiche/(num_dept)/4393", "4393.0")</f>
        <v>0</v>
      </c>
      <c r="G2959">
        <f>HYPERLINK("https://www.senat.fr/senateur-3eme-republique/laudier_henri0442r3.html", "laudier_henri0442r3")</f>
        <v>0</v>
      </c>
      <c r="H2959">
        <f>HYPERLINK("https://www.wikidata.org/wiki/Q3131426", "Q3131426")</f>
        <v>0</v>
      </c>
    </row>
    <row r="2960" spans="1:8">
      <c r="A2960" t="s">
        <v>2966</v>
      </c>
      <c r="B2960" t="s">
        <v>7541</v>
      </c>
      <c r="C2960" t="s">
        <v>9312</v>
      </c>
      <c r="D2960" t="s">
        <v>14108</v>
      </c>
      <c r="E2960" s="2">
        <v>21142</v>
      </c>
      <c r="F2960">
        <f>HYPERLINK("https://www2.assemblee-nationale.fr/sycomore/fiche/(num_dept)/4396", "4396.0")</f>
        <v>0</v>
      </c>
      <c r="H2960">
        <f>HYPERLINK("https://www.wikidata.org/wiki/Q3164206", "Q3164206")</f>
        <v>0</v>
      </c>
    </row>
    <row r="2961" spans="1:8">
      <c r="A2961" t="s">
        <v>2967</v>
      </c>
      <c r="B2961" t="s">
        <v>7542</v>
      </c>
      <c r="C2961" t="s">
        <v>10631</v>
      </c>
      <c r="D2961" t="s">
        <v>14109</v>
      </c>
      <c r="E2961" s="2">
        <v>4613</v>
      </c>
      <c r="F2961">
        <f>HYPERLINK("https://www2.assemblee-nationale.fr/sycomore/fiche/(num_dept)/7613", "7613.0")</f>
        <v>0</v>
      </c>
      <c r="H2961">
        <f>HYPERLINK("https://www.wikidata.org/wiki/Q3262484", "Q3262484")</f>
        <v>0</v>
      </c>
    </row>
    <row r="2962" spans="1:8">
      <c r="A2962" t="s">
        <v>2968</v>
      </c>
      <c r="B2962" t="s">
        <v>7542</v>
      </c>
      <c r="C2962" t="s">
        <v>10632</v>
      </c>
      <c r="D2962" t="s">
        <v>14110</v>
      </c>
      <c r="E2962" s="2">
        <v>9937</v>
      </c>
      <c r="F2962">
        <f>HYPERLINK("https://www2.assemblee-nationale.fr/sycomore/fiche/(num_dept)/4399", "4399.0")</f>
        <v>0</v>
      </c>
      <c r="H2962">
        <f>HYPERLINK("https://www.wikidata.org/wiki/Q16025949", "Q16025949")</f>
        <v>0</v>
      </c>
    </row>
    <row r="2963" spans="1:8">
      <c r="A2963" t="s">
        <v>2969</v>
      </c>
      <c r="B2963" t="s">
        <v>7542</v>
      </c>
      <c r="C2963" t="s">
        <v>10633</v>
      </c>
      <c r="D2963" t="s">
        <v>14111</v>
      </c>
      <c r="E2963" s="2">
        <v>20889</v>
      </c>
      <c r="F2963">
        <f>HYPERLINK("https://www2.assemblee-nationale.fr/sycomore/fiche/(num_dept)/7612", "7612.0")</f>
        <v>0</v>
      </c>
      <c r="H2963">
        <f>HYPERLINK("https://www.wikidata.org/wiki/Q3099057", "Q3099057")</f>
        <v>0</v>
      </c>
    </row>
    <row r="2964" spans="1:8">
      <c r="A2964" t="s">
        <v>2970</v>
      </c>
      <c r="B2964" t="s">
        <v>7543</v>
      </c>
      <c r="C2964" t="s">
        <v>9858</v>
      </c>
      <c r="D2964" t="s">
        <v>14112</v>
      </c>
      <c r="E2964" s="2">
        <v>12565</v>
      </c>
      <c r="F2964">
        <f>HYPERLINK("https://www2.assemblee-nationale.fr/sycomore/fiche/(num_dept)/4400", "4400.0")</f>
        <v>0</v>
      </c>
      <c r="H2964">
        <f>HYPERLINK("https://www.wikidata.org/wiki/Q3081536", "Q3081536")</f>
        <v>0</v>
      </c>
    </row>
    <row r="2965" spans="1:8">
      <c r="A2965" t="s">
        <v>2971</v>
      </c>
      <c r="B2965" t="s">
        <v>7544</v>
      </c>
      <c r="C2965" t="s">
        <v>9891</v>
      </c>
      <c r="D2965" t="s">
        <v>14113</v>
      </c>
      <c r="E2965" s="2">
        <v>12670</v>
      </c>
      <c r="F2965">
        <f>HYPERLINK("https://www2.assemblee-nationale.fr/sycomore/fiche/(num_dept)/7493", "7493.0")</f>
        <v>0</v>
      </c>
      <c r="G2965">
        <f>HYPERLINK("https://www.senat.fr/senateur-3eme-republique/lauraine_jean_octave0422r3.html", "lauraine_jean_octave0422r3")</f>
        <v>0</v>
      </c>
      <c r="H2965">
        <f>HYPERLINK("https://www.wikidata.org/wiki/Q3168275", "Q3168275")</f>
        <v>0</v>
      </c>
    </row>
    <row r="2966" spans="1:8">
      <c r="A2966" t="s">
        <v>2972</v>
      </c>
      <c r="B2966" t="s">
        <v>7545</v>
      </c>
      <c r="C2966" t="s">
        <v>10634</v>
      </c>
      <c r="D2966" t="s">
        <v>12848</v>
      </c>
      <c r="E2966" s="2">
        <v>8536</v>
      </c>
      <c r="F2966">
        <f>HYPERLINK("https://www2.assemblee-nationale.fr/sycomore/fiche/(num_dept)/7500", "7500.0")</f>
        <v>0</v>
      </c>
      <c r="H2966">
        <f>HYPERLINK("https://www.wikidata.org/wiki/Q8342132", "Q8342132")</f>
        <v>0</v>
      </c>
    </row>
    <row r="2967" spans="1:8">
      <c r="A2967" t="s">
        <v>2973</v>
      </c>
      <c r="B2967" t="s">
        <v>7546</v>
      </c>
      <c r="C2967" t="s">
        <v>9430</v>
      </c>
      <c r="D2967" t="s">
        <v>14114</v>
      </c>
      <c r="E2967" s="2">
        <v>687</v>
      </c>
      <c r="G2967">
        <f>HYPERLINK("https://www.senat.fr/senateur-3eme-republique/laurens_paul0728r3.html", "laurens_paul0728r3")</f>
        <v>0</v>
      </c>
      <c r="H2967">
        <f>HYPERLINK("https://www.wikidata.org/wiki/Q3371641", "Q3371641")</f>
        <v>0</v>
      </c>
    </row>
    <row r="2968" spans="1:8">
      <c r="A2968" t="s">
        <v>2974</v>
      </c>
      <c r="B2968" t="s">
        <v>7547</v>
      </c>
      <c r="C2968" t="s">
        <v>9524</v>
      </c>
      <c r="D2968" t="s">
        <v>14115</v>
      </c>
      <c r="E2968" s="2">
        <v>14778</v>
      </c>
      <c r="F2968">
        <f>HYPERLINK("https://www2.assemblee-nationale.fr/sycomore/fiche/(num_dept)/7498", "7498.0")</f>
        <v>0</v>
      </c>
      <c r="H2968">
        <f>HYPERLINK("https://www.wikidata.org/wiki/Q3588602", "Q3588602")</f>
        <v>0</v>
      </c>
    </row>
    <row r="2969" spans="1:8">
      <c r="A2969" t="s">
        <v>2975</v>
      </c>
      <c r="B2969" t="s">
        <v>7548</v>
      </c>
      <c r="C2969" t="s">
        <v>7782</v>
      </c>
      <c r="D2969" t="s">
        <v>14116</v>
      </c>
      <c r="E2969" t="s">
        <v>16227</v>
      </c>
      <c r="G2969">
        <f>HYPERLINK("https://www.senat.fr/senateur-3eme-republique/laurent_pichat_leon1497r3.html", "laurent_pichat_leon1497r3")</f>
        <v>0</v>
      </c>
      <c r="H2969">
        <f>HYPERLINK("https://www.wikidata.org/wiki/Q1879434", "Q1879434")</f>
        <v>0</v>
      </c>
    </row>
    <row r="2970" spans="1:8">
      <c r="A2970" t="s">
        <v>2976</v>
      </c>
      <c r="B2970" t="s">
        <v>7549</v>
      </c>
      <c r="C2970" t="s">
        <v>7025</v>
      </c>
      <c r="D2970" t="s">
        <v>14117</v>
      </c>
      <c r="E2970" s="2">
        <v>13743</v>
      </c>
      <c r="F2970">
        <f>HYPERLINK("https://www2.assemblee-nationale.fr/sycomore/fiche/(num_dept)/7506", "7506.0")</f>
        <v>0</v>
      </c>
      <c r="H2970">
        <f>HYPERLINK("https://www.wikidata.org/wiki/Q16025953", "Q16025953")</f>
        <v>0</v>
      </c>
    </row>
    <row r="2971" spans="1:8">
      <c r="A2971" t="s">
        <v>2977</v>
      </c>
      <c r="B2971" t="s">
        <v>7549</v>
      </c>
      <c r="C2971" t="s">
        <v>7342</v>
      </c>
      <c r="D2971" t="s">
        <v>14118</v>
      </c>
      <c r="E2971" s="2">
        <v>13738</v>
      </c>
      <c r="F2971">
        <f>HYPERLINK("https://www2.assemblee-nationale.fr/sycomore/fiche/(num_dept)/7507", "7507.0")</f>
        <v>0</v>
      </c>
      <c r="H2971">
        <f>HYPERLINK("https://www.wikidata.org/wiki/Q3173035", "Q3173035")</f>
        <v>0</v>
      </c>
    </row>
    <row r="2972" spans="1:8">
      <c r="A2972" t="s">
        <v>2978</v>
      </c>
      <c r="B2972" t="s">
        <v>7549</v>
      </c>
      <c r="C2972" t="s">
        <v>9368</v>
      </c>
      <c r="D2972" t="s">
        <v>12148</v>
      </c>
      <c r="E2972" s="2">
        <v>12380</v>
      </c>
      <c r="F2972">
        <f>HYPERLINK("https://www2.assemblee-nationale.fr/sycomore/fiche/(num_dept)/7505", "7505.0")</f>
        <v>0</v>
      </c>
      <c r="H2972">
        <f>HYPERLINK("https://www.wikidata.org/wiki/Q16025952", "Q16025952")</f>
        <v>0</v>
      </c>
    </row>
    <row r="2973" spans="1:8">
      <c r="A2973" t="s">
        <v>2979</v>
      </c>
      <c r="B2973" t="s">
        <v>7549</v>
      </c>
      <c r="C2973" t="s">
        <v>9524</v>
      </c>
      <c r="D2973" t="s">
        <v>14119</v>
      </c>
      <c r="E2973" s="2">
        <v>17207</v>
      </c>
      <c r="F2973">
        <f>HYPERLINK("https://www2.assemblee-nationale.fr/sycomore/fiche/(num_dept)/7504", "7504.0")</f>
        <v>0</v>
      </c>
      <c r="H2973">
        <f>HYPERLINK("https://www.wikidata.org/wiki/Q8326812", "Q8326812")</f>
        <v>0</v>
      </c>
    </row>
    <row r="2974" spans="1:8">
      <c r="A2974" t="s">
        <v>2980</v>
      </c>
      <c r="B2974" t="s">
        <v>7550</v>
      </c>
      <c r="C2974" t="s">
        <v>7782</v>
      </c>
      <c r="D2974" t="s">
        <v>14120</v>
      </c>
      <c r="E2974" s="2">
        <v>8229</v>
      </c>
      <c r="F2974">
        <f>HYPERLINK("https://www2.assemblee-nationale.fr/sycomore/fiche/(num_dept)/7496", "7496.0")</f>
        <v>0</v>
      </c>
      <c r="H2974">
        <f>HYPERLINK("https://www.wikidata.org/wiki/Q16025951", "Q16025951")</f>
        <v>0</v>
      </c>
    </row>
    <row r="2975" spans="1:8">
      <c r="A2975" t="s">
        <v>2981</v>
      </c>
      <c r="B2975" t="s">
        <v>7551</v>
      </c>
      <c r="C2975" t="s">
        <v>10635</v>
      </c>
      <c r="D2975" t="s">
        <v>14121</v>
      </c>
      <c r="E2975" s="2">
        <v>12826</v>
      </c>
      <c r="F2975">
        <f>HYPERLINK("https://www2.assemblee-nationale.fr/sycomore/fiche/(num_dept)/7517", "7517.0")</f>
        <v>0</v>
      </c>
      <c r="H2975">
        <f>HYPERLINK("https://www.wikidata.org/wiki/Q3059966", "Q3059966")</f>
        <v>0</v>
      </c>
    </row>
    <row r="2976" spans="1:8">
      <c r="A2976" t="s">
        <v>2982</v>
      </c>
      <c r="B2976" t="s">
        <v>7552</v>
      </c>
      <c r="C2976" t="s">
        <v>8384</v>
      </c>
      <c r="D2976" t="s">
        <v>14122</v>
      </c>
      <c r="E2976" s="2">
        <v>26279</v>
      </c>
      <c r="G2976">
        <f>HYPERLINK("https://www.senat.fr/senateur-3eme-republique/lautier_pierre1861r3.html", "lautier_pierre1861r3")</f>
        <v>0</v>
      </c>
      <c r="H2976">
        <f>HYPERLINK("https://www.wikidata.org/wiki/Q3385821", "Q3385821")</f>
        <v>0</v>
      </c>
    </row>
    <row r="2977" spans="1:8">
      <c r="A2977" t="s">
        <v>2983</v>
      </c>
      <c r="B2977" t="s">
        <v>7553</v>
      </c>
      <c r="C2977" t="s">
        <v>7782</v>
      </c>
      <c r="D2977" t="s">
        <v>14123</v>
      </c>
      <c r="E2977" s="2">
        <v>23897</v>
      </c>
      <c r="F2977">
        <f>HYPERLINK("https://www2.assemblee-nationale.fr/sycomore/fiche/(num_dept)/7518", "7518.0")</f>
        <v>0</v>
      </c>
      <c r="G2977">
        <f>HYPERLINK("https://www.senat.fr/senateur-3eme-republique/lauvray_leon0752r3.html", "lauvray_leon0752r3")</f>
        <v>0</v>
      </c>
      <c r="H2977">
        <f>HYPERLINK("https://www.wikidata.org/wiki/Q3271132", "Q3271132")</f>
        <v>0</v>
      </c>
    </row>
    <row r="2978" spans="1:8">
      <c r="A2978" t="s">
        <v>2984</v>
      </c>
      <c r="B2978" t="s">
        <v>7554</v>
      </c>
      <c r="C2978" t="s">
        <v>8384</v>
      </c>
      <c r="D2978" t="s">
        <v>14124</v>
      </c>
      <c r="E2978" s="2">
        <v>16725</v>
      </c>
      <c r="F2978">
        <f>HYPERLINK("https://www2.assemblee-nationale.fr/sycomore/fiche/(num_dept)/7519", "7519.0")</f>
        <v>0</v>
      </c>
      <c r="G2978">
        <f>HYPERLINK("https://www.senat.fr/senateur-3eme-republique/laval_pierre1565r3.html", "laval_pierre1565r3")</f>
        <v>0</v>
      </c>
      <c r="H2978">
        <f>HYPERLINK("https://www.wikidata.org/wiki/Q151983", "Q151983")</f>
        <v>0</v>
      </c>
    </row>
    <row r="2979" spans="1:8">
      <c r="A2979" t="s">
        <v>2985</v>
      </c>
      <c r="B2979" t="s">
        <v>7555</v>
      </c>
      <c r="C2979" t="s">
        <v>9429</v>
      </c>
      <c r="D2979" t="s">
        <v>14125</v>
      </c>
      <c r="E2979" t="s">
        <v>16228</v>
      </c>
      <c r="G2979">
        <f>HYPERLINK("https://www.senat.fr/senateur-3eme-republique/lavalley_alexandre0333r3.html", "lavalley_alexandre0333r3")</f>
        <v>0</v>
      </c>
      <c r="H2979">
        <f>HYPERLINK("https://www.wikidata.org/wiki/Q576841", "Q576841")</f>
        <v>0</v>
      </c>
    </row>
    <row r="2980" spans="1:8">
      <c r="A2980" t="s">
        <v>2986</v>
      </c>
      <c r="B2980" t="s">
        <v>7556</v>
      </c>
      <c r="C2980" t="s">
        <v>7342</v>
      </c>
      <c r="D2980" t="s">
        <v>14126</v>
      </c>
      <c r="E2980" s="2">
        <v>13567</v>
      </c>
      <c r="F2980">
        <f>HYPERLINK("https://www2.assemblee-nationale.fr/sycomore/fiche/(num_dept)/7520", "7520.0")</f>
        <v>0</v>
      </c>
      <c r="H2980">
        <f>HYPERLINK("https://www.wikidata.org/wiki/Q8313881", "Q8313881")</f>
        <v>0</v>
      </c>
    </row>
    <row r="2981" spans="1:8">
      <c r="A2981" t="s">
        <v>2987</v>
      </c>
      <c r="B2981" t="s">
        <v>7557</v>
      </c>
      <c r="C2981" t="s">
        <v>9312</v>
      </c>
      <c r="D2981" t="s">
        <v>14127</v>
      </c>
      <c r="E2981" s="2">
        <v>6748</v>
      </c>
      <c r="F2981">
        <f>HYPERLINK("https://www2.assemblee-nationale.fr/sycomore/fiche/(num_dept)/7521", "7521.0")</f>
        <v>0</v>
      </c>
      <c r="H2981">
        <f>HYPERLINK("https://www.wikidata.org/wiki/Q13080908", "Q13080908")</f>
        <v>0</v>
      </c>
    </row>
    <row r="2982" spans="1:8">
      <c r="A2982" t="s">
        <v>2988</v>
      </c>
      <c r="B2982" t="s">
        <v>7558</v>
      </c>
      <c r="C2982" t="s">
        <v>10636</v>
      </c>
      <c r="D2982" t="s">
        <v>14128</v>
      </c>
      <c r="E2982" s="2">
        <v>1410</v>
      </c>
      <c r="F2982">
        <f>HYPERLINK("https://www2.assemblee-nationale.fr/sycomore/fiche/(num_dept)/8277", "8277.0")</f>
        <v>0</v>
      </c>
      <c r="H2982">
        <f>HYPERLINK("https://www.wikidata.org/wiki/Q2899599", "Q2899599")</f>
        <v>0</v>
      </c>
    </row>
    <row r="2983" spans="1:8">
      <c r="A2983" t="s">
        <v>2989</v>
      </c>
      <c r="B2983" t="s">
        <v>7559</v>
      </c>
      <c r="C2983" t="s">
        <v>5330</v>
      </c>
      <c r="D2983" t="s">
        <v>14129</v>
      </c>
      <c r="E2983" s="2">
        <v>1410</v>
      </c>
      <c r="G2983">
        <f>HYPERLINK("https://www.senat.fr/senateur-3eme-republique/lavergne_bernard1682r3.html", "lavergne_bernard1682r3")</f>
        <v>0</v>
      </c>
      <c r="H2983">
        <f>HYPERLINK("https://www.wikidata.org/wiki/Q2899599", "Q2899599")</f>
        <v>0</v>
      </c>
    </row>
    <row r="2984" spans="1:8">
      <c r="A2984" t="s">
        <v>2990</v>
      </c>
      <c r="B2984" t="s">
        <v>7559</v>
      </c>
      <c r="C2984" t="s">
        <v>9918</v>
      </c>
      <c r="D2984" t="s">
        <v>14130</v>
      </c>
      <c r="E2984" s="2">
        <v>16692</v>
      </c>
      <c r="G2984">
        <f>HYPERLINK("https://www.senat.fr/senateur-3eme-republique/lavergne_fernand1695r3.html", "lavergne_fernand1695r3")</f>
        <v>0</v>
      </c>
      <c r="H2984">
        <f>HYPERLINK("https://www.wikidata.org/wiki/Q3069223", "Q3069223")</f>
        <v>0</v>
      </c>
    </row>
    <row r="2985" spans="1:8">
      <c r="A2985" t="s">
        <v>2991</v>
      </c>
      <c r="B2985" t="s">
        <v>7560</v>
      </c>
      <c r="C2985" t="s">
        <v>5096</v>
      </c>
      <c r="D2985" t="s">
        <v>14131</v>
      </c>
      <c r="E2985" s="2">
        <v>5358</v>
      </c>
      <c r="G2985">
        <f>HYPERLINK("https://www.senat.fr/senateur-3eme-republique/lavertujon_andre0205r3.html", "lavertujon_andre0205r3")</f>
        <v>0</v>
      </c>
      <c r="H2985">
        <f>HYPERLINK("https://www.wikidata.org/wiki/Q2848112", "Q2848112")</f>
        <v>0</v>
      </c>
    </row>
    <row r="2986" spans="1:8">
      <c r="A2986" t="s">
        <v>2992</v>
      </c>
      <c r="B2986" t="s">
        <v>7561</v>
      </c>
      <c r="C2986" t="s">
        <v>9324</v>
      </c>
      <c r="D2986" t="s">
        <v>14132</v>
      </c>
      <c r="E2986" s="2">
        <v>2811</v>
      </c>
      <c r="F2986">
        <f>HYPERLINK("https://www2.assemblee-nationale.fr/sycomore/fiche/(num_dept)/7525", "7525.0")</f>
        <v>0</v>
      </c>
      <c r="G2986">
        <f>HYPERLINK("https://www.senat.fr/senateur-3eme-republique/lavertujon_henri1778r3.html", "lavertujon_henri1778r3")</f>
        <v>0</v>
      </c>
      <c r="H2986">
        <f>HYPERLINK("https://www.wikidata.org/wiki/Q3131428", "Q3131428")</f>
        <v>0</v>
      </c>
    </row>
    <row r="2987" spans="1:8">
      <c r="A2987" t="s">
        <v>2993</v>
      </c>
      <c r="B2987" t="s">
        <v>7562</v>
      </c>
      <c r="C2987" t="s">
        <v>10637</v>
      </c>
      <c r="D2987" t="s">
        <v>14133</v>
      </c>
      <c r="E2987" s="2">
        <v>4602</v>
      </c>
      <c r="F2987">
        <f>HYPERLINK("https://www2.assemblee-nationale.fr/sycomore/fiche/(num_dept)/7528", "7528.0")</f>
        <v>0</v>
      </c>
      <c r="H2987">
        <f>HYPERLINK("https://www.wikidata.org/wiki/Q16025956", "Q16025956")</f>
        <v>0</v>
      </c>
    </row>
    <row r="2988" spans="1:8">
      <c r="A2988" t="s">
        <v>2994</v>
      </c>
      <c r="B2988" t="s">
        <v>7562</v>
      </c>
      <c r="C2988" t="s">
        <v>7342</v>
      </c>
      <c r="D2988" t="s">
        <v>14134</v>
      </c>
      <c r="E2988" s="2">
        <v>14116</v>
      </c>
      <c r="F2988">
        <f>HYPERLINK("https://www2.assemblee-nationale.fr/sycomore/fiche/(num_dept)/7529", "7529.0")</f>
        <v>0</v>
      </c>
      <c r="H2988">
        <f>HYPERLINK("https://www.wikidata.org/wiki/Q3173048", "Q3173048")</f>
        <v>0</v>
      </c>
    </row>
    <row r="2989" spans="1:8">
      <c r="A2989" t="s">
        <v>2995</v>
      </c>
      <c r="B2989" t="s">
        <v>7563</v>
      </c>
      <c r="C2989" t="s">
        <v>5096</v>
      </c>
      <c r="D2989" t="s">
        <v>14135</v>
      </c>
      <c r="E2989" s="2">
        <v>19309</v>
      </c>
      <c r="F2989">
        <f>HYPERLINK("https://www2.assemblee-nationale.fr/sycomore/fiche/(num_dept)/7530", "7530.0")</f>
        <v>0</v>
      </c>
      <c r="G2989">
        <f>HYPERLINK("https://www.senat.fr/senateur-3eme-republique/lavoinne_andre1612r3.html", "lavoinne_andre1612r3")</f>
        <v>0</v>
      </c>
      <c r="H2989">
        <f>HYPERLINK("https://www.wikidata.org/wiki/Q2848110", "Q2848110")</f>
        <v>0</v>
      </c>
    </row>
    <row r="2990" spans="1:8">
      <c r="A2990" t="s">
        <v>2996</v>
      </c>
      <c r="B2990" t="s">
        <v>7564</v>
      </c>
      <c r="C2990" t="s">
        <v>10638</v>
      </c>
      <c r="D2990" t="s">
        <v>12746</v>
      </c>
      <c r="E2990" s="2">
        <v>9913</v>
      </c>
      <c r="F2990">
        <f>HYPERLINK("https://www2.assemblee-nationale.fr/sycomore/fiche/(num_dept)/7531", "7531.0")</f>
        <v>0</v>
      </c>
      <c r="H2990">
        <f>HYPERLINK("https://www.wikidata.org/wiki/Q3132304", "Q3132304")</f>
        <v>0</v>
      </c>
    </row>
    <row r="2991" spans="1:8">
      <c r="A2991" t="s">
        <v>2997</v>
      </c>
      <c r="B2991" t="s">
        <v>7565</v>
      </c>
      <c r="C2991" t="s">
        <v>10639</v>
      </c>
      <c r="D2991" t="s">
        <v>14136</v>
      </c>
      <c r="E2991" s="2">
        <v>7978</v>
      </c>
      <c r="F2991">
        <f>HYPERLINK("https://www2.assemblee-nationale.fr/sycomore/fiche/(num_dept)/7532", "7532.0")</f>
        <v>0</v>
      </c>
      <c r="H2991">
        <f>HYPERLINK("https://www.wikidata.org/wiki/Q13080909", "Q13080909")</f>
        <v>0</v>
      </c>
    </row>
    <row r="2992" spans="1:8">
      <c r="A2992" t="s">
        <v>2998</v>
      </c>
      <c r="B2992" t="s">
        <v>7566</v>
      </c>
      <c r="C2992" t="s">
        <v>7001</v>
      </c>
      <c r="D2992" t="s">
        <v>11555</v>
      </c>
      <c r="E2992" s="2">
        <v>13549</v>
      </c>
      <c r="G2992">
        <f>HYPERLINK("https://www.senat.fr/senateur-3eme-republique/le_bail_georges0793r3.html", "le_bail_georges0793r3")</f>
        <v>0</v>
      </c>
      <c r="H2992">
        <f>HYPERLINK("https://www.wikidata.org/wiki/Q2381659", "Q2381659")</f>
        <v>0</v>
      </c>
    </row>
    <row r="2993" spans="1:8">
      <c r="A2993" t="s">
        <v>2999</v>
      </c>
      <c r="B2993" t="s">
        <v>7567</v>
      </c>
      <c r="C2993" t="s">
        <v>5058</v>
      </c>
      <c r="D2993" t="s">
        <v>14137</v>
      </c>
      <c r="E2993" s="2">
        <v>14681</v>
      </c>
      <c r="G2993">
        <f>HYPERLINK("https://www.senat.fr/senateur-3eme-republique/le_barillier_albert1052r3.html", "le_barillier_albert1052r3")</f>
        <v>0</v>
      </c>
      <c r="H2993">
        <f>HYPERLINK("https://www.wikidata.org/wiki/Q2831321", "Q2831321")</f>
        <v>0</v>
      </c>
    </row>
    <row r="2994" spans="1:8">
      <c r="A2994" t="s">
        <v>3000</v>
      </c>
      <c r="B2994" t="s">
        <v>7568</v>
      </c>
      <c r="C2994" t="s">
        <v>10161</v>
      </c>
      <c r="D2994" t="s">
        <v>14138</v>
      </c>
      <c r="E2994" t="s">
        <v>16229</v>
      </c>
      <c r="G2994">
        <f>HYPERLINK("https://www.senat.fr/senateur-3eme-republique/le_bastard_edgar0551r3.html", "le_bastard_edgar0551r3")</f>
        <v>0</v>
      </c>
      <c r="H2994">
        <f>HYPERLINK("https://www.wikidata.org/wiki/Q3047459", "Q3047459")</f>
        <v>0</v>
      </c>
    </row>
    <row r="2995" spans="1:8">
      <c r="A2995" t="s">
        <v>3001</v>
      </c>
      <c r="B2995" t="s">
        <v>7569</v>
      </c>
      <c r="C2995" t="s">
        <v>10372</v>
      </c>
      <c r="D2995" t="s">
        <v>14139</v>
      </c>
      <c r="E2995" t="s">
        <v>16230</v>
      </c>
      <c r="G2995">
        <f>HYPERLINK("https://www.senat.fr/senateur-3eme-republique/le_blond_desire0633r3.html", "le_blond_desire0633r3")</f>
        <v>0</v>
      </c>
      <c r="H2995">
        <f>HYPERLINK("https://www.wikidata.org/wiki/Q2370469", "Q2370469")</f>
        <v>0</v>
      </c>
    </row>
    <row r="2996" spans="1:8">
      <c r="A2996" t="s">
        <v>3002</v>
      </c>
      <c r="B2996" t="s">
        <v>7570</v>
      </c>
      <c r="C2996" t="s">
        <v>9430</v>
      </c>
      <c r="D2996" t="s">
        <v>12777</v>
      </c>
      <c r="E2996" s="2">
        <v>5746</v>
      </c>
      <c r="G2996">
        <f>HYPERLINK("https://www.senat.fr/senateur-3eme-republique/le_breton_paul0954r3.html", "le_breton_paul0954r3")</f>
        <v>0</v>
      </c>
      <c r="H2996">
        <f>HYPERLINK("https://www.wikidata.org/wiki/Q3371642", "Q3371642")</f>
        <v>0</v>
      </c>
    </row>
    <row r="2997" spans="1:8">
      <c r="A2997" t="s">
        <v>3003</v>
      </c>
      <c r="B2997" t="s">
        <v>7571</v>
      </c>
      <c r="C2997" t="s">
        <v>9337</v>
      </c>
      <c r="D2997" t="s">
        <v>12369</v>
      </c>
      <c r="E2997" t="s">
        <v>15941</v>
      </c>
      <c r="G2997">
        <f>HYPERLINK("https://www.senat.fr/senateur-3eme-republique/le_cherbonnier_auguste0461r3.html", "le_cherbonnier_auguste0461r3")</f>
        <v>0</v>
      </c>
      <c r="H2997">
        <f>HYPERLINK("https://www.wikidata.org/wiki/Q2871272", "Q2871272")</f>
        <v>0</v>
      </c>
    </row>
    <row r="2998" spans="1:8">
      <c r="A2998" t="s">
        <v>3004</v>
      </c>
      <c r="B2998" t="s">
        <v>7572</v>
      </c>
      <c r="C2998" t="s">
        <v>9373</v>
      </c>
      <c r="D2998" t="s">
        <v>12372</v>
      </c>
      <c r="E2998" s="2">
        <v>8495</v>
      </c>
      <c r="H2998">
        <f>HYPERLINK("https://www.wikidata.org/wiki/Q3185225", "Q3185225")</f>
        <v>0</v>
      </c>
    </row>
    <row r="2999" spans="1:8">
      <c r="A2999" t="s">
        <v>3005</v>
      </c>
      <c r="B2999" t="s">
        <v>7573</v>
      </c>
      <c r="C2999" t="s">
        <v>7001</v>
      </c>
      <c r="D2999" t="s">
        <v>14140</v>
      </c>
      <c r="E2999" s="2">
        <v>3354</v>
      </c>
      <c r="G2999">
        <f>HYPERLINK("https://www.senat.fr/senateur-3eme-republique/le_chevalier_georges1247r3.html", "le_chevalier_georges1247r3")</f>
        <v>0</v>
      </c>
      <c r="H2999">
        <f>HYPERLINK("https://www.wikidata.org/wiki/Q3103046", "Q3103046")</f>
        <v>0</v>
      </c>
    </row>
    <row r="3000" spans="1:8">
      <c r="A3000" t="s">
        <v>3006</v>
      </c>
      <c r="B3000" t="s">
        <v>7574</v>
      </c>
      <c r="C3000" t="s">
        <v>9355</v>
      </c>
      <c r="D3000" t="s">
        <v>13649</v>
      </c>
      <c r="E3000" s="2">
        <v>382</v>
      </c>
      <c r="G3000">
        <f>HYPERLINK("https://www.senat.fr/senateur-3eme-republique/le_cour_grandmaison_charles1288r3.html", "le_cour_grandmaison_charles1288r3")</f>
        <v>0</v>
      </c>
      <c r="H3000">
        <f>HYPERLINK("https://www.wikidata.org/wiki/Q2959601", "Q2959601")</f>
        <v>0</v>
      </c>
    </row>
    <row r="3001" spans="1:8">
      <c r="A3001" t="s">
        <v>3007</v>
      </c>
      <c r="B3001" t="s">
        <v>7574</v>
      </c>
      <c r="C3001" t="s">
        <v>9324</v>
      </c>
      <c r="D3001" t="s">
        <v>14141</v>
      </c>
      <c r="E3001" s="2">
        <v>5925</v>
      </c>
      <c r="G3001">
        <f>HYPERLINK("https://www.senat.fr/senateur-3eme-republique/le_cour_grandmaison_henri1289r3.html", "le_cour_grandmaison_henri1289r3")</f>
        <v>0</v>
      </c>
      <c r="H3001">
        <f>HYPERLINK("https://www.wikidata.org/wiki/Q3131438", "Q3131438")</f>
        <v>0</v>
      </c>
    </row>
    <row r="3002" spans="1:8">
      <c r="A3002" t="s">
        <v>3008</v>
      </c>
      <c r="B3002" t="s">
        <v>7575</v>
      </c>
      <c r="C3002" t="s">
        <v>7342</v>
      </c>
      <c r="D3002" t="s">
        <v>13650</v>
      </c>
      <c r="E3002" s="2">
        <v>27046</v>
      </c>
      <c r="H3002">
        <f>HYPERLINK("https://www.wikidata.org/wiki/Q3173069", "Q3173069")</f>
        <v>0</v>
      </c>
    </row>
    <row r="3003" spans="1:8">
      <c r="A3003" t="s">
        <v>3009</v>
      </c>
      <c r="B3003" t="s">
        <v>7576</v>
      </c>
      <c r="C3003" t="s">
        <v>9438</v>
      </c>
      <c r="D3003" t="s">
        <v>14142</v>
      </c>
      <c r="E3003" s="2">
        <v>23265</v>
      </c>
      <c r="G3003">
        <f>HYPERLINK("https://www.senat.fr/senateur-3eme-republique/le_gorgeu_victor0818r3.html", "le_gorgeu_victor0818r3")</f>
        <v>0</v>
      </c>
      <c r="H3003">
        <f>HYPERLINK("https://www.wikidata.org/wiki/Q3557509", "Q3557509")</f>
        <v>0</v>
      </c>
    </row>
    <row r="3004" spans="1:8">
      <c r="A3004" t="s">
        <v>3010</v>
      </c>
      <c r="B3004" t="s">
        <v>7577</v>
      </c>
      <c r="C3004" t="s">
        <v>7782</v>
      </c>
      <c r="D3004" t="s">
        <v>13412</v>
      </c>
      <c r="E3004" t="s">
        <v>16231</v>
      </c>
      <c r="G3004">
        <f>HYPERLINK("https://www.senat.fr/senateur-3eme-republique/le_guay_leon1073r3.html", "le_guay_leon1073r3")</f>
        <v>0</v>
      </c>
      <c r="H3004">
        <f>HYPERLINK("https://www.wikidata.org/wiki/Q3271139", "Q3271139")</f>
        <v>0</v>
      </c>
    </row>
    <row r="3005" spans="1:8">
      <c r="A3005" t="s">
        <v>3011</v>
      </c>
      <c r="B3005" t="s">
        <v>7577</v>
      </c>
      <c r="C3005" t="s">
        <v>7025</v>
      </c>
      <c r="D3005" t="s">
        <v>13692</v>
      </c>
      <c r="E3005" t="s">
        <v>16232</v>
      </c>
      <c r="G3005">
        <f>HYPERLINK("https://www.senat.fr/senateur-3eme-republique/le_guay_gilbert0985r3.html", "le_guay_gilbert0985r3")</f>
        <v>0</v>
      </c>
      <c r="H3005">
        <f>HYPERLINK("https://www.wikidata.org/wiki/Q3105767", "Q3105767")</f>
        <v>0</v>
      </c>
    </row>
    <row r="3006" spans="1:8">
      <c r="A3006" t="s">
        <v>3012</v>
      </c>
      <c r="B3006" t="s">
        <v>7578</v>
      </c>
      <c r="C3006" t="s">
        <v>9346</v>
      </c>
      <c r="D3006" t="s">
        <v>14143</v>
      </c>
      <c r="G3006">
        <f>HYPERLINK("https://www.senat.fr/senateur-3eme-republique/le_guen_edouard0796r3.html", "le_guen_edouard0796r3")</f>
        <v>0</v>
      </c>
      <c r="H3006">
        <f>HYPERLINK("https://www.wikidata.org/wiki/Q3579931", "Q3579931")</f>
        <v>0</v>
      </c>
    </row>
    <row r="3007" spans="1:8">
      <c r="A3007" t="s">
        <v>3013</v>
      </c>
      <c r="B3007" t="s">
        <v>7579</v>
      </c>
      <c r="C3007" t="s">
        <v>10211</v>
      </c>
      <c r="D3007" t="s">
        <v>14144</v>
      </c>
      <c r="E3007" s="2">
        <v>10503</v>
      </c>
      <c r="G3007">
        <f>HYPERLINK("https://www.senat.fr/senateur-3eme-republique/le_hars_theodore0792r3.html", "le_hars_theodore0792r3")</f>
        <v>0</v>
      </c>
      <c r="H3007">
        <f>HYPERLINK("https://www.wikidata.org/wiki/Q3526450", "Q3526450")</f>
        <v>0</v>
      </c>
    </row>
    <row r="3008" spans="1:8">
      <c r="A3008" t="s">
        <v>3014</v>
      </c>
      <c r="B3008" t="s">
        <v>7580</v>
      </c>
      <c r="C3008" t="s">
        <v>9320</v>
      </c>
      <c r="D3008" t="s">
        <v>13018</v>
      </c>
      <c r="E3008" s="2">
        <v>8179</v>
      </c>
      <c r="G3008">
        <f>HYPERLINK("https://www.senat.fr/senateur-3eme-republique/le_herisse_rene0541r3.html", "le_herisse_rene0541r3")</f>
        <v>0</v>
      </c>
      <c r="H3008">
        <f>HYPERLINK("https://www.wikidata.org/wiki/Q3426501", "Q3426501")</f>
        <v>0</v>
      </c>
    </row>
    <row r="3009" spans="1:8">
      <c r="A3009" t="s">
        <v>3015</v>
      </c>
      <c r="B3009" t="s">
        <v>7581</v>
      </c>
      <c r="C3009" t="s">
        <v>10170</v>
      </c>
      <c r="D3009" t="s">
        <v>14145</v>
      </c>
      <c r="E3009" s="2">
        <v>26369</v>
      </c>
      <c r="G3009">
        <f>HYPERLINK("https://www.senat.fr/senateur-3eme-republique/le_jeune_olivier0788r3.html", "le_jeune_olivier0788r3")</f>
        <v>0</v>
      </c>
      <c r="H3009">
        <f>HYPERLINK("https://www.wikidata.org/wiki/Q3351150", "Q3351150")</f>
        <v>0</v>
      </c>
    </row>
    <row r="3010" spans="1:8">
      <c r="A3010" t="s">
        <v>3016</v>
      </c>
      <c r="B3010" t="s">
        <v>7582</v>
      </c>
      <c r="C3010" t="s">
        <v>9471</v>
      </c>
      <c r="D3010" t="s">
        <v>11885</v>
      </c>
      <c r="E3010" s="2">
        <v>11401</v>
      </c>
      <c r="G3010">
        <f>HYPERLINK("https://www.senat.fr/senateur-3eme-republique/le_louedec_jules0811r3.html", "le_louedec_jules0811r3")</f>
        <v>0</v>
      </c>
      <c r="H3010">
        <f>HYPERLINK("https://www.wikidata.org/wiki/Q3188719", "Q3188719")</f>
        <v>0</v>
      </c>
    </row>
    <row r="3011" spans="1:8">
      <c r="A3011" t="s">
        <v>3017</v>
      </c>
      <c r="B3011" t="s">
        <v>7583</v>
      </c>
      <c r="C3011" t="s">
        <v>9368</v>
      </c>
      <c r="D3011" t="s">
        <v>14146</v>
      </c>
      <c r="E3011" s="2">
        <v>17380</v>
      </c>
      <c r="G3011">
        <f>HYPERLINK("https://www.senat.fr/senateur-3eme-republique/le_moignic_eugene1836r3.html", "le_moignic_eugene1836r3")</f>
        <v>0</v>
      </c>
      <c r="H3011">
        <f>HYPERLINK("https://www.wikidata.org/wiki/Q3059976", "Q3059976")</f>
        <v>0</v>
      </c>
    </row>
    <row r="3012" spans="1:8">
      <c r="A3012" t="s">
        <v>3018</v>
      </c>
      <c r="B3012" t="s">
        <v>7584</v>
      </c>
      <c r="C3012" t="s">
        <v>8384</v>
      </c>
      <c r="D3012" t="s">
        <v>14147</v>
      </c>
      <c r="E3012" t="s">
        <v>16233</v>
      </c>
      <c r="G3012">
        <f>HYPERLINK("https://www.senat.fr/senateur-3eme-republique/le_monnier_pierre1250r3.html", "le_monnier_pierre1250r3")</f>
        <v>0</v>
      </c>
      <c r="H3012">
        <f>HYPERLINK("https://www.wikidata.org/wiki/Q3385859", "Q3385859")</f>
        <v>0</v>
      </c>
    </row>
    <row r="3013" spans="1:8">
      <c r="A3013" t="s">
        <v>3019</v>
      </c>
      <c r="B3013" t="s">
        <v>7585</v>
      </c>
      <c r="C3013" t="s">
        <v>9414</v>
      </c>
      <c r="D3013" t="s">
        <v>14148</v>
      </c>
      <c r="E3013" s="2">
        <v>14505</v>
      </c>
      <c r="G3013">
        <f>HYPERLINK("https://www.senat.fr/senateur-3eme-republique/le_pelletier_ferdinand0968r3.html", "le_pelletier_ferdinand0968r3")</f>
        <v>0</v>
      </c>
      <c r="H3013">
        <f>HYPERLINK("https://www.wikidata.org/wiki/Q3068604", "Q3068604")</f>
        <v>0</v>
      </c>
    </row>
    <row r="3014" spans="1:8">
      <c r="A3014" t="s">
        <v>3020</v>
      </c>
      <c r="B3014" t="s">
        <v>7586</v>
      </c>
      <c r="C3014" t="s">
        <v>5058</v>
      </c>
      <c r="D3014" t="s">
        <v>14149</v>
      </c>
      <c r="E3014" s="2">
        <v>13582</v>
      </c>
      <c r="G3014">
        <f>HYPERLINK("https://www.senat.fr/senateur-3eme-republique/le_play_albert1776r3.html", "le_play_albert1776r3")</f>
        <v>0</v>
      </c>
      <c r="H3014">
        <f>HYPERLINK("https://www.wikidata.org/wiki/Q2831325", "Q2831325")</f>
        <v>0</v>
      </c>
    </row>
    <row r="3015" spans="1:8">
      <c r="A3015" t="s">
        <v>3021</v>
      </c>
      <c r="B3015" t="s">
        <v>7587</v>
      </c>
      <c r="C3015" t="s">
        <v>8384</v>
      </c>
      <c r="D3015" t="s">
        <v>14150</v>
      </c>
      <c r="E3015" t="s">
        <v>16234</v>
      </c>
      <c r="G3015">
        <f>HYPERLINK("https://www.senat.fr/senateur-3eme-republique/le_provost_de_launay_pierre0570r3.html", "le_provost_de_launay_pierre0570r3")</f>
        <v>0</v>
      </c>
      <c r="H3015">
        <f>HYPERLINK("https://www.wikidata.org/wiki/Q2871276", "Q2871276")</f>
        <v>0</v>
      </c>
    </row>
    <row r="3016" spans="1:8">
      <c r="A3016" t="s">
        <v>3022</v>
      </c>
      <c r="B3016" t="s">
        <v>7587</v>
      </c>
      <c r="C3016" t="s">
        <v>7754</v>
      </c>
      <c r="D3016" t="s">
        <v>14109</v>
      </c>
      <c r="G3016">
        <f>HYPERLINK("https://www.senat.fr/senateur-3eme-republique/le_provost_de_launay_louis0584r3.html", "le_provost_de_launay_louis0584r3")</f>
        <v>0</v>
      </c>
      <c r="H3016">
        <f>HYPERLINK("https://www.wikidata.org/wiki/Q3262484", "Q3262484")</f>
        <v>0</v>
      </c>
    </row>
    <row r="3017" spans="1:8">
      <c r="A3017" t="s">
        <v>3023</v>
      </c>
      <c r="B3017" t="s">
        <v>7588</v>
      </c>
      <c r="C3017" t="s">
        <v>9430</v>
      </c>
      <c r="D3017" t="s">
        <v>14136</v>
      </c>
      <c r="E3017" s="2">
        <v>8517</v>
      </c>
      <c r="G3017">
        <f>HYPERLINK("https://www.senat.fr/senateur-3eme-republique/le_roux_paul1745r3.html", "le_roux_paul1745r3")</f>
        <v>0</v>
      </c>
      <c r="H3017">
        <f>HYPERLINK("https://www.wikidata.org/wiki/Q3371651", "Q3371651")</f>
        <v>0</v>
      </c>
    </row>
    <row r="3018" spans="1:8">
      <c r="A3018" t="s">
        <v>3024</v>
      </c>
      <c r="B3018" t="s">
        <v>7588</v>
      </c>
      <c r="C3018" t="s">
        <v>7270</v>
      </c>
      <c r="D3018" t="s">
        <v>14151</v>
      </c>
      <c r="E3018" s="2">
        <v>9450</v>
      </c>
      <c r="G3018">
        <f>HYPERLINK("https://www.senat.fr/senateur-3eme-republique/le_roux_hugues1668r3.html", "le_roux_hugues1668r3")</f>
        <v>0</v>
      </c>
      <c r="H3018">
        <f>HYPERLINK("https://www.wikidata.org/wiki/Q3142623", "Q3142623")</f>
        <v>0</v>
      </c>
    </row>
    <row r="3019" spans="1:8">
      <c r="A3019" t="s">
        <v>3025</v>
      </c>
      <c r="B3019" t="s">
        <v>7589</v>
      </c>
      <c r="C3019" t="s">
        <v>10640</v>
      </c>
      <c r="D3019" t="s">
        <v>14152</v>
      </c>
      <c r="E3019" t="s">
        <v>16235</v>
      </c>
      <c r="G3019">
        <f>HYPERLINK("https://www.senat.fr/senateur-3eme-republique/le_royer_philippe_elie1502r3.html", "le_royer_philippe_elie1502r3")</f>
        <v>0</v>
      </c>
      <c r="H3019">
        <f>HYPERLINK("https://www.wikidata.org/wiki/Q585025", "Q585025")</f>
        <v>0</v>
      </c>
    </row>
    <row r="3020" spans="1:8">
      <c r="A3020" t="s">
        <v>3026</v>
      </c>
      <c r="B3020" t="s">
        <v>7590</v>
      </c>
      <c r="C3020" t="s">
        <v>9430</v>
      </c>
      <c r="D3020" t="s">
        <v>14153</v>
      </c>
      <c r="E3020" s="2">
        <v>12144</v>
      </c>
      <c r="G3020">
        <f>HYPERLINK("https://www.senat.fr/senateur-3eme-republique/le_troadec_paul0586r3.html", "le_troadec_paul0586r3")</f>
        <v>0</v>
      </c>
      <c r="H3020">
        <f>HYPERLINK("https://www.wikidata.org/wiki/Q3371653", "Q3371653")</f>
        <v>0</v>
      </c>
    </row>
    <row r="3021" spans="1:8">
      <c r="A3021" t="s">
        <v>3027</v>
      </c>
      <c r="B3021" t="s">
        <v>7591</v>
      </c>
      <c r="C3021" t="s">
        <v>9677</v>
      </c>
      <c r="D3021" t="s">
        <v>14154</v>
      </c>
      <c r="E3021" s="2">
        <v>13932</v>
      </c>
      <c r="G3021">
        <f>HYPERLINK("https://www.senat.fr/senateur-3eme-republique/le_trocquer_yves0588r3.html", "le_trocquer_yves0588r3")</f>
        <v>0</v>
      </c>
      <c r="H3021">
        <f>HYPERLINK("https://www.wikidata.org/wiki/Q3573784", "Q3573784")</f>
        <v>0</v>
      </c>
    </row>
    <row r="3022" spans="1:8">
      <c r="A3022" t="s">
        <v>3028</v>
      </c>
      <c r="B3022" t="s">
        <v>7592</v>
      </c>
      <c r="C3022" t="s">
        <v>9312</v>
      </c>
      <c r="D3022" t="s">
        <v>14155</v>
      </c>
      <c r="E3022" s="2">
        <v>16146</v>
      </c>
      <c r="F3022">
        <f>HYPERLINK("https://www2.assemblee-nationale.fr/sycomore/fiche/(num_dept)/7636", "7636.0")</f>
        <v>0</v>
      </c>
      <c r="H3022">
        <f>HYPERLINK("https://www.wikidata.org/wiki/Q830456", "Q830456")</f>
        <v>0</v>
      </c>
    </row>
    <row r="3023" spans="1:8">
      <c r="A3023" t="s">
        <v>3029</v>
      </c>
      <c r="B3023" t="s">
        <v>7593</v>
      </c>
      <c r="C3023" t="s">
        <v>10641</v>
      </c>
      <c r="D3023" t="s">
        <v>14156</v>
      </c>
      <c r="E3023" t="s">
        <v>16236</v>
      </c>
      <c r="F3023">
        <f>HYPERLINK("https://www2.assemblee-nationale.fr/sycomore/fiche/(num_dept)/7637", "7637.0")</f>
        <v>0</v>
      </c>
      <c r="H3023">
        <f>HYPERLINK("https://www.wikidata.org/wiki/Q3121241", "Q3121241")</f>
        <v>0</v>
      </c>
    </row>
    <row r="3024" spans="1:8">
      <c r="A3024" t="s">
        <v>3030</v>
      </c>
      <c r="B3024" t="s">
        <v>7593</v>
      </c>
      <c r="C3024" t="s">
        <v>9430</v>
      </c>
      <c r="D3024" t="s">
        <v>14157</v>
      </c>
      <c r="E3024" s="2">
        <v>13805</v>
      </c>
      <c r="F3024">
        <f>HYPERLINK("https://www2.assemblee-nationale.fr/sycomore/fiche/(num_dept)/7638", "7638.0")</f>
        <v>0</v>
      </c>
      <c r="H3024">
        <f>HYPERLINK("https://www.wikidata.org/wiki/Q3371659", "Q3371659")</f>
        <v>0</v>
      </c>
    </row>
    <row r="3025" spans="1:8">
      <c r="A3025" t="s">
        <v>3031</v>
      </c>
      <c r="B3025" t="s">
        <v>7594</v>
      </c>
      <c r="C3025" t="s">
        <v>10642</v>
      </c>
      <c r="D3025" t="s">
        <v>14158</v>
      </c>
      <c r="E3025" s="2">
        <v>22060</v>
      </c>
      <c r="F3025">
        <f>HYPERLINK("https://www2.assemblee-nationale.fr/sycomore/fiche/(num_dept)/7639", "7639.0")</f>
        <v>0</v>
      </c>
      <c r="H3025">
        <f>HYPERLINK("https://www.wikidata.org/wiki/Q3262491", "Q3262491")</f>
        <v>0</v>
      </c>
    </row>
    <row r="3026" spans="1:8">
      <c r="A3026" t="s">
        <v>3032</v>
      </c>
      <c r="B3026" t="s">
        <v>7595</v>
      </c>
      <c r="C3026" t="s">
        <v>5096</v>
      </c>
      <c r="D3026" t="s">
        <v>14159</v>
      </c>
      <c r="E3026" s="2">
        <v>15376</v>
      </c>
      <c r="G3026">
        <f>HYPERLINK("https://www.senat.fr/senateur-3eme-republique/lebert_andre1248r3.html", "lebert_andre1248r3")</f>
        <v>0</v>
      </c>
      <c r="H3026">
        <f>HYPERLINK("https://www.wikidata.org/wiki/Q2848126", "Q2848126")</f>
        <v>0</v>
      </c>
    </row>
    <row r="3027" spans="1:8">
      <c r="A3027" t="s">
        <v>3033</v>
      </c>
      <c r="B3027" t="s">
        <v>7596</v>
      </c>
      <c r="C3027" t="s">
        <v>5096</v>
      </c>
      <c r="D3027" t="s">
        <v>12338</v>
      </c>
      <c r="E3027" s="2">
        <v>13883</v>
      </c>
      <c r="F3027">
        <f>HYPERLINK("https://www2.assemblee-nationale.fr/sycomore/fiche/(num_dept)/7640", "7640.0")</f>
        <v>0</v>
      </c>
      <c r="H3027">
        <f>HYPERLINK("https://www.wikidata.org/wiki/Q16025967", "Q16025967")</f>
        <v>0</v>
      </c>
    </row>
    <row r="3028" spans="1:8">
      <c r="A3028" t="s">
        <v>3034</v>
      </c>
      <c r="B3028" t="s">
        <v>7597</v>
      </c>
      <c r="C3028" t="s">
        <v>10643</v>
      </c>
      <c r="D3028" t="s">
        <v>14160</v>
      </c>
      <c r="E3028" s="2">
        <v>773</v>
      </c>
      <c r="F3028">
        <f>HYPERLINK("https://www2.assemblee-nationale.fr/sycomore/fiche/(num_dept)/7979", "7979.0")</f>
        <v>0</v>
      </c>
      <c r="H3028">
        <f>HYPERLINK("https://www.wikidata.org/wiki/Q3047909", "Q3047909")</f>
        <v>0</v>
      </c>
    </row>
    <row r="3029" spans="1:8">
      <c r="A3029" t="s">
        <v>3035</v>
      </c>
      <c r="B3029" t="s">
        <v>7597</v>
      </c>
      <c r="C3029" t="s">
        <v>9482</v>
      </c>
      <c r="D3029" t="s">
        <v>14161</v>
      </c>
      <c r="E3029" s="2">
        <v>18303</v>
      </c>
      <c r="F3029">
        <f>HYPERLINK("https://www2.assemblee-nationale.fr/sycomore/fiche/(num_dept)/7642", "7642.0")</f>
        <v>0</v>
      </c>
      <c r="G3029">
        <f>HYPERLINK("https://www.senat.fr/senateur-3eme-republique/leblanc_edmond0970r3.html", "leblanc_edmond0970r3")</f>
        <v>0</v>
      </c>
      <c r="H3029">
        <f>HYPERLINK("https://www.wikidata.org/wiki/Q3047896", "Q3047896")</f>
        <v>0</v>
      </c>
    </row>
    <row r="3030" spans="1:8">
      <c r="A3030" t="s">
        <v>3036</v>
      </c>
      <c r="B3030" t="s">
        <v>7598</v>
      </c>
      <c r="C3030" t="s">
        <v>9337</v>
      </c>
      <c r="D3030" t="s">
        <v>14162</v>
      </c>
      <c r="E3030" s="2">
        <v>12468</v>
      </c>
      <c r="F3030">
        <f>HYPERLINK("https://www2.assemblee-nationale.fr/sycomore/fiche/(num_dept)/7643", "7643.0")</f>
        <v>0</v>
      </c>
      <c r="G3030">
        <f>HYPERLINK("https://www.senat.fr/senateur-3eme-republique/leblond_charles1609r3.html", "leblond_charles1609r3")</f>
        <v>0</v>
      </c>
      <c r="H3030">
        <f>HYPERLINK("https://www.wikidata.org/wiki/Q2871277", "Q2871277")</f>
        <v>0</v>
      </c>
    </row>
    <row r="3031" spans="1:8">
      <c r="A3031" t="s">
        <v>3037</v>
      </c>
      <c r="B3031" t="s">
        <v>7599</v>
      </c>
      <c r="C3031" t="s">
        <v>10644</v>
      </c>
      <c r="D3031" t="s">
        <v>14163</v>
      </c>
      <c r="E3031" s="2">
        <v>15776</v>
      </c>
      <c r="F3031">
        <f>HYPERLINK("https://www2.assemblee-nationale.fr/sycomore/fiche/(num_dept)/10593", "10593.0")</f>
        <v>0</v>
      </c>
      <c r="G3031">
        <f>HYPERLINK("https://www.senat.fr/senateur-3eme-republique/leboeuf_marcel1266r3.html", "leboeuf_marcel1266r3")</f>
        <v>0</v>
      </c>
      <c r="H3031">
        <f>HYPERLINK("https://www.wikidata.org/wiki/Q3289119", "Q3289119")</f>
        <v>0</v>
      </c>
    </row>
    <row r="3032" spans="1:8">
      <c r="A3032" t="s">
        <v>3038</v>
      </c>
      <c r="B3032" t="s">
        <v>7600</v>
      </c>
      <c r="C3032" t="s">
        <v>7942</v>
      </c>
      <c r="D3032" t="s">
        <v>14164</v>
      </c>
      <c r="E3032" s="2">
        <v>2251</v>
      </c>
      <c r="F3032">
        <f>HYPERLINK("https://www2.assemblee-nationale.fr/sycomore/fiche/(num_dept)/7646", "7646.0")</f>
        <v>0</v>
      </c>
      <c r="H3032">
        <f>HYPERLINK("https://www.wikidata.org/wiki/Q3301023", "Q3301023")</f>
        <v>0</v>
      </c>
    </row>
    <row r="3033" spans="1:8">
      <c r="A3033" t="s">
        <v>3039</v>
      </c>
      <c r="B3033" t="s">
        <v>7600</v>
      </c>
      <c r="C3033" t="s">
        <v>5096</v>
      </c>
      <c r="D3033" t="s">
        <v>14165</v>
      </c>
      <c r="E3033" s="2">
        <v>13928</v>
      </c>
      <c r="F3033">
        <f>HYPERLINK("https://www2.assemblee-nationale.fr/sycomore/fiche/(num_dept)/7645", "7645.0")</f>
        <v>0</v>
      </c>
      <c r="H3033">
        <f>HYPERLINK("https://www.wikidata.org/wiki/Q2848132", "Q2848132")</f>
        <v>0</v>
      </c>
    </row>
    <row r="3034" spans="1:8">
      <c r="A3034" t="s">
        <v>3040</v>
      </c>
      <c r="B3034" t="s">
        <v>7601</v>
      </c>
      <c r="C3034" t="s">
        <v>7001</v>
      </c>
      <c r="D3034" t="s">
        <v>14166</v>
      </c>
      <c r="E3034" s="2">
        <v>9879</v>
      </c>
      <c r="F3034">
        <f>HYPERLINK("https://www2.assemblee-nationale.fr/sycomore/fiche/(num_dept)/7650", "7650.0")</f>
        <v>0</v>
      </c>
      <c r="H3034">
        <f>HYPERLINK("https://www.wikidata.org/wiki/Q3103056", "Q3103056")</f>
        <v>0</v>
      </c>
    </row>
    <row r="3035" spans="1:8">
      <c r="A3035" t="s">
        <v>3041</v>
      </c>
      <c r="B3035" t="s">
        <v>7601</v>
      </c>
      <c r="C3035" t="s">
        <v>9320</v>
      </c>
      <c r="D3035" t="s">
        <v>14167</v>
      </c>
      <c r="E3035" s="2">
        <v>26103</v>
      </c>
      <c r="F3035">
        <f>HYPERLINK("https://www2.assemblee-nationale.fr/sycomore/fiche/(num_dept)/7651", "7651.0")</f>
        <v>0</v>
      </c>
      <c r="H3035">
        <f>HYPERLINK("https://www.wikidata.org/wiki/Q3426502", "Q3426502")</f>
        <v>0</v>
      </c>
    </row>
    <row r="3036" spans="1:8">
      <c r="A3036" t="s">
        <v>3042</v>
      </c>
      <c r="B3036" t="s">
        <v>7602</v>
      </c>
      <c r="C3036" t="s">
        <v>7754</v>
      </c>
      <c r="D3036" t="s">
        <v>14168</v>
      </c>
      <c r="E3036" t="s">
        <v>16237</v>
      </c>
      <c r="F3036">
        <f>HYPERLINK("https://www2.assemblee-nationale.fr/sycomore/fiche/(num_dept)/7653", "7653.0")</f>
        <v>0</v>
      </c>
      <c r="H3036">
        <f>HYPERLINK("https://www.wikidata.org/wiki/Q16025968", "Q16025968")</f>
        <v>0</v>
      </c>
    </row>
    <row r="3037" spans="1:8">
      <c r="A3037" t="s">
        <v>3043</v>
      </c>
      <c r="B3037" t="s">
        <v>7602</v>
      </c>
      <c r="C3037" t="s">
        <v>5058</v>
      </c>
      <c r="D3037" t="s">
        <v>14169</v>
      </c>
      <c r="E3037" s="2">
        <v>18328</v>
      </c>
      <c r="F3037">
        <f>HYPERLINK("https://www2.assemblee-nationale.fr/sycomore/fiche/(num_dept)/7652", "7652.0")</f>
        <v>0</v>
      </c>
      <c r="H3037">
        <f>HYPERLINK("https://www.wikidata.org/wiki/Q158749", "Q158749")</f>
        <v>0</v>
      </c>
    </row>
    <row r="3038" spans="1:8">
      <c r="A3038" t="s">
        <v>3044</v>
      </c>
      <c r="B3038" t="s">
        <v>7602</v>
      </c>
      <c r="C3038" t="s">
        <v>5058</v>
      </c>
      <c r="D3038" t="s">
        <v>14170</v>
      </c>
      <c r="E3038" s="2">
        <v>18328</v>
      </c>
      <c r="G3038">
        <f>HYPERLINK("https://www.senat.fr/senateur-3eme-republique/lebrun_albert0945r3.html", "lebrun_albert0945r3")</f>
        <v>0</v>
      </c>
      <c r="H3038">
        <f>HYPERLINK("https://www.wikidata.org/wiki/Q158749", "Q158749")</f>
        <v>0</v>
      </c>
    </row>
    <row r="3039" spans="1:8">
      <c r="A3039" t="s">
        <v>3045</v>
      </c>
      <c r="B3039" t="s">
        <v>7603</v>
      </c>
      <c r="C3039" t="s">
        <v>9373</v>
      </c>
      <c r="D3039" t="s">
        <v>14171</v>
      </c>
      <c r="E3039" s="2">
        <v>19302</v>
      </c>
      <c r="F3039">
        <f>HYPERLINK("https://www2.assemblee-nationale.fr/sycomore/fiche/(num_dept)/7654", "7654.0")</f>
        <v>0</v>
      </c>
      <c r="H3039">
        <f>HYPERLINK("https://www.wikidata.org/wiki/Q611770", "Q611770")</f>
        <v>0</v>
      </c>
    </row>
    <row r="3040" spans="1:8">
      <c r="A3040" t="s">
        <v>3046</v>
      </c>
      <c r="B3040" t="s">
        <v>7604</v>
      </c>
      <c r="C3040" t="s">
        <v>10645</v>
      </c>
      <c r="D3040" t="s">
        <v>14172</v>
      </c>
      <c r="E3040" t="s">
        <v>16238</v>
      </c>
      <c r="F3040">
        <f>HYPERLINK("https://www2.assemblee-nationale.fr/sycomore/fiche/(num_dept)/7985", "7985.0")</f>
        <v>0</v>
      </c>
      <c r="H3040">
        <f>HYPERLINK("https://www.wikidata.org/wiki/Q3262511", "Q3262511")</f>
        <v>0</v>
      </c>
    </row>
    <row r="3041" spans="1:8">
      <c r="A3041" t="s">
        <v>3047</v>
      </c>
      <c r="B3041" t="s">
        <v>7605</v>
      </c>
      <c r="C3041" t="s">
        <v>9414</v>
      </c>
      <c r="D3041" t="s">
        <v>14173</v>
      </c>
      <c r="E3041" s="2">
        <v>1854</v>
      </c>
      <c r="F3041">
        <f>HYPERLINK("https://www2.assemblee-nationale.fr/sycomore/fiche/(num_dept)/7555", "7555.0")</f>
        <v>0</v>
      </c>
      <c r="H3041">
        <f>HYPERLINK("https://www.wikidata.org/wiki/Q13080871", "Q13080871")</f>
        <v>0</v>
      </c>
    </row>
    <row r="3042" spans="1:8">
      <c r="A3042" t="s">
        <v>3048</v>
      </c>
      <c r="B3042" t="s">
        <v>7606</v>
      </c>
      <c r="C3042" t="s">
        <v>8384</v>
      </c>
      <c r="D3042" t="s">
        <v>14174</v>
      </c>
      <c r="E3042" t="s">
        <v>16239</v>
      </c>
      <c r="G3042">
        <f>HYPERLINK("https://www.senat.fr/senateur-3eme-republique/lecler_pierre0631r3.html", "lecler_pierre0631r3")</f>
        <v>0</v>
      </c>
      <c r="H3042">
        <f>HYPERLINK("https://www.wikidata.org/wiki/Q3385886", "Q3385886")</f>
        <v>0</v>
      </c>
    </row>
    <row r="3043" spans="1:8">
      <c r="A3043" t="s">
        <v>3049</v>
      </c>
      <c r="B3043" t="s">
        <v>7607</v>
      </c>
      <c r="C3043" t="s">
        <v>9355</v>
      </c>
      <c r="D3043" t="s">
        <v>13955</v>
      </c>
      <c r="E3043" s="2">
        <v>287</v>
      </c>
      <c r="G3043">
        <f>HYPERLINK("https://www.senat.fr/senateur-3eme-republique/leclerc_de_juigne_charles1283r3.html", "leclerc_de_juigne_charles1283r3")</f>
        <v>0</v>
      </c>
      <c r="H3043">
        <f>HYPERLINK("https://www.wikidata.org/wiki/Q2960767", "Q2960767")</f>
        <v>0</v>
      </c>
    </row>
    <row r="3044" spans="1:8">
      <c r="A3044" t="s">
        <v>3050</v>
      </c>
      <c r="B3044" t="s">
        <v>7608</v>
      </c>
      <c r="C3044" t="s">
        <v>7342</v>
      </c>
      <c r="D3044" t="s">
        <v>14175</v>
      </c>
      <c r="E3044" s="2">
        <v>16648</v>
      </c>
      <c r="G3044">
        <f>HYPERLINK("https://www.senat.fr/senateur-3eme-republique/leclerc_jean1793r3.html", "leclerc_jean1793r3")</f>
        <v>0</v>
      </c>
      <c r="H3044">
        <f>HYPERLINK("https://www.wikidata.org/wiki/Q3173130", "Q3173130")</f>
        <v>0</v>
      </c>
    </row>
    <row r="3045" spans="1:8">
      <c r="A3045" t="s">
        <v>3051</v>
      </c>
      <c r="B3045" t="s">
        <v>7609</v>
      </c>
      <c r="C3045" t="s">
        <v>9457</v>
      </c>
      <c r="D3045" t="s">
        <v>14176</v>
      </c>
      <c r="E3045" t="s">
        <v>16240</v>
      </c>
      <c r="G3045">
        <f>HYPERLINK("https://www.senat.fr/senateur-3eme-republique/lecointe_alphonse0735r3.html", "lecointe_alphonse0735r3")</f>
        <v>0</v>
      </c>
      <c r="H3045">
        <f>HYPERLINK("https://www.wikidata.org/wiki/Q2839872", "Q2839872")</f>
        <v>0</v>
      </c>
    </row>
    <row r="3046" spans="1:8">
      <c r="A3046" t="s">
        <v>3052</v>
      </c>
      <c r="B3046" t="s">
        <v>7610</v>
      </c>
      <c r="C3046" t="s">
        <v>9377</v>
      </c>
      <c r="D3046" t="s">
        <v>14177</v>
      </c>
      <c r="E3046" s="2">
        <v>14784</v>
      </c>
      <c r="F3046">
        <f>HYPERLINK("https://www2.assemblee-nationale.fr/sycomore/fiche/(num_dept)/7664", "7664.0")</f>
        <v>0</v>
      </c>
      <c r="H3046">
        <f>HYPERLINK("https://www.wikidata.org/wiki/Q3265604", "Q3265604")</f>
        <v>0</v>
      </c>
    </row>
    <row r="3047" spans="1:8">
      <c r="A3047" t="s">
        <v>3053</v>
      </c>
      <c r="B3047" t="s">
        <v>7611</v>
      </c>
      <c r="C3047" t="s">
        <v>9694</v>
      </c>
      <c r="D3047" t="s">
        <v>14178</v>
      </c>
      <c r="E3047" s="2">
        <v>11641</v>
      </c>
      <c r="F3047">
        <f>HYPERLINK("https://www2.assemblee-nationale.fr/sycomore/fiche/(num_dept)/7980", "7980.0")</f>
        <v>0</v>
      </c>
      <c r="H3047">
        <f>HYPERLINK("https://www.wikidata.org/wiki/Q16025971", "Q16025971")</f>
        <v>0</v>
      </c>
    </row>
    <row r="3048" spans="1:8">
      <c r="A3048" t="s">
        <v>3054</v>
      </c>
      <c r="B3048" t="s">
        <v>7612</v>
      </c>
      <c r="C3048" t="s">
        <v>9966</v>
      </c>
      <c r="D3048" t="s">
        <v>14179</v>
      </c>
      <c r="E3048" s="2">
        <v>218</v>
      </c>
      <c r="F3048">
        <f>HYPERLINK("https://www2.assemblee-nationale.fr/sycomore/fiche/(num_dept)/8178", "8178.0")</f>
        <v>0</v>
      </c>
      <c r="H3048">
        <f>HYPERLINK("https://www.wikidata.org/wiki/Q2959619", "Q2959619")</f>
        <v>0</v>
      </c>
    </row>
    <row r="3049" spans="1:8">
      <c r="A3049" t="s">
        <v>3055</v>
      </c>
      <c r="B3049" t="s">
        <v>7612</v>
      </c>
      <c r="C3049" t="s">
        <v>10349</v>
      </c>
      <c r="D3049" t="s">
        <v>14180</v>
      </c>
      <c r="E3049" s="2">
        <v>5275</v>
      </c>
      <c r="F3049">
        <f>HYPERLINK("https://www2.assemblee-nationale.fr/sycomore/fiche/(num_dept)/7665", "7665.0")</f>
        <v>0</v>
      </c>
      <c r="G3049">
        <f>HYPERLINK("https://www.senat.fr/senateur-3eme-republique/lecomte_maxime1379r3.html", "lecomte_maxime1379r3")</f>
        <v>0</v>
      </c>
      <c r="H3049">
        <f>HYPERLINK("https://www.wikidata.org/wiki/Q3302622", "Q3302622")</f>
        <v>0</v>
      </c>
    </row>
    <row r="3050" spans="1:8">
      <c r="A3050" t="s">
        <v>3056</v>
      </c>
      <c r="B3050" t="s">
        <v>7613</v>
      </c>
      <c r="C3050" t="s">
        <v>9564</v>
      </c>
      <c r="D3050" t="s">
        <v>14181</v>
      </c>
      <c r="E3050" s="2">
        <v>2076</v>
      </c>
      <c r="F3050">
        <f>HYPERLINK("https://www2.assemblee-nationale.fr/sycomore/fiche/(num_dept)/7666", "7666.0")</f>
        <v>0</v>
      </c>
      <c r="H3050">
        <f>HYPERLINK("https://www.wikidata.org/wiki/Q15969923", "Q15969923")</f>
        <v>0</v>
      </c>
    </row>
    <row r="3051" spans="1:8">
      <c r="A3051" t="s">
        <v>3057</v>
      </c>
      <c r="B3051" t="s">
        <v>7614</v>
      </c>
      <c r="C3051" t="s">
        <v>7001</v>
      </c>
      <c r="D3051" t="s">
        <v>14182</v>
      </c>
      <c r="E3051" s="2">
        <v>14818</v>
      </c>
      <c r="F3051">
        <f>HYPERLINK("https://www2.assemblee-nationale.fr/sycomore/fiche/(num_dept)/7669", "7669.0")</f>
        <v>0</v>
      </c>
      <c r="G3051">
        <f>HYPERLINK("https://www.senat.fr/senateur-3eme-republique/lecourtier_georges1026r3.html", "lecourtier_georges1026r3")</f>
        <v>0</v>
      </c>
      <c r="H3051">
        <f>HYPERLINK("https://www.wikidata.org/wiki/Q3103064", "Q3103064")</f>
        <v>0</v>
      </c>
    </row>
    <row r="3052" spans="1:8">
      <c r="A3052" t="s">
        <v>3058</v>
      </c>
      <c r="B3052" t="s">
        <v>7615</v>
      </c>
      <c r="C3052" t="s">
        <v>9324</v>
      </c>
      <c r="D3052" t="s">
        <v>14183</v>
      </c>
      <c r="E3052" s="2">
        <v>18051</v>
      </c>
      <c r="G3052">
        <f>HYPERLINK("https://www.senat.fr/senateur-3eme-republique/leculier_henri0454r3.html", "leculier_henri0454r3")</f>
        <v>0</v>
      </c>
      <c r="H3052">
        <f>HYPERLINK("https://www.wikidata.org/wiki/Q3131527", "Q3131527")</f>
        <v>0</v>
      </c>
    </row>
    <row r="3053" spans="1:8">
      <c r="A3053" t="s">
        <v>3059</v>
      </c>
      <c r="B3053" t="s">
        <v>7616</v>
      </c>
      <c r="C3053" t="s">
        <v>9430</v>
      </c>
      <c r="D3053" t="s">
        <v>12649</v>
      </c>
      <c r="E3053" s="2">
        <v>17968</v>
      </c>
      <c r="G3053">
        <f>HYPERLINK("https://www.senat.fr/senateur-3eme-republique/lederlin_paul0496r3.html", "lederlin_paul0496r3")</f>
        <v>0</v>
      </c>
      <c r="H3053">
        <f>HYPERLINK("https://www.wikidata.org/wiki/Q3371663", "Q3371663")</f>
        <v>0</v>
      </c>
    </row>
    <row r="3054" spans="1:8">
      <c r="A3054" t="s">
        <v>3060</v>
      </c>
      <c r="B3054" t="s">
        <v>7617</v>
      </c>
      <c r="C3054" t="s">
        <v>9631</v>
      </c>
      <c r="D3054" t="s">
        <v>14184</v>
      </c>
      <c r="E3054" s="2">
        <v>6217</v>
      </c>
      <c r="F3054">
        <f>HYPERLINK("https://www2.assemblee-nationale.fr/sycomore/fiche/(num_dept)/7673", "7673.0")</f>
        <v>0</v>
      </c>
      <c r="H3054">
        <f>HYPERLINK("https://www.wikidata.org/wiki/Q16025972", "Q16025972")</f>
        <v>0</v>
      </c>
    </row>
    <row r="3055" spans="1:8">
      <c r="A3055" t="s">
        <v>3061</v>
      </c>
      <c r="B3055" t="s">
        <v>7618</v>
      </c>
      <c r="C3055" t="s">
        <v>9471</v>
      </c>
      <c r="D3055" t="s">
        <v>14185</v>
      </c>
      <c r="E3055" s="2">
        <v>5222</v>
      </c>
      <c r="F3055">
        <f>HYPERLINK("https://www2.assemblee-nationale.fr/sycomore/fiche/(num_dept)/7674", "7674.0")</f>
        <v>0</v>
      </c>
      <c r="H3055">
        <f>HYPERLINK("https://www.wikidata.org/wiki/Q16025973", "Q16025973")</f>
        <v>0</v>
      </c>
    </row>
    <row r="3056" spans="1:8">
      <c r="A3056" t="s">
        <v>3062</v>
      </c>
      <c r="B3056" t="s">
        <v>7619</v>
      </c>
      <c r="C3056" t="s">
        <v>9414</v>
      </c>
      <c r="D3056" t="s">
        <v>14186</v>
      </c>
      <c r="E3056" s="2">
        <v>16487</v>
      </c>
      <c r="F3056">
        <f>HYPERLINK("https://www2.assemblee-nationale.fr/sycomore/fiche/(num_dept)/7676", "7676.0")</f>
        <v>0</v>
      </c>
      <c r="H3056">
        <f>HYPERLINK("https://www.wikidata.org/wiki/Q3068611", "Q3068611")</f>
        <v>0</v>
      </c>
    </row>
    <row r="3057" spans="1:8">
      <c r="A3057" t="s">
        <v>3063</v>
      </c>
      <c r="B3057" t="s">
        <v>7620</v>
      </c>
      <c r="C3057" t="s">
        <v>9429</v>
      </c>
      <c r="D3057" t="s">
        <v>14187</v>
      </c>
      <c r="E3057" s="2">
        <v>18474</v>
      </c>
      <c r="F3057">
        <f>HYPERLINK("https://www2.assemblee-nationale.fr/sycomore/fiche/(num_dept)/7683", "7683.0")</f>
        <v>0</v>
      </c>
      <c r="G3057">
        <f>HYPERLINK("https://www.senat.fr/senateur-3eme-republique/lefas_alexandre0535r3.html", "lefas_alexandre0535r3")</f>
        <v>0</v>
      </c>
      <c r="H3057">
        <f>HYPERLINK("https://www.wikidata.org/wiki/Q2833822", "Q2833822")</f>
        <v>0</v>
      </c>
    </row>
    <row r="3058" spans="1:8">
      <c r="A3058" t="s">
        <v>3064</v>
      </c>
      <c r="B3058" t="s">
        <v>7621</v>
      </c>
      <c r="C3058" t="s">
        <v>9346</v>
      </c>
      <c r="D3058" t="s">
        <v>14188</v>
      </c>
      <c r="E3058" t="s">
        <v>16241</v>
      </c>
      <c r="G3058">
        <f>HYPERLINK("https://www.senat.fr/senateur-3eme-republique/lefebvre_de_laboulaye_edouard1490r3.html", "lefebvre_de_laboulaye_edouard1490r3")</f>
        <v>0</v>
      </c>
      <c r="H3058">
        <f>HYPERLINK("https://www.wikidata.org/wiki/Q274429", "Q274429")</f>
        <v>0</v>
      </c>
    </row>
    <row r="3059" spans="1:8">
      <c r="A3059" t="s">
        <v>3065</v>
      </c>
      <c r="B3059" t="s">
        <v>7622</v>
      </c>
      <c r="C3059" t="s">
        <v>9482</v>
      </c>
      <c r="D3059" t="s">
        <v>14189</v>
      </c>
      <c r="E3059" s="2">
        <v>20103</v>
      </c>
      <c r="G3059">
        <f>HYPERLINK("https://www.senat.fr/senateur-3eme-republique/lefebvre_du_prey_edmond0976r3.html", "lefebvre_du_prey_edmond0976r3")</f>
        <v>0</v>
      </c>
      <c r="H3059">
        <f>HYPERLINK("https://www.wikidata.org/wiki/Q1285694", "Q1285694")</f>
        <v>0</v>
      </c>
    </row>
    <row r="3060" spans="1:8">
      <c r="A3060" t="s">
        <v>3066</v>
      </c>
      <c r="B3060" t="s">
        <v>7623</v>
      </c>
      <c r="C3060" t="s">
        <v>10646</v>
      </c>
      <c r="D3060" t="s">
        <v>14190</v>
      </c>
      <c r="E3060" s="2">
        <v>4636</v>
      </c>
      <c r="F3060">
        <f>HYPERLINK("https://www2.assemblee-nationale.fr/sycomore/fiche/(num_dept)/7982", "7982.0")</f>
        <v>0</v>
      </c>
      <c r="H3060">
        <f>HYPERLINK("https://www.wikidata.org/wiki/Q16011460", "Q16011460")</f>
        <v>0</v>
      </c>
    </row>
    <row r="3061" spans="1:8">
      <c r="A3061" t="s">
        <v>3067</v>
      </c>
      <c r="B3061" t="s">
        <v>7623</v>
      </c>
      <c r="C3061" t="s">
        <v>9368</v>
      </c>
      <c r="D3061" t="s">
        <v>14191</v>
      </c>
      <c r="E3061" s="2">
        <v>7854</v>
      </c>
      <c r="F3061">
        <f>HYPERLINK("https://www2.assemblee-nationale.fr/sycomore/fiche/(num_dept)/7686", "7686.0")</f>
        <v>0</v>
      </c>
      <c r="H3061">
        <f>HYPERLINK("https://www.wikidata.org/wiki/Q16037768", "Q16037768")</f>
        <v>0</v>
      </c>
    </row>
    <row r="3062" spans="1:8">
      <c r="A3062" t="s">
        <v>3068</v>
      </c>
      <c r="B3062" t="s">
        <v>7623</v>
      </c>
      <c r="C3062" t="s">
        <v>6864</v>
      </c>
      <c r="D3062" t="s">
        <v>14192</v>
      </c>
      <c r="E3062" s="2">
        <v>20528</v>
      </c>
      <c r="F3062">
        <f>HYPERLINK("https://www2.assemblee-nationale.fr/sycomore/fiche/(num_dept)/7688", "7688.0")</f>
        <v>0</v>
      </c>
      <c r="H3062">
        <f>HYPERLINK("https://www.wikidata.org/wiki/Q16025975", "Q16025975")</f>
        <v>0</v>
      </c>
    </row>
    <row r="3063" spans="1:8">
      <c r="A3063" t="s">
        <v>3069</v>
      </c>
      <c r="B3063" t="s">
        <v>7623</v>
      </c>
      <c r="C3063" t="s">
        <v>9320</v>
      </c>
      <c r="D3063" t="s">
        <v>14193</v>
      </c>
      <c r="E3063" s="2">
        <v>17818</v>
      </c>
      <c r="F3063">
        <f>HYPERLINK("https://www2.assemblee-nationale.fr/sycomore/fiche/(num_dept)/7690", "7690.0")</f>
        <v>0</v>
      </c>
      <c r="H3063">
        <f>HYPERLINK("https://www.wikidata.org/wiki/Q16011461", "Q16011461")</f>
        <v>0</v>
      </c>
    </row>
    <row r="3064" spans="1:8">
      <c r="A3064" t="s">
        <v>3070</v>
      </c>
      <c r="B3064" t="s">
        <v>7624</v>
      </c>
      <c r="C3064" t="s">
        <v>9429</v>
      </c>
      <c r="D3064" t="s">
        <v>14194</v>
      </c>
      <c r="E3064" s="2">
        <v>5136</v>
      </c>
      <c r="G3064">
        <f>HYPERLINK("https://www.senat.fr/senateur-3eme-republique/lefevre_alexandre1371r3.html", "lefevre_alexandre1371r3")</f>
        <v>0</v>
      </c>
      <c r="H3064">
        <f>HYPERLINK("https://www.wikidata.org/wiki/Q16216425", "Q16216425")</f>
        <v>0</v>
      </c>
    </row>
    <row r="3065" spans="1:8">
      <c r="A3065" t="s">
        <v>3071</v>
      </c>
      <c r="B3065" t="s">
        <v>7624</v>
      </c>
      <c r="C3065" t="s">
        <v>5033</v>
      </c>
      <c r="D3065" t="s">
        <v>14195</v>
      </c>
      <c r="E3065" s="2">
        <v>17733</v>
      </c>
      <c r="G3065">
        <f>HYPERLINK("https://www.senat.fr/senateur-3eme-republique/lefevre_abel0761r3.html", "lefevre_abel0761r3")</f>
        <v>0</v>
      </c>
      <c r="H3065">
        <f>HYPERLINK("https://www.wikidata.org/wiki/Q2821523", "Q2821523")</f>
        <v>0</v>
      </c>
    </row>
    <row r="3066" spans="1:8">
      <c r="A3066" t="s">
        <v>3072</v>
      </c>
      <c r="B3066" t="s">
        <v>7625</v>
      </c>
      <c r="C3066" t="s">
        <v>9368</v>
      </c>
      <c r="D3066" t="s">
        <v>14196</v>
      </c>
      <c r="E3066" s="2">
        <v>3398</v>
      </c>
      <c r="F3066">
        <f>HYPERLINK("https://www2.assemblee-nationale.fr/sycomore/fiche/(num_dept)/7699", "7699.0")</f>
        <v>0</v>
      </c>
      <c r="H3066">
        <f>HYPERLINK("https://www.wikidata.org/wiki/Q8338896", "Q8338896")</f>
        <v>0</v>
      </c>
    </row>
    <row r="3067" spans="1:8">
      <c r="A3067" t="s">
        <v>3073</v>
      </c>
      <c r="B3067" t="s">
        <v>7626</v>
      </c>
      <c r="C3067" t="s">
        <v>8384</v>
      </c>
      <c r="D3067" t="s">
        <v>14197</v>
      </c>
      <c r="E3067" s="2">
        <v>6694</v>
      </c>
      <c r="F3067">
        <f>HYPERLINK("https://www2.assemblee-nationale.fr/sycomore/fiche/(num_dept)/7700", "7700.0")</f>
        <v>0</v>
      </c>
      <c r="H3067">
        <f>HYPERLINK("https://www.wikidata.org/wiki/Q16025976", "Q16025976")</f>
        <v>0</v>
      </c>
    </row>
    <row r="3068" spans="1:8">
      <c r="A3068" t="s">
        <v>3074</v>
      </c>
      <c r="B3068" t="s">
        <v>7627</v>
      </c>
      <c r="C3068" t="s">
        <v>10026</v>
      </c>
      <c r="D3068" t="s">
        <v>14198</v>
      </c>
      <c r="E3068" s="2">
        <v>4446</v>
      </c>
      <c r="F3068">
        <f>HYPERLINK("https://www2.assemblee-nationale.fr/sycomore/fiche/(num_dept)/7701", "7701.0")</f>
        <v>0</v>
      </c>
      <c r="H3068">
        <f>HYPERLINK("https://www.wikidata.org/wiki/Q16026015", "Q16026015")</f>
        <v>0</v>
      </c>
    </row>
    <row r="3069" spans="1:8">
      <c r="A3069" t="s">
        <v>3075</v>
      </c>
      <c r="B3069" t="s">
        <v>7628</v>
      </c>
      <c r="C3069" t="s">
        <v>7754</v>
      </c>
      <c r="D3069" t="s">
        <v>14199</v>
      </c>
      <c r="E3069" t="s">
        <v>16242</v>
      </c>
      <c r="F3069">
        <f>HYPERLINK("https://www2.assemblee-nationale.fr/sycomore/fiche/(num_dept)/7703", "7703.0")</f>
        <v>0</v>
      </c>
      <c r="H3069">
        <f>HYPERLINK("https://www.wikidata.org/wiki/Q16025977", "Q16025977")</f>
        <v>0</v>
      </c>
    </row>
    <row r="3070" spans="1:8">
      <c r="A3070" t="s">
        <v>3076</v>
      </c>
      <c r="B3070" t="s">
        <v>7629</v>
      </c>
      <c r="C3070" t="s">
        <v>9438</v>
      </c>
      <c r="D3070" t="s">
        <v>14200</v>
      </c>
      <c r="E3070" t="s">
        <v>16243</v>
      </c>
      <c r="G3070">
        <f>HYPERLINK("https://www.senat.fr/senateur-3eme-republique/lefranc_victor1499r3.html", "lefranc_victor1499r3")</f>
        <v>0</v>
      </c>
      <c r="H3070">
        <f>HYPERLINK("https://www.wikidata.org/wiki/Q287131", "Q287131")</f>
        <v>0</v>
      </c>
    </row>
    <row r="3071" spans="1:8">
      <c r="A3071" t="s">
        <v>3077</v>
      </c>
      <c r="B3071" t="s">
        <v>7630</v>
      </c>
      <c r="C3071" t="s">
        <v>10647</v>
      </c>
      <c r="D3071" t="s">
        <v>14201</v>
      </c>
      <c r="E3071" s="2">
        <v>1205</v>
      </c>
      <c r="F3071">
        <f>HYPERLINK("https://www2.assemblee-nationale.fr/sycomore/fiche/(num_dept)/7984", "7984.0")</f>
        <v>0</v>
      </c>
      <c r="H3071">
        <f>HYPERLINK("https://www.wikidata.org/wiki/Q2857128", "Q2857128")</f>
        <v>0</v>
      </c>
    </row>
    <row r="3072" spans="1:8">
      <c r="A3072" t="s">
        <v>3078</v>
      </c>
      <c r="B3072" t="s">
        <v>7631</v>
      </c>
      <c r="C3072" t="s">
        <v>9337</v>
      </c>
      <c r="D3072" t="s">
        <v>14202</v>
      </c>
      <c r="E3072" s="2">
        <v>2563</v>
      </c>
      <c r="H3072">
        <f>HYPERLINK("https://www.wikidata.org/wiki/Q2871280", "Q2871280")</f>
        <v>0</v>
      </c>
    </row>
    <row r="3073" spans="1:8">
      <c r="A3073" t="s">
        <v>3079</v>
      </c>
      <c r="B3073" t="s">
        <v>7631</v>
      </c>
      <c r="C3073" t="s">
        <v>9749</v>
      </c>
      <c r="D3073" t="s">
        <v>14203</v>
      </c>
      <c r="E3073" t="s">
        <v>16244</v>
      </c>
      <c r="F3073">
        <f>HYPERLINK("https://www2.assemblee-nationale.fr/sycomore/fiche/(num_dept)/7981", "7981.0")</f>
        <v>0</v>
      </c>
      <c r="H3073">
        <f>HYPERLINK("https://www.wikidata.org/wiki/Q3732116", "Q3732116")</f>
        <v>0</v>
      </c>
    </row>
    <row r="3074" spans="1:8">
      <c r="A3074" t="s">
        <v>3080</v>
      </c>
      <c r="B3074" t="s">
        <v>7631</v>
      </c>
      <c r="C3074" t="s">
        <v>10648</v>
      </c>
      <c r="D3074" t="s">
        <v>14204</v>
      </c>
      <c r="E3074" s="2">
        <v>10902</v>
      </c>
      <c r="F3074">
        <f>HYPERLINK("https://www2.assemblee-nationale.fr/sycomore/fiche/(num_dept)/7693", "7693.0")</f>
        <v>0</v>
      </c>
      <c r="H3074">
        <f>HYPERLINK("https://www.wikidata.org/wiki/Q768982", "Q768982")</f>
        <v>0</v>
      </c>
    </row>
    <row r="3075" spans="1:8">
      <c r="A3075" t="s">
        <v>3081</v>
      </c>
      <c r="B3075" t="s">
        <v>7631</v>
      </c>
      <c r="C3075" t="s">
        <v>5033</v>
      </c>
      <c r="D3075" t="s">
        <v>14195</v>
      </c>
      <c r="E3075" s="2">
        <v>17733</v>
      </c>
      <c r="F3075">
        <f>HYPERLINK("https://www2.assemblee-nationale.fr/sycomore/fiche/(num_dept)/7692", "7692.0")</f>
        <v>0</v>
      </c>
      <c r="H3075">
        <f>HYPERLINK("https://www.wikidata.org/wiki/Q2821523", "Q2821523")</f>
        <v>0</v>
      </c>
    </row>
    <row r="3076" spans="1:8">
      <c r="A3076" t="s">
        <v>3082</v>
      </c>
      <c r="B3076" t="s">
        <v>7632</v>
      </c>
      <c r="C3076" t="s">
        <v>5058</v>
      </c>
      <c r="D3076" t="s">
        <v>14205</v>
      </c>
      <c r="E3076" s="2">
        <v>9034</v>
      </c>
      <c r="F3076">
        <f>HYPERLINK("https://www2.assemblee-nationale.fr/sycomore/fiche/(num_dept)/7685", "7685.0")</f>
        <v>0</v>
      </c>
      <c r="H3076">
        <f>HYPERLINK("https://www.wikidata.org/wiki/Q17353224", "Q17353224")</f>
        <v>0</v>
      </c>
    </row>
    <row r="3077" spans="1:8">
      <c r="A3077" t="s">
        <v>3083</v>
      </c>
      <c r="B3077" t="s">
        <v>7633</v>
      </c>
      <c r="C3077" t="s">
        <v>10349</v>
      </c>
      <c r="D3077" t="s">
        <v>14206</v>
      </c>
      <c r="E3077" s="2">
        <v>4151</v>
      </c>
      <c r="F3077">
        <f>HYPERLINK("https://www2.assemblee-nationale.fr/sycomore/fiche/(num_dept)/7712", "7712.0")</f>
        <v>0</v>
      </c>
      <c r="H3077">
        <f>HYPERLINK("https://www.wikidata.org/wiki/Q3302626", "Q3302626")</f>
        <v>0</v>
      </c>
    </row>
    <row r="3078" spans="1:8">
      <c r="A3078" t="s">
        <v>3084</v>
      </c>
      <c r="B3078" t="s">
        <v>7634</v>
      </c>
      <c r="C3078" t="s">
        <v>10070</v>
      </c>
      <c r="D3078" t="s">
        <v>14207</v>
      </c>
      <c r="E3078" s="2">
        <v>19672</v>
      </c>
      <c r="F3078">
        <f>HYPERLINK("https://www2.assemblee-nationale.fr/sycomore/fiche/(num_dept)/7714", "7714.0")</f>
        <v>0</v>
      </c>
      <c r="H3078">
        <f>HYPERLINK("https://www.wikidata.org/wiki/Q3289186", "Q3289186")</f>
        <v>0</v>
      </c>
    </row>
    <row r="3079" spans="1:8">
      <c r="A3079" t="s">
        <v>3085</v>
      </c>
      <c r="B3079" t="s">
        <v>7635</v>
      </c>
      <c r="C3079" t="s">
        <v>10638</v>
      </c>
      <c r="D3079" t="s">
        <v>14208</v>
      </c>
      <c r="E3079" s="2">
        <v>734</v>
      </c>
      <c r="F3079">
        <f>HYPERLINK("https://www2.assemblee-nationale.fr/sycomore/fiche/(num_dept)/7716", "7716.0")</f>
        <v>0</v>
      </c>
      <c r="H3079">
        <f>HYPERLINK("https://www.wikidata.org/wiki/Q3132305", "Q3132305")</f>
        <v>0</v>
      </c>
    </row>
    <row r="3080" spans="1:8">
      <c r="A3080" t="s">
        <v>3086</v>
      </c>
      <c r="B3080" t="s">
        <v>7636</v>
      </c>
      <c r="C3080" t="s">
        <v>10649</v>
      </c>
      <c r="D3080" t="s">
        <v>14209</v>
      </c>
      <c r="E3080" s="2">
        <v>16405</v>
      </c>
      <c r="F3080">
        <f>HYPERLINK("https://www2.assemblee-nationale.fr/sycomore/fiche/(num_dept)/7717", "7717.0")</f>
        <v>0</v>
      </c>
      <c r="H3080">
        <f>HYPERLINK("https://www.wikidata.org/wiki/Q3144609", "Q3144609")</f>
        <v>0</v>
      </c>
    </row>
    <row r="3081" spans="1:8">
      <c r="A3081" t="s">
        <v>3087</v>
      </c>
      <c r="B3081" t="s">
        <v>7637</v>
      </c>
      <c r="C3081" t="s">
        <v>9373</v>
      </c>
      <c r="D3081" t="s">
        <v>14210</v>
      </c>
      <c r="E3081" s="2">
        <v>8838</v>
      </c>
      <c r="F3081">
        <f>HYPERLINK("https://www2.assemblee-nationale.fr/sycomore/fiche/(num_dept)/7720", "7720.0")</f>
        <v>0</v>
      </c>
      <c r="G3081">
        <f>HYPERLINK("https://www.senat.fr/senateur-3eme-republique/leglos_joseph0273r3.html", "leglos_joseph0273r3")</f>
        <v>0</v>
      </c>
      <c r="H3081">
        <f>HYPERLINK("https://www.wikidata.org/wiki/Q3185240", "Q3185240")</f>
        <v>0</v>
      </c>
    </row>
    <row r="3082" spans="1:8">
      <c r="A3082" t="s">
        <v>3088</v>
      </c>
      <c r="B3082" t="s">
        <v>7638</v>
      </c>
      <c r="C3082" t="s">
        <v>10650</v>
      </c>
      <c r="D3082" t="s">
        <v>14211</v>
      </c>
      <c r="E3082" s="2">
        <v>1702</v>
      </c>
      <c r="F3082">
        <f>HYPERLINK("https://www2.assemblee-nationale.fr/sycomore/fiche/(num_dept)/8238", "8238.0")</f>
        <v>0</v>
      </c>
      <c r="G3082">
        <f>HYPERLINK("https://www.senat.fr/senateur-3eme-republique/legludic_prosper1251r3.html", "legludic_prosper1251r3")</f>
        <v>0</v>
      </c>
      <c r="H3082">
        <f>HYPERLINK("https://www.wikidata.org/wiki/Q3407790", "Q3407790")</f>
        <v>0</v>
      </c>
    </row>
    <row r="3083" spans="1:8">
      <c r="A3083" t="s">
        <v>3089</v>
      </c>
      <c r="B3083" t="s">
        <v>7639</v>
      </c>
      <c r="C3083" t="s">
        <v>9324</v>
      </c>
      <c r="D3083" t="s">
        <v>14212</v>
      </c>
      <c r="E3083" t="s">
        <v>16245</v>
      </c>
      <c r="F3083">
        <f>HYPERLINK("https://www2.assemblee-nationale.fr/sycomore/fiche/(num_dept)/7722", "7722.0")</f>
        <v>0</v>
      </c>
      <c r="H3083">
        <f>HYPERLINK("https://www.wikidata.org/wiki/Q3131472", "Q3131472")</f>
        <v>0</v>
      </c>
    </row>
    <row r="3084" spans="1:8">
      <c r="A3084" t="s">
        <v>3090</v>
      </c>
      <c r="B3084" t="s">
        <v>7640</v>
      </c>
      <c r="C3084" t="s">
        <v>10651</v>
      </c>
      <c r="D3084" t="s">
        <v>14213</v>
      </c>
      <c r="E3084" s="2">
        <v>972</v>
      </c>
      <c r="G3084">
        <f>HYPERLINK("https://www.senat.fr/senateur-3eme-republique/legrand_gery1408r3.html", "legrand_gery1408r3")</f>
        <v>0</v>
      </c>
      <c r="H3084">
        <f>HYPERLINK("https://www.wikidata.org/wiki/Q3124487", "Q3124487")</f>
        <v>0</v>
      </c>
    </row>
    <row r="3085" spans="1:8">
      <c r="A3085" t="s">
        <v>3091</v>
      </c>
      <c r="B3085" t="s">
        <v>7641</v>
      </c>
      <c r="C3085" t="s">
        <v>10652</v>
      </c>
      <c r="D3085" t="s">
        <v>14214</v>
      </c>
      <c r="E3085" s="2">
        <v>5973</v>
      </c>
      <c r="F3085">
        <f>HYPERLINK("https://www2.assemblee-nationale.fr/sycomore/fiche/(num_dept)/7723", "7723.0")</f>
        <v>0</v>
      </c>
      <c r="H3085">
        <f>HYPERLINK("https://www.wikidata.org/wiki/Q8327019", "Q8327019")</f>
        <v>0</v>
      </c>
    </row>
    <row r="3086" spans="1:8">
      <c r="A3086" t="s">
        <v>3092</v>
      </c>
      <c r="B3086" t="s">
        <v>7641</v>
      </c>
      <c r="C3086" t="s">
        <v>8384</v>
      </c>
      <c r="D3086" t="s">
        <v>14215</v>
      </c>
      <c r="E3086" t="s">
        <v>16246</v>
      </c>
      <c r="F3086">
        <f>HYPERLINK("https://www2.assemblee-nationale.fr/sycomore/fiche/(num_dept)/7726", "7726.0")</f>
        <v>0</v>
      </c>
      <c r="H3086">
        <f>HYPERLINK("https://www.wikidata.org/wiki/Q3385905", "Q3385905")</f>
        <v>0</v>
      </c>
    </row>
    <row r="3087" spans="1:8">
      <c r="A3087" t="s">
        <v>3093</v>
      </c>
      <c r="B3087" t="s">
        <v>7642</v>
      </c>
      <c r="C3087" t="s">
        <v>7754</v>
      </c>
      <c r="D3087" t="s">
        <v>14216</v>
      </c>
      <c r="E3087" s="2">
        <v>9545</v>
      </c>
      <c r="G3087">
        <f>HYPERLINK("https://www.senat.fr/senateur-3eme-republique/legrand_louis1628r3.html", "legrand_louis1628r3")</f>
        <v>0</v>
      </c>
      <c r="H3087">
        <f>HYPERLINK("https://www.wikidata.org/wiki/Q3262509", "Q3262509")</f>
        <v>0</v>
      </c>
    </row>
    <row r="3088" spans="1:8">
      <c r="A3088" t="s">
        <v>3094</v>
      </c>
      <c r="B3088" t="s">
        <v>7641</v>
      </c>
      <c r="C3088" t="s">
        <v>10653</v>
      </c>
      <c r="D3088" t="s">
        <v>14217</v>
      </c>
      <c r="E3088" s="2">
        <v>3911</v>
      </c>
      <c r="F3088">
        <f>HYPERLINK("https://www2.assemblee-nationale.fr/sycomore/fiche/(num_dept)/8200", "8200.0")</f>
        <v>0</v>
      </c>
      <c r="H3088">
        <f>HYPERLINK("https://www.wikidata.org/wiki/Q3260458", "Q3260458")</f>
        <v>0</v>
      </c>
    </row>
    <row r="3089" spans="1:8">
      <c r="A3089" t="s">
        <v>3095</v>
      </c>
      <c r="B3089" t="s">
        <v>7641</v>
      </c>
      <c r="C3089" t="s">
        <v>9471</v>
      </c>
      <c r="D3089" t="s">
        <v>14218</v>
      </c>
      <c r="E3089" s="2">
        <v>10553</v>
      </c>
      <c r="F3089">
        <f>HYPERLINK("https://www2.assemblee-nationale.fr/sycomore/fiche/(num_dept)/7725", "7725.0")</f>
        <v>0</v>
      </c>
      <c r="H3089">
        <f>HYPERLINK("https://www.wikidata.org/wiki/Q3188725", "Q3188725")</f>
        <v>0</v>
      </c>
    </row>
    <row r="3090" spans="1:8">
      <c r="A3090" t="s">
        <v>3096</v>
      </c>
      <c r="B3090" t="s">
        <v>7643</v>
      </c>
      <c r="C3090" t="s">
        <v>7754</v>
      </c>
      <c r="D3090" t="s">
        <v>14219</v>
      </c>
      <c r="E3090" t="s">
        <v>16247</v>
      </c>
      <c r="F3090">
        <f>HYPERLINK("https://www2.assemblee-nationale.fr/sycomore/fiche/(num_dept)/7727", "7727.0")</f>
        <v>0</v>
      </c>
      <c r="H3090">
        <f>HYPERLINK("https://www.wikidata.org/wiki/Q16025979", "Q16025979")</f>
        <v>0</v>
      </c>
    </row>
    <row r="3091" spans="1:8">
      <c r="A3091" t="s">
        <v>3097</v>
      </c>
      <c r="B3091" t="s">
        <v>7644</v>
      </c>
      <c r="C3091" t="s">
        <v>10654</v>
      </c>
      <c r="D3091" t="s">
        <v>14220</v>
      </c>
      <c r="E3091" s="2">
        <v>14857</v>
      </c>
      <c r="F3091">
        <f>HYPERLINK("https://www2.assemblee-nationale.fr/sycomore/fiche/(num_dept)/7730", "7730.0")</f>
        <v>0</v>
      </c>
      <c r="H3091">
        <f>HYPERLINK("https://www.wikidata.org/wiki/Q1508764", "Q1508764")</f>
        <v>0</v>
      </c>
    </row>
    <row r="3092" spans="1:8">
      <c r="A3092" t="s">
        <v>3098</v>
      </c>
      <c r="B3092" t="s">
        <v>7645</v>
      </c>
      <c r="C3092" t="s">
        <v>10355</v>
      </c>
      <c r="D3092" t="s">
        <v>14221</v>
      </c>
      <c r="E3092" s="2">
        <v>20323</v>
      </c>
      <c r="F3092">
        <f>HYPERLINK("https://www2.assemblee-nationale.fr/sycomore/fiche/(num_dept)/7734", "7734.0")</f>
        <v>0</v>
      </c>
      <c r="G3092">
        <f>HYPERLINK("https://www.senat.fr/senateur-3eme-republique/leguet_firmin0170r3.html", "leguet_firmin0170r3")</f>
        <v>0</v>
      </c>
      <c r="H3092">
        <f>HYPERLINK("https://www.wikidata.org/wiki/Q3072883", "Q3072883")</f>
        <v>0</v>
      </c>
    </row>
    <row r="3093" spans="1:8">
      <c r="A3093" t="s">
        <v>3099</v>
      </c>
      <c r="B3093" t="s">
        <v>7646</v>
      </c>
      <c r="C3093" t="s">
        <v>7754</v>
      </c>
      <c r="D3093" t="s">
        <v>14222</v>
      </c>
      <c r="E3093" s="2">
        <v>17547</v>
      </c>
      <c r="F3093">
        <f>HYPERLINK("https://www2.assemblee-nationale.fr/sycomore/fiche/(num_dept)/7733", "7733.0")</f>
        <v>0</v>
      </c>
      <c r="H3093">
        <f>HYPERLINK("https://www.wikidata.org/wiki/Q16025980", "Q16025980")</f>
        <v>0</v>
      </c>
    </row>
    <row r="3094" spans="1:8">
      <c r="A3094" t="s">
        <v>3100</v>
      </c>
      <c r="B3094" t="s">
        <v>7647</v>
      </c>
      <c r="C3094" t="s">
        <v>10655</v>
      </c>
      <c r="D3094" t="s">
        <v>14223</v>
      </c>
      <c r="F3094">
        <f>HYPERLINK("https://www2.assemblee-nationale.fr/sycomore/fiche/(num_dept)/7739", "7739.0")</f>
        <v>0</v>
      </c>
      <c r="H3094">
        <f>HYPERLINK("https://www.wikidata.org/wiki/Q8327052", "Q8327052")</f>
        <v>0</v>
      </c>
    </row>
    <row r="3095" spans="1:8">
      <c r="A3095" t="s">
        <v>3101</v>
      </c>
      <c r="B3095" t="s">
        <v>7648</v>
      </c>
      <c r="C3095" t="s">
        <v>9414</v>
      </c>
      <c r="D3095" t="s">
        <v>14224</v>
      </c>
      <c r="E3095" t="s">
        <v>16248</v>
      </c>
      <c r="G3095">
        <f>HYPERLINK("https://www.senat.fr/senateur-3eme-republique/lelievre_ferdinand0836r3.html", "lelievre_ferdinand0836r3")</f>
        <v>0</v>
      </c>
      <c r="H3095">
        <f>HYPERLINK("https://www.wikidata.org/wiki/Q20027668", "Q20027668")</f>
        <v>0</v>
      </c>
    </row>
    <row r="3096" spans="1:8">
      <c r="A3096" t="s">
        <v>3102</v>
      </c>
      <c r="B3096" t="s">
        <v>7648</v>
      </c>
      <c r="C3096" t="s">
        <v>9621</v>
      </c>
      <c r="D3096" t="s">
        <v>11813</v>
      </c>
      <c r="E3096" s="2">
        <v>5554</v>
      </c>
      <c r="G3096">
        <f>HYPERLINK("https://www.senat.fr/senateur-3eme-republique/lelievre_adolphe0450r3.html", "lelievre_adolphe0450r3")</f>
        <v>0</v>
      </c>
      <c r="H3096">
        <f>HYPERLINK("https://www.wikidata.org/wiki/Q2824861", "Q2824861")</f>
        <v>0</v>
      </c>
    </row>
    <row r="3097" spans="1:8">
      <c r="A3097" t="s">
        <v>3103</v>
      </c>
      <c r="B3097" t="s">
        <v>7649</v>
      </c>
      <c r="C3097" t="s">
        <v>9312</v>
      </c>
      <c r="D3097" t="s">
        <v>14225</v>
      </c>
      <c r="E3097" t="s">
        <v>16249</v>
      </c>
      <c r="F3097">
        <f>HYPERLINK("https://www2.assemblee-nationale.fr/sycomore/fiche/(num_dept)/7740", "7740.0")</f>
        <v>0</v>
      </c>
      <c r="H3097">
        <f>HYPERLINK("https://www.wikidata.org/wiki/Q3164213", "Q3164213")</f>
        <v>0</v>
      </c>
    </row>
    <row r="3098" spans="1:8">
      <c r="A3098" t="s">
        <v>3104</v>
      </c>
      <c r="B3098" t="s">
        <v>7649</v>
      </c>
      <c r="C3098" t="s">
        <v>10656</v>
      </c>
      <c r="D3098" t="s">
        <v>11813</v>
      </c>
      <c r="E3098" s="2">
        <v>5554</v>
      </c>
      <c r="F3098">
        <f>HYPERLINK("https://www2.assemblee-nationale.fr/sycomore/fiche/(num_dept)/8153", "8153.0")</f>
        <v>0</v>
      </c>
      <c r="H3098">
        <f>HYPERLINK("https://www.wikidata.org/wiki/Q2824861", "Q2824861")</f>
        <v>0</v>
      </c>
    </row>
    <row r="3099" spans="1:8">
      <c r="A3099" t="s">
        <v>3105</v>
      </c>
      <c r="B3099" t="s">
        <v>7650</v>
      </c>
      <c r="C3099" t="s">
        <v>10657</v>
      </c>
      <c r="D3099" t="s">
        <v>14226</v>
      </c>
      <c r="E3099" s="2">
        <v>11815</v>
      </c>
      <c r="F3099">
        <f>HYPERLINK("https://www2.assemblee-nationale.fr/sycomore/fiche/(num_dept)/7745", "7745.0")</f>
        <v>0</v>
      </c>
      <c r="H3099">
        <f>HYPERLINK("https://www.wikidata.org/wiki/Q7183006", "Q7183006")</f>
        <v>0</v>
      </c>
    </row>
    <row r="3100" spans="1:8">
      <c r="A3100" t="s">
        <v>3106</v>
      </c>
      <c r="B3100" t="s">
        <v>7651</v>
      </c>
      <c r="C3100" t="s">
        <v>7342</v>
      </c>
      <c r="D3100" t="s">
        <v>14227</v>
      </c>
      <c r="E3100" s="2">
        <v>18697</v>
      </c>
      <c r="G3100">
        <f>HYPERLINK("https://www.senat.fr/senateur-3eme-republique/lemaistre_jean0558r3.html", "lemaistre_jean0558r3")</f>
        <v>0</v>
      </c>
      <c r="H3100">
        <f>HYPERLINK("https://www.wikidata.org/wiki/Q3173163", "Q3173163")</f>
        <v>0</v>
      </c>
    </row>
    <row r="3101" spans="1:8">
      <c r="A3101" t="s">
        <v>3107</v>
      </c>
      <c r="B3101" t="s">
        <v>7652</v>
      </c>
      <c r="C3101" t="s">
        <v>7754</v>
      </c>
      <c r="D3101" t="s">
        <v>14228</v>
      </c>
      <c r="E3101" s="2">
        <v>11757</v>
      </c>
      <c r="G3101">
        <f>HYPERLINK("https://www.senat.fr/senateur-3eme-republique/lemarie_louis0562r3.html", "lemarie_louis0562r3")</f>
        <v>0</v>
      </c>
      <c r="H3101">
        <f>HYPERLINK("https://www.wikidata.org/wiki/Q3262514", "Q3262514")</f>
        <v>0</v>
      </c>
    </row>
    <row r="3102" spans="1:8">
      <c r="A3102" t="s">
        <v>3108</v>
      </c>
      <c r="B3102" t="s">
        <v>7653</v>
      </c>
      <c r="C3102" t="s">
        <v>9524</v>
      </c>
      <c r="D3102" t="s">
        <v>14229</v>
      </c>
      <c r="F3102">
        <f>HYPERLINK("https://www2.assemblee-nationale.fr/sycomore/fiche/(num_dept)/7748", "7748.0")</f>
        <v>0</v>
      </c>
      <c r="H3102">
        <f>HYPERLINK("https://www.wikidata.org/wiki/Q16025981", "Q16025981")</f>
        <v>0</v>
      </c>
    </row>
    <row r="3103" spans="1:8">
      <c r="A3103" t="s">
        <v>3109</v>
      </c>
      <c r="B3103" t="s">
        <v>7654</v>
      </c>
      <c r="C3103" t="s">
        <v>9503</v>
      </c>
      <c r="D3103" t="s">
        <v>14230</v>
      </c>
      <c r="E3103" s="2">
        <v>16424</v>
      </c>
      <c r="F3103">
        <f>HYPERLINK("https://www2.assemblee-nationale.fr/sycomore/fiche/(num_dept)/7749", "7749.0")</f>
        <v>0</v>
      </c>
      <c r="H3103">
        <f>HYPERLINK("https://www.wikidata.org/wiki/Q16011464", "Q16011464")</f>
        <v>0</v>
      </c>
    </row>
    <row r="3104" spans="1:8">
      <c r="A3104" t="s">
        <v>3110</v>
      </c>
      <c r="B3104" t="s">
        <v>7655</v>
      </c>
      <c r="C3104" t="s">
        <v>10658</v>
      </c>
      <c r="D3104" t="s">
        <v>14231</v>
      </c>
      <c r="E3104" t="s">
        <v>16250</v>
      </c>
      <c r="F3104">
        <f>HYPERLINK("https://www2.assemblee-nationale.fr/sycomore/fiche/(num_dept)/7750", "7750.0")</f>
        <v>0</v>
      </c>
      <c r="H3104">
        <f>HYPERLINK("https://www.wikidata.org/wiki/Q15969591", "Q15969591")</f>
        <v>0</v>
      </c>
    </row>
    <row r="3105" spans="1:8">
      <c r="A3105" t="s">
        <v>3111</v>
      </c>
      <c r="B3105" t="s">
        <v>7656</v>
      </c>
      <c r="C3105" t="s">
        <v>7233</v>
      </c>
      <c r="D3105" t="s">
        <v>14232</v>
      </c>
      <c r="E3105" s="2">
        <v>26416</v>
      </c>
      <c r="G3105">
        <f>HYPERLINK("https://www.senat.fr/senateur-3eme-republique/lemery_henry0701r3.html", "lemery_henry0701r3")</f>
        <v>0</v>
      </c>
      <c r="H3105">
        <f>HYPERLINK("https://www.wikidata.org/wiki/Q3132926", "Q3132926")</f>
        <v>0</v>
      </c>
    </row>
    <row r="3106" spans="1:8">
      <c r="A3106" t="s">
        <v>3112</v>
      </c>
      <c r="B3106" t="s">
        <v>7657</v>
      </c>
      <c r="C3106" t="s">
        <v>9471</v>
      </c>
      <c r="D3106" t="s">
        <v>14233</v>
      </c>
      <c r="E3106" s="2">
        <v>10294</v>
      </c>
      <c r="F3106">
        <f>HYPERLINK("https://www2.assemblee-nationale.fr/sycomore/fiche/(num_dept)/7752", "7752.0")</f>
        <v>0</v>
      </c>
      <c r="H3106">
        <f>HYPERLINK("https://www.wikidata.org/wiki/Q3085048", "Q3085048")</f>
        <v>0</v>
      </c>
    </row>
    <row r="3107" spans="1:8">
      <c r="A3107" t="s">
        <v>3113</v>
      </c>
      <c r="B3107" t="s">
        <v>7658</v>
      </c>
      <c r="C3107" t="s">
        <v>9453</v>
      </c>
      <c r="D3107" t="s">
        <v>14234</v>
      </c>
      <c r="E3107" s="2">
        <v>7882</v>
      </c>
      <c r="F3107">
        <f>HYPERLINK("https://www2.assemblee-nationale.fr/sycomore/fiche/(num_dept)/7755", "7755.0")</f>
        <v>0</v>
      </c>
      <c r="H3107">
        <f>HYPERLINK("https://www.wikidata.org/wiki/Q16025982", "Q16025982")</f>
        <v>0</v>
      </c>
    </row>
    <row r="3108" spans="1:8">
      <c r="A3108" t="s">
        <v>3114</v>
      </c>
      <c r="B3108" t="s">
        <v>7659</v>
      </c>
      <c r="C3108" t="s">
        <v>10659</v>
      </c>
      <c r="D3108" t="s">
        <v>14235</v>
      </c>
      <c r="E3108" t="s">
        <v>16251</v>
      </c>
      <c r="G3108">
        <f>HYPERLINK("https://www.senat.fr/senateur-3eme-republique/lemoinne_john1500r3.html", "lemoinne_john1500r3")</f>
        <v>0</v>
      </c>
      <c r="H3108">
        <f>HYPERLINK("https://www.wikidata.org/wiki/Q354382", "Q354382")</f>
        <v>0</v>
      </c>
    </row>
    <row r="3109" spans="1:8">
      <c r="A3109" t="s">
        <v>3115</v>
      </c>
      <c r="B3109" t="s">
        <v>7660</v>
      </c>
      <c r="C3109" t="s">
        <v>7233</v>
      </c>
      <c r="D3109" t="s">
        <v>14236</v>
      </c>
      <c r="E3109" s="2">
        <v>22120</v>
      </c>
      <c r="F3109">
        <f>HYPERLINK("https://www2.assemblee-nationale.fr/sycomore/fiche/(num_dept)/7759", "7759.0")</f>
        <v>0</v>
      </c>
      <c r="H3109">
        <f>HYPERLINK("https://www.wikidata.org/wiki/Q8327085", "Q8327085")</f>
        <v>0</v>
      </c>
    </row>
    <row r="3110" spans="1:8">
      <c r="A3110" t="s">
        <v>3116</v>
      </c>
      <c r="B3110" t="s">
        <v>7661</v>
      </c>
      <c r="C3110" t="s">
        <v>8691</v>
      </c>
      <c r="D3110" t="s">
        <v>14237</v>
      </c>
      <c r="E3110" s="2">
        <v>10080</v>
      </c>
      <c r="G3110">
        <f>HYPERLINK("https://www.senat.fr/senateur-3eme-republique/leneveu_robert0908r3.html", "leneveu_robert0908r3")</f>
        <v>0</v>
      </c>
      <c r="H3110">
        <f>HYPERLINK("https://www.wikidata.org/wiki/Q3435735", "Q3435735")</f>
        <v>0</v>
      </c>
    </row>
    <row r="3111" spans="1:8">
      <c r="A3111" t="s">
        <v>3117</v>
      </c>
      <c r="B3111" t="s">
        <v>7662</v>
      </c>
      <c r="C3111" t="s">
        <v>10660</v>
      </c>
      <c r="D3111" t="s">
        <v>14238</v>
      </c>
      <c r="E3111" s="2">
        <v>27477</v>
      </c>
      <c r="F3111">
        <f>HYPERLINK("https://www2.assemblee-nationale.fr/sycomore/fiche/(num_dept)/7761", "7761.0")</f>
        <v>0</v>
      </c>
      <c r="H3111">
        <f>HYPERLINK("https://www.wikidata.org/wiki/Q16025984", "Q16025984")</f>
        <v>0</v>
      </c>
    </row>
    <row r="3112" spans="1:8">
      <c r="A3112" t="s">
        <v>3118</v>
      </c>
      <c r="B3112" t="s">
        <v>7663</v>
      </c>
      <c r="C3112" t="s">
        <v>10408</v>
      </c>
      <c r="D3112" t="s">
        <v>14239</v>
      </c>
      <c r="E3112" s="2">
        <v>3137</v>
      </c>
      <c r="F3112">
        <f>HYPERLINK("https://www2.assemblee-nationale.fr/sycomore/fiche/(num_dept)/8258", "8258.0")</f>
        <v>0</v>
      </c>
      <c r="H3112">
        <f>HYPERLINK("https://www.wikidata.org/wiki/Q16025985", "Q16025985")</f>
        <v>0</v>
      </c>
    </row>
    <row r="3113" spans="1:8">
      <c r="A3113" t="s">
        <v>3119</v>
      </c>
      <c r="B3113" t="s">
        <v>7664</v>
      </c>
      <c r="C3113" t="s">
        <v>9352</v>
      </c>
      <c r="D3113" t="s">
        <v>14240</v>
      </c>
      <c r="E3113" s="2">
        <v>11399</v>
      </c>
      <c r="F3113">
        <f>HYPERLINK("https://www2.assemblee-nationale.fr/sycomore/fiche/(num_dept)/7762", "7762.0")</f>
        <v>0</v>
      </c>
      <c r="H3113">
        <f>HYPERLINK("https://www.wikidata.org/wiki/Q2934989", "Q2934989")</f>
        <v>0</v>
      </c>
    </row>
    <row r="3114" spans="1:8">
      <c r="A3114" t="s">
        <v>3120</v>
      </c>
      <c r="B3114" t="s">
        <v>7665</v>
      </c>
      <c r="C3114" t="s">
        <v>9524</v>
      </c>
      <c r="D3114" t="s">
        <v>14241</v>
      </c>
      <c r="E3114" t="s">
        <v>11666</v>
      </c>
      <c r="G3114">
        <f>HYPERLINK("https://www.senat.fr/senateur-3eme-republique/lenoel_emile1029r3.html", "lenoel_emile1029r3")</f>
        <v>0</v>
      </c>
      <c r="H3114">
        <f>HYPERLINK("https://www.wikidata.org/wiki/Q3588616", "Q3588616")</f>
        <v>0</v>
      </c>
    </row>
    <row r="3115" spans="1:8">
      <c r="A3115" t="s">
        <v>3121</v>
      </c>
      <c r="B3115" t="s">
        <v>7666</v>
      </c>
      <c r="C3115" t="s">
        <v>9482</v>
      </c>
      <c r="D3115" t="s">
        <v>11450</v>
      </c>
      <c r="E3115" s="2">
        <v>4952</v>
      </c>
      <c r="F3115">
        <f>HYPERLINK("https://www2.assemblee-nationale.fr/sycomore/fiche/(num_dept)/7777", "7777.0")</f>
        <v>0</v>
      </c>
      <c r="H3115">
        <f>HYPERLINK("https://www.wikidata.org/wiki/Q3047902", "Q3047902")</f>
        <v>0</v>
      </c>
    </row>
    <row r="3116" spans="1:8">
      <c r="A3116" t="s">
        <v>3122</v>
      </c>
      <c r="B3116" t="s">
        <v>7667</v>
      </c>
      <c r="C3116" t="s">
        <v>10661</v>
      </c>
      <c r="D3116" t="s">
        <v>14242</v>
      </c>
      <c r="E3116" s="2">
        <v>13475</v>
      </c>
      <c r="F3116">
        <f>HYPERLINK("https://www2.assemblee-nationale.fr/sycomore/fiche/(num_dept)/7784", "7784.0")</f>
        <v>0</v>
      </c>
      <c r="H3116">
        <f>HYPERLINK("https://www.wikidata.org/wiki/Q16025987", "Q16025987")</f>
        <v>0</v>
      </c>
    </row>
    <row r="3117" spans="1:8">
      <c r="A3117" t="s">
        <v>3123</v>
      </c>
      <c r="B3117" t="s">
        <v>7668</v>
      </c>
      <c r="C3117" t="s">
        <v>9457</v>
      </c>
      <c r="D3117" t="s">
        <v>14243</v>
      </c>
      <c r="E3117" s="2">
        <v>1006</v>
      </c>
      <c r="G3117">
        <f>HYPERLINK("https://www.senat.fr/senateur-3eme-republique/leporche_alphonse1246r3.html", "leporche_alphonse1246r3")</f>
        <v>0</v>
      </c>
      <c r="H3117">
        <f>HYPERLINK("https://www.wikidata.org/wiki/Q2839867", "Q2839867")</f>
        <v>0</v>
      </c>
    </row>
    <row r="3118" spans="1:8">
      <c r="A3118" t="s">
        <v>3124</v>
      </c>
      <c r="B3118" t="s">
        <v>7669</v>
      </c>
      <c r="C3118" t="s">
        <v>9457</v>
      </c>
      <c r="D3118" t="s">
        <v>14243</v>
      </c>
      <c r="E3118" s="2">
        <v>1006</v>
      </c>
      <c r="F3118">
        <f>HYPERLINK("https://www2.assemblee-nationale.fr/sycomore/fiche/(num_dept)/7987", "7987.0")</f>
        <v>0</v>
      </c>
      <c r="H3118">
        <f>HYPERLINK("https://www.wikidata.org/wiki/Q2839867", "Q2839867")</f>
        <v>0</v>
      </c>
    </row>
    <row r="3119" spans="1:8">
      <c r="A3119" t="s">
        <v>3125</v>
      </c>
      <c r="B3119" t="s">
        <v>7670</v>
      </c>
      <c r="C3119" t="s">
        <v>10428</v>
      </c>
      <c r="D3119" t="s">
        <v>14244</v>
      </c>
      <c r="E3119" t="s">
        <v>14851</v>
      </c>
      <c r="G3119">
        <f>HYPERLINK("https://www.senat.fr/senateur-3eme-republique/lepouze_jean_louis0734r3.html", "lepouze_jean_louis0734r3")</f>
        <v>0</v>
      </c>
      <c r="H3119">
        <f>HYPERLINK("https://www.wikidata.org/wiki/Q3166857", "Q3166857")</f>
        <v>0</v>
      </c>
    </row>
    <row r="3120" spans="1:8">
      <c r="A3120" t="s">
        <v>3126</v>
      </c>
      <c r="B3120" t="s">
        <v>7671</v>
      </c>
      <c r="C3120" t="s">
        <v>10428</v>
      </c>
      <c r="D3120" t="s">
        <v>14244</v>
      </c>
      <c r="E3120" t="s">
        <v>14851</v>
      </c>
      <c r="F3120">
        <f>HYPERLINK("https://www2.assemblee-nationale.fr/sycomore/fiche/(num_dept)/8118", "8118.0")</f>
        <v>0</v>
      </c>
      <c r="H3120">
        <f>HYPERLINK("https://www.wikidata.org/wiki/Q3166857", "Q3166857")</f>
        <v>0</v>
      </c>
    </row>
    <row r="3121" spans="1:8">
      <c r="A3121" t="s">
        <v>3127</v>
      </c>
      <c r="B3121" t="s">
        <v>7672</v>
      </c>
      <c r="C3121" t="s">
        <v>10662</v>
      </c>
      <c r="D3121" t="s">
        <v>14245</v>
      </c>
      <c r="E3121" t="s">
        <v>16252</v>
      </c>
      <c r="F3121">
        <f>HYPERLINK("https://www2.assemblee-nationale.fr/sycomore/fiche/(num_dept)/8294", "8294.0")</f>
        <v>0</v>
      </c>
      <c r="H3121">
        <f>HYPERLINK("https://www.wikidata.org/wiki/Q670573", "Q670573")</f>
        <v>0</v>
      </c>
    </row>
    <row r="3122" spans="1:8">
      <c r="A3122" t="s">
        <v>3128</v>
      </c>
      <c r="B3122" t="s">
        <v>7673</v>
      </c>
      <c r="C3122" t="s">
        <v>7001</v>
      </c>
      <c r="D3122" t="s">
        <v>14246</v>
      </c>
      <c r="E3122" s="2">
        <v>15880</v>
      </c>
      <c r="F3122">
        <f>HYPERLINK("https://www2.assemblee-nationale.fr/sycomore/fiche/(num_dept)/7789", "7789.0")</f>
        <v>0</v>
      </c>
      <c r="G3122">
        <f>HYPERLINK("https://www.senat.fr/senateur-3eme-republique/leredu_georges1647r3.html", "leredu_georges1647r3")</f>
        <v>0</v>
      </c>
      <c r="H3122">
        <f>HYPERLINK("https://www.wikidata.org/wiki/Q3103090", "Q3103090")</f>
        <v>0</v>
      </c>
    </row>
    <row r="3123" spans="1:8">
      <c r="A3123" t="s">
        <v>3129</v>
      </c>
      <c r="B3123" t="s">
        <v>7674</v>
      </c>
      <c r="C3123" t="s">
        <v>10663</v>
      </c>
      <c r="D3123" t="s">
        <v>14247</v>
      </c>
      <c r="E3123" s="2">
        <v>4683</v>
      </c>
      <c r="F3123">
        <f>HYPERLINK("https://www2.assemblee-nationale.fr/sycomore/fiche/(num_dept)/7791", "7791.0")</f>
        <v>0</v>
      </c>
      <c r="H3123">
        <f>HYPERLINK("https://www.wikidata.org/wiki/Q3371680", "Q3371680")</f>
        <v>0</v>
      </c>
    </row>
    <row r="3124" spans="1:8">
      <c r="A3124" t="s">
        <v>3130</v>
      </c>
      <c r="B3124" t="s">
        <v>7674</v>
      </c>
      <c r="C3124" t="s">
        <v>7342</v>
      </c>
      <c r="D3124" t="s">
        <v>14248</v>
      </c>
      <c r="E3124" s="2">
        <v>22702</v>
      </c>
      <c r="F3124">
        <f>HYPERLINK("https://www2.assemblee-nationale.fr/sycomore/fiche/(num_dept)/7790", "7790.0")</f>
        <v>0</v>
      </c>
      <c r="H3124">
        <f>HYPERLINK("https://www.wikidata.org/wiki/Q13080902", "Q13080902")</f>
        <v>0</v>
      </c>
    </row>
    <row r="3125" spans="1:8">
      <c r="A3125" t="s">
        <v>3131</v>
      </c>
      <c r="B3125" t="s">
        <v>7675</v>
      </c>
      <c r="C3125" t="s">
        <v>9611</v>
      </c>
      <c r="D3125" t="s">
        <v>14249</v>
      </c>
      <c r="E3125" s="2">
        <v>1540</v>
      </c>
      <c r="G3125">
        <f>HYPERLINK("https://www.senat.fr/senateur-3eme-republique/leroux_aime0036r3.html", "leroux_aime0036r3")</f>
        <v>0</v>
      </c>
      <c r="H3125">
        <f>HYPERLINK("https://www.wikidata.org/wiki/Q2828069", "Q2828069")</f>
        <v>0</v>
      </c>
    </row>
    <row r="3126" spans="1:8">
      <c r="A3126" t="s">
        <v>3132</v>
      </c>
      <c r="B3126" t="s">
        <v>7676</v>
      </c>
      <c r="C3126" t="s">
        <v>8384</v>
      </c>
      <c r="D3126" t="s">
        <v>14250</v>
      </c>
      <c r="E3126" s="2">
        <v>5496</v>
      </c>
      <c r="F3126">
        <f>HYPERLINK("https://www2.assemblee-nationale.fr/sycomore/fiche/(num_dept)/7805", "7805.0")</f>
        <v>0</v>
      </c>
      <c r="H3126">
        <f>HYPERLINK("https://www.wikidata.org/wiki/Q3385946", "Q3385946")</f>
        <v>0</v>
      </c>
    </row>
    <row r="3127" spans="1:8">
      <c r="A3127" t="s">
        <v>3133</v>
      </c>
      <c r="B3127" t="s">
        <v>7677</v>
      </c>
      <c r="C3127" t="s">
        <v>9773</v>
      </c>
      <c r="D3127" t="s">
        <v>14251</v>
      </c>
      <c r="E3127" s="2">
        <v>3374</v>
      </c>
      <c r="F3127">
        <f>HYPERLINK("https://www2.assemblee-nationale.fr/sycomore/fiche/(num_dept)/7796", "7796.0")</f>
        <v>0</v>
      </c>
      <c r="H3127">
        <f>HYPERLINK("https://www.wikidata.org/wiki/Q16025990", "Q16025990")</f>
        <v>0</v>
      </c>
    </row>
    <row r="3128" spans="1:8">
      <c r="A3128" t="s">
        <v>3134</v>
      </c>
      <c r="B3128" t="s">
        <v>7678</v>
      </c>
      <c r="C3128" t="s">
        <v>9564</v>
      </c>
      <c r="D3128" t="s">
        <v>14252</v>
      </c>
      <c r="E3128" s="2">
        <v>586</v>
      </c>
      <c r="G3128">
        <f>HYPERLINK("https://www.senat.fr/senateur-3eme-republique/leroy_alfred0926r3.html", "leroy_alfred0926r3")</f>
        <v>0</v>
      </c>
      <c r="H3128">
        <f>HYPERLINK("https://www.wikidata.org/wiki/Q2835270", "Q2835270")</f>
        <v>0</v>
      </c>
    </row>
    <row r="3129" spans="1:8">
      <c r="A3129" t="s">
        <v>3135</v>
      </c>
      <c r="B3129" t="s">
        <v>7677</v>
      </c>
      <c r="C3129" t="s">
        <v>9332</v>
      </c>
      <c r="D3129" t="s">
        <v>11549</v>
      </c>
      <c r="E3129" t="s">
        <v>16253</v>
      </c>
      <c r="F3129">
        <f>HYPERLINK("https://www2.assemblee-nationale.fr/sycomore/fiche/(num_dept)/7798", "7798.0")</f>
        <v>0</v>
      </c>
      <c r="H3129">
        <f>HYPERLINK("https://www.wikidata.org/wiki/Q3057054", "Q3057054")</f>
        <v>0</v>
      </c>
    </row>
    <row r="3130" spans="1:8">
      <c r="A3130" t="s">
        <v>3136</v>
      </c>
      <c r="B3130" t="s">
        <v>7677</v>
      </c>
      <c r="C3130" t="s">
        <v>10664</v>
      </c>
      <c r="D3130" t="s">
        <v>14253</v>
      </c>
      <c r="E3130" s="2">
        <v>12778</v>
      </c>
      <c r="F3130">
        <f>HYPERLINK("https://www2.assemblee-nationale.fr/sycomore/fiche/(num_dept)/7801", "7801.0")</f>
        <v>0</v>
      </c>
      <c r="H3130">
        <f>HYPERLINK("https://www.wikidata.org/wiki/Q3317903", "Q3317903")</f>
        <v>0</v>
      </c>
    </row>
    <row r="3131" spans="1:8">
      <c r="A3131" t="s">
        <v>3137</v>
      </c>
      <c r="B3131" t="s">
        <v>7679</v>
      </c>
      <c r="C3131" t="s">
        <v>9438</v>
      </c>
      <c r="D3131" t="s">
        <v>14254</v>
      </c>
      <c r="E3131" s="2">
        <v>14027</v>
      </c>
      <c r="G3131">
        <f>HYPERLINK("https://www.senat.fr/senateur-3eme-republique/lesache_victor0233r3.html", "lesache_victor0233r3")</f>
        <v>0</v>
      </c>
      <c r="H3131">
        <f>HYPERLINK("https://www.wikidata.org/wiki/Q3557416", "Q3557416")</f>
        <v>0</v>
      </c>
    </row>
    <row r="3132" spans="1:8">
      <c r="A3132" t="s">
        <v>3138</v>
      </c>
      <c r="B3132" t="s">
        <v>7680</v>
      </c>
      <c r="C3132" t="s">
        <v>9438</v>
      </c>
      <c r="D3132" t="s">
        <v>14254</v>
      </c>
      <c r="E3132" s="2">
        <v>14027</v>
      </c>
      <c r="F3132">
        <f>HYPERLINK("https://www2.assemblee-nationale.fr/sycomore/fiche/(num_dept)/7806", "7806.0")</f>
        <v>0</v>
      </c>
      <c r="H3132">
        <f>HYPERLINK("https://www.wikidata.org/wiki/Q3557416", "Q3557416")</f>
        <v>0</v>
      </c>
    </row>
    <row r="3133" spans="1:8">
      <c r="A3133" t="s">
        <v>3139</v>
      </c>
      <c r="B3133" t="s">
        <v>7681</v>
      </c>
      <c r="C3133" t="s">
        <v>10196</v>
      </c>
      <c r="D3133" t="s">
        <v>14255</v>
      </c>
      <c r="E3133" s="2">
        <v>8379</v>
      </c>
      <c r="F3133">
        <f>HYPERLINK("https://www2.assemblee-nationale.fr/sycomore/fiche/(num_dept)/7807", "7807.0")</f>
        <v>0</v>
      </c>
      <c r="H3133">
        <f>HYPERLINK("https://www.wikidata.org/wiki/Q2941050", "Q2941050")</f>
        <v>0</v>
      </c>
    </row>
    <row r="3134" spans="1:8">
      <c r="A3134" t="s">
        <v>3140</v>
      </c>
      <c r="B3134" t="s">
        <v>7681</v>
      </c>
      <c r="C3134" t="s">
        <v>10565</v>
      </c>
      <c r="D3134" t="s">
        <v>14256</v>
      </c>
      <c r="E3134" t="s">
        <v>13778</v>
      </c>
      <c r="F3134">
        <f>HYPERLINK("https://www2.assemblee-nationale.fr/sycomore/fiche/(num_dept)/7808", "7808.0")</f>
        <v>0</v>
      </c>
      <c r="H3134">
        <f>HYPERLINK("https://www.wikidata.org/wiki/Q8301660", "Q8301660")</f>
        <v>0</v>
      </c>
    </row>
    <row r="3135" spans="1:8">
      <c r="A3135" t="s">
        <v>3141</v>
      </c>
      <c r="B3135" t="s">
        <v>7682</v>
      </c>
      <c r="C3135" t="s">
        <v>9503</v>
      </c>
      <c r="D3135" t="s">
        <v>14257</v>
      </c>
      <c r="E3135" s="2">
        <v>21471</v>
      </c>
      <c r="F3135">
        <f>HYPERLINK("https://www2.assemblee-nationale.fr/sycomore/fiche/(num_dept)/7810", "7810.0")</f>
        <v>0</v>
      </c>
      <c r="H3135">
        <f>HYPERLINK("https://www.wikidata.org/wiki/Q13080882", "Q13080882")</f>
        <v>0</v>
      </c>
    </row>
    <row r="3136" spans="1:8">
      <c r="A3136" t="s">
        <v>3142</v>
      </c>
      <c r="B3136" t="s">
        <v>7683</v>
      </c>
      <c r="C3136" t="s">
        <v>10665</v>
      </c>
      <c r="D3136" t="s">
        <v>14258</v>
      </c>
      <c r="E3136" t="s">
        <v>16254</v>
      </c>
      <c r="F3136">
        <f>HYPERLINK("https://www2.assemblee-nationale.fr/sycomore/fiche/(num_dept)/7811", "7811.0")</f>
        <v>0</v>
      </c>
      <c r="H3136">
        <f>HYPERLINK("https://www.wikidata.org/wiki/Q3045142", "Q3045142")</f>
        <v>0</v>
      </c>
    </row>
    <row r="3137" spans="1:8">
      <c r="A3137" t="s">
        <v>3143</v>
      </c>
      <c r="B3137" t="s">
        <v>7684</v>
      </c>
      <c r="C3137" t="s">
        <v>8384</v>
      </c>
      <c r="D3137" t="s">
        <v>14259</v>
      </c>
      <c r="E3137" s="2">
        <v>4033</v>
      </c>
      <c r="G3137">
        <f>HYPERLINK("https://www.senat.fr/senateur-3eme-republique/lesouef_pierre1572r3.html", "lesouef_pierre1572r3")</f>
        <v>0</v>
      </c>
      <c r="H3137">
        <f>HYPERLINK("https://www.wikidata.org/wiki/Q3385874", "Q3385874")</f>
        <v>0</v>
      </c>
    </row>
    <row r="3138" spans="1:8">
      <c r="A3138" t="s">
        <v>3144</v>
      </c>
      <c r="B3138" t="s">
        <v>7685</v>
      </c>
      <c r="C3138" t="s">
        <v>10666</v>
      </c>
      <c r="D3138" t="s">
        <v>14260</v>
      </c>
      <c r="E3138" s="2">
        <v>2374</v>
      </c>
      <c r="F3138">
        <f>HYPERLINK("https://www2.assemblee-nationale.fr/sycomore/fiche/(num_dept)/7813", "7813.0")</f>
        <v>0</v>
      </c>
      <c r="H3138">
        <f>HYPERLINK("https://www.wikidata.org/wiki/Q3576492", "Q3576492")</f>
        <v>0</v>
      </c>
    </row>
    <row r="3139" spans="1:8">
      <c r="A3139" t="s">
        <v>3145</v>
      </c>
      <c r="B3139" t="s">
        <v>7686</v>
      </c>
      <c r="C3139" t="s">
        <v>10667</v>
      </c>
      <c r="D3139" t="s">
        <v>14261</v>
      </c>
      <c r="E3139" s="2">
        <v>12914</v>
      </c>
      <c r="F3139">
        <f>HYPERLINK("https://www2.assemblee-nationale.fr/sycomore/fiche/(num_dept)/519", "519.0")</f>
        <v>0</v>
      </c>
      <c r="H3139">
        <f>HYPERLINK("https://www.wikidata.org/wiki/Q3142121", "Q3142121")</f>
        <v>0</v>
      </c>
    </row>
    <row r="3140" spans="1:8">
      <c r="A3140" t="s">
        <v>3146</v>
      </c>
      <c r="B3140" t="s">
        <v>7687</v>
      </c>
      <c r="C3140" t="s">
        <v>10668</v>
      </c>
      <c r="D3140" t="s">
        <v>14262</v>
      </c>
      <c r="E3140" s="2">
        <v>16620</v>
      </c>
      <c r="F3140">
        <f>HYPERLINK("https://www2.assemblee-nationale.fr/sycomore/fiche/(num_dept)/7814", "7814.0")</f>
        <v>0</v>
      </c>
      <c r="H3140">
        <f>HYPERLINK("https://www.wikidata.org/wiki/Q3471275", "Q3471275")</f>
        <v>0</v>
      </c>
    </row>
    <row r="3141" spans="1:8">
      <c r="A3141" t="s">
        <v>3147</v>
      </c>
      <c r="B3141" t="s">
        <v>7688</v>
      </c>
      <c r="C3141" t="s">
        <v>7001</v>
      </c>
      <c r="D3141" t="s">
        <v>14263</v>
      </c>
      <c r="G3141">
        <f>HYPERLINK("https://www.senat.fr/senateur-3eme-republique/lesueur_georges0692r3.html", "lesueur_georges0692r3")</f>
        <v>0</v>
      </c>
      <c r="H3141">
        <f>HYPERLINK("https://www.wikidata.org/wiki/Q20027683", "Q20027683")</f>
        <v>0</v>
      </c>
    </row>
    <row r="3142" spans="1:8">
      <c r="A3142" t="s">
        <v>3148</v>
      </c>
      <c r="B3142" t="s">
        <v>7689</v>
      </c>
      <c r="C3142" t="s">
        <v>9564</v>
      </c>
      <c r="D3142" t="s">
        <v>14264</v>
      </c>
      <c r="E3142" s="2">
        <v>3841</v>
      </c>
      <c r="F3142">
        <f>HYPERLINK("https://www2.assemblee-nationale.fr/sycomore/fiche/(num_dept)/7818", "7818.0")</f>
        <v>0</v>
      </c>
      <c r="H3142">
        <f>HYPERLINK("https://www.wikidata.org/wiki/Q16626137", "Q16626137")</f>
        <v>0</v>
      </c>
    </row>
    <row r="3143" spans="1:8">
      <c r="A3143" t="s">
        <v>3149</v>
      </c>
      <c r="B3143" t="s">
        <v>7690</v>
      </c>
      <c r="C3143" t="s">
        <v>10669</v>
      </c>
      <c r="D3143" t="s">
        <v>14265</v>
      </c>
      <c r="E3143" s="2">
        <v>2091</v>
      </c>
      <c r="F3143">
        <f>HYPERLINK("https://www2.assemblee-nationale.fr/sycomore/fiche/(num_dept)/7819", "7819.0")</f>
        <v>0</v>
      </c>
      <c r="H3143">
        <f>HYPERLINK("https://www.wikidata.org/wiki/Q3554328", "Q3554328")</f>
        <v>0</v>
      </c>
    </row>
    <row r="3144" spans="1:8">
      <c r="A3144" t="s">
        <v>3150</v>
      </c>
      <c r="B3144" t="s">
        <v>7691</v>
      </c>
      <c r="C3144" t="s">
        <v>9874</v>
      </c>
      <c r="D3144" t="s">
        <v>12748</v>
      </c>
      <c r="E3144" s="2">
        <v>23250</v>
      </c>
      <c r="F3144">
        <f>HYPERLINK("https://www2.assemblee-nationale.fr/sycomore/fiche/(num_dept)/7822", "7822.0")</f>
        <v>0</v>
      </c>
      <c r="H3144">
        <f>HYPERLINK("https://www.wikidata.org/wiki/Q3175525", "Q3175525")</f>
        <v>0</v>
      </c>
    </row>
    <row r="3145" spans="1:8">
      <c r="A3145" t="s">
        <v>3151</v>
      </c>
      <c r="B3145" t="s">
        <v>7692</v>
      </c>
      <c r="C3145" t="s">
        <v>10670</v>
      </c>
      <c r="D3145" t="s">
        <v>14266</v>
      </c>
      <c r="E3145" s="2">
        <v>20367</v>
      </c>
      <c r="F3145">
        <f>HYPERLINK("https://www2.assemblee-nationale.fr/sycomore/fiche/(num_dept)/7824", "7824.0")</f>
        <v>0</v>
      </c>
      <c r="H3145">
        <f>HYPERLINK("https://www.wikidata.org/wiki/Q2865199", "Q2865199")</f>
        <v>0</v>
      </c>
    </row>
    <row r="3146" spans="1:8">
      <c r="A3146" t="s">
        <v>3152</v>
      </c>
      <c r="B3146" t="s">
        <v>7693</v>
      </c>
      <c r="C3146" t="s">
        <v>10671</v>
      </c>
      <c r="D3146" t="s">
        <v>14267</v>
      </c>
      <c r="E3146" t="s">
        <v>16255</v>
      </c>
      <c r="F3146">
        <f>HYPERLINK("https://www2.assemblee-nationale.fr/sycomore/fiche/(num_dept)/8202", "8202.0")</f>
        <v>0</v>
      </c>
      <c r="H3146">
        <f>HYPERLINK("https://www.wikidata.org/wiki/Q16025993", "Q16025993")</f>
        <v>0</v>
      </c>
    </row>
    <row r="3147" spans="1:8">
      <c r="A3147" t="s">
        <v>3153</v>
      </c>
      <c r="B3147" t="s">
        <v>7694</v>
      </c>
      <c r="C3147" t="s">
        <v>10672</v>
      </c>
      <c r="D3147" t="s">
        <v>12365</v>
      </c>
      <c r="E3147" s="2">
        <v>17352</v>
      </c>
      <c r="F3147">
        <f>HYPERLINK("https://www2.assemblee-nationale.fr/sycomore/fiche/(num_dept)/7826", "7826.0")</f>
        <v>0</v>
      </c>
      <c r="H3147">
        <f>HYPERLINK("https://www.wikidata.org/wiki/Q3069256", "Q3069256")</f>
        <v>0</v>
      </c>
    </row>
    <row r="3148" spans="1:8">
      <c r="A3148" t="s">
        <v>3154</v>
      </c>
      <c r="B3148" t="s">
        <v>7695</v>
      </c>
      <c r="C3148" t="s">
        <v>9471</v>
      </c>
      <c r="D3148" t="s">
        <v>14268</v>
      </c>
      <c r="E3148" s="2">
        <v>4620</v>
      </c>
      <c r="F3148">
        <f>HYPERLINK("https://www2.assemblee-nationale.fr/sycomore/fiche/(num_dept)/7828", "7828.0")</f>
        <v>0</v>
      </c>
      <c r="H3148">
        <f>HYPERLINK("https://www.wikidata.org/wiki/Q16025994", "Q16025994")</f>
        <v>0</v>
      </c>
    </row>
    <row r="3149" spans="1:8">
      <c r="A3149" t="s">
        <v>3155</v>
      </c>
      <c r="B3149" t="s">
        <v>7696</v>
      </c>
      <c r="C3149" t="s">
        <v>10673</v>
      </c>
      <c r="D3149" t="s">
        <v>14269</v>
      </c>
      <c r="E3149" t="s">
        <v>16256</v>
      </c>
      <c r="F3149">
        <f>HYPERLINK("https://www2.assemblee-nationale.fr/sycomore/fiche/(num_dept)/7990", "7990.0")</f>
        <v>0</v>
      </c>
      <c r="H3149">
        <f>HYPERLINK("https://www.wikidata.org/wiki/Q16026527", "Q16026527")</f>
        <v>0</v>
      </c>
    </row>
    <row r="3150" spans="1:8">
      <c r="A3150" t="s">
        <v>3156</v>
      </c>
      <c r="B3150" t="s">
        <v>7697</v>
      </c>
      <c r="C3150" t="s">
        <v>10674</v>
      </c>
      <c r="D3150" t="s">
        <v>14270</v>
      </c>
      <c r="E3150" s="2">
        <v>4224</v>
      </c>
      <c r="F3150">
        <f>HYPERLINK("https://www2.assemblee-nationale.fr/sycomore/fiche/(num_dept)/7831", "7831.0")</f>
        <v>0</v>
      </c>
      <c r="H3150">
        <f>HYPERLINK("https://www.wikidata.org/wiki/Q8316737", "Q8316737")</f>
        <v>0</v>
      </c>
    </row>
    <row r="3151" spans="1:8">
      <c r="A3151" t="s">
        <v>3157</v>
      </c>
      <c r="B3151" t="s">
        <v>7698</v>
      </c>
      <c r="C3151" t="s">
        <v>10675</v>
      </c>
      <c r="D3151" t="s">
        <v>14271</v>
      </c>
      <c r="E3151" s="2">
        <v>14235</v>
      </c>
      <c r="F3151">
        <f>HYPERLINK("https://www2.assemblee-nationale.fr/sycomore/fiche/(num_dept)/7836", "7836.0")</f>
        <v>0</v>
      </c>
      <c r="H3151">
        <f>HYPERLINK("https://www.wikidata.org/wiki/Q13084932", "Q13084932")</f>
        <v>0</v>
      </c>
    </row>
    <row r="3152" spans="1:8">
      <c r="A3152" t="s">
        <v>3158</v>
      </c>
      <c r="B3152" t="s">
        <v>7699</v>
      </c>
      <c r="C3152" t="s">
        <v>9312</v>
      </c>
      <c r="D3152" t="s">
        <v>14272</v>
      </c>
      <c r="E3152" s="2">
        <v>3039</v>
      </c>
      <c r="F3152">
        <f>HYPERLINK("https://www2.assemblee-nationale.fr/sycomore/fiche/(num_dept)/7991", "7991.0")</f>
        <v>0</v>
      </c>
      <c r="H3152">
        <f>HYPERLINK("https://www.wikidata.org/wiki/Q3164231", "Q3164231")</f>
        <v>0</v>
      </c>
    </row>
    <row r="3153" spans="1:8">
      <c r="A3153" t="s">
        <v>3159</v>
      </c>
      <c r="B3153" t="s">
        <v>7700</v>
      </c>
      <c r="C3153" t="s">
        <v>9312</v>
      </c>
      <c r="D3153" t="s">
        <v>14273</v>
      </c>
      <c r="E3153" s="2">
        <v>3039</v>
      </c>
      <c r="G3153">
        <f>HYPERLINK("https://www.senat.fr/senateur-3eme-republique/levrey_jean_baptiste1176r3.html", "levrey_jean_baptiste1176r3")</f>
        <v>0</v>
      </c>
      <c r="H3153">
        <f>HYPERLINK("https://www.wikidata.org/wiki/Q3164231", "Q3164231")</f>
        <v>0</v>
      </c>
    </row>
    <row r="3154" spans="1:8">
      <c r="A3154" t="s">
        <v>3160</v>
      </c>
      <c r="B3154" t="s">
        <v>7701</v>
      </c>
      <c r="C3154" t="s">
        <v>9340</v>
      </c>
      <c r="D3154" t="s">
        <v>13076</v>
      </c>
      <c r="E3154" s="2">
        <v>12396</v>
      </c>
      <c r="G3154">
        <f>HYPERLINK("https://www.senat.fr/senateur-3eme-republique/levy_raphael1350r3.html", "levy_raphael1350r3")</f>
        <v>0</v>
      </c>
      <c r="H3154">
        <f>HYPERLINK("https://www.wikidata.org/wiki/Q3419384", "Q3419384")</f>
        <v>0</v>
      </c>
    </row>
    <row r="3155" spans="1:8">
      <c r="A3155" t="s">
        <v>3161</v>
      </c>
      <c r="B3155" t="s">
        <v>7701</v>
      </c>
      <c r="C3155" t="s">
        <v>10676</v>
      </c>
      <c r="D3155" t="s">
        <v>14274</v>
      </c>
      <c r="E3155" s="2">
        <v>16125</v>
      </c>
      <c r="G3155">
        <f>HYPERLINK("https://www.senat.fr/senateur-3eme-republique/levy_moise1181r3.html", "levy_moise1181r3")</f>
        <v>0</v>
      </c>
      <c r="H3155">
        <f>HYPERLINK("https://www.wikidata.org/wiki/Q3327082", "Q3327082")</f>
        <v>0</v>
      </c>
    </row>
    <row r="3156" spans="1:8">
      <c r="A3156" t="s">
        <v>3162</v>
      </c>
      <c r="B3156" t="s">
        <v>7702</v>
      </c>
      <c r="C3156" t="s">
        <v>9471</v>
      </c>
      <c r="D3156" t="s">
        <v>14275</v>
      </c>
      <c r="E3156" s="2">
        <v>2944</v>
      </c>
      <c r="H3156">
        <f>HYPERLINK("https://www.wikidata.org/wiki/Q318984", "Q318984")</f>
        <v>0</v>
      </c>
    </row>
    <row r="3157" spans="1:8">
      <c r="A3157" t="s">
        <v>3163</v>
      </c>
      <c r="B3157" t="s">
        <v>7703</v>
      </c>
      <c r="C3157" t="s">
        <v>9438</v>
      </c>
      <c r="D3157" t="s">
        <v>14276</v>
      </c>
      <c r="E3157" s="2">
        <v>3218</v>
      </c>
      <c r="F3157">
        <f>HYPERLINK("https://www2.assemblee-nationale.fr/sycomore/fiche/(num_dept)/7839", "7839.0")</f>
        <v>0</v>
      </c>
      <c r="G3157">
        <f>HYPERLINK("https://www.senat.fr/senateur-3eme-republique/leydet_victor0316r3.html", "leydet_victor0316r3")</f>
        <v>0</v>
      </c>
      <c r="H3157">
        <f>HYPERLINK("https://www.wikidata.org/wiki/Q2522455", "Q2522455")</f>
        <v>0</v>
      </c>
    </row>
    <row r="3158" spans="1:8">
      <c r="A3158" t="s">
        <v>3164</v>
      </c>
      <c r="B3158" t="s">
        <v>7704</v>
      </c>
      <c r="C3158" t="s">
        <v>9386</v>
      </c>
      <c r="D3158" t="s">
        <v>14277</v>
      </c>
      <c r="E3158" s="2">
        <v>10789</v>
      </c>
      <c r="G3158">
        <f>HYPERLINK("https://www.senat.fr/senateur-3eme-republique/leygue_raymond0108r3.html", "leygue_raymond0108r3")</f>
        <v>0</v>
      </c>
      <c r="H3158">
        <f>HYPERLINK("https://www.wikidata.org/wiki/Q3421004", "Q3421004")</f>
        <v>0</v>
      </c>
    </row>
    <row r="3159" spans="1:8">
      <c r="A3159" t="s">
        <v>3165</v>
      </c>
      <c r="B3159" t="s">
        <v>7705</v>
      </c>
      <c r="C3159" t="s">
        <v>9386</v>
      </c>
      <c r="D3159" t="s">
        <v>14278</v>
      </c>
      <c r="E3159" s="2">
        <v>10789</v>
      </c>
      <c r="F3159">
        <f>HYPERLINK("https://www2.assemblee-nationale.fr/sycomore/fiche/(num_dept)/7842", "7842.0")</f>
        <v>0</v>
      </c>
      <c r="H3159">
        <f>HYPERLINK("https://www.wikidata.org/wiki/Q3421004", "Q3421004")</f>
        <v>0</v>
      </c>
    </row>
    <row r="3160" spans="1:8">
      <c r="A3160" t="s">
        <v>3166</v>
      </c>
      <c r="B3160" t="s">
        <v>7704</v>
      </c>
      <c r="C3160" t="s">
        <v>10057</v>
      </c>
      <c r="D3160" t="s">
        <v>14279</v>
      </c>
      <c r="E3160" s="2">
        <v>14624</v>
      </c>
      <c r="G3160">
        <f>HYPERLINK("https://www.senat.fr/senateur-3eme-republique/leygue_honore0095r3.html", "leygue_honore0095r3")</f>
        <v>0</v>
      </c>
      <c r="H3160">
        <f>HYPERLINK("https://www.wikidata.org/wiki/Q3140238", "Q3140238")</f>
        <v>0</v>
      </c>
    </row>
    <row r="3161" spans="1:8">
      <c r="A3161" t="s">
        <v>3167</v>
      </c>
      <c r="B3161" t="s">
        <v>7706</v>
      </c>
      <c r="C3161" t="s">
        <v>10057</v>
      </c>
      <c r="D3161" t="s">
        <v>14279</v>
      </c>
      <c r="E3161" s="2">
        <v>14624</v>
      </c>
      <c r="F3161">
        <f>HYPERLINK("https://www2.assemblee-nationale.fr/sycomore/fiche/(num_dept)/7841", "7841.0")</f>
        <v>0</v>
      </c>
      <c r="H3161">
        <f>HYPERLINK("https://www.wikidata.org/wiki/Q3140238", "Q3140238")</f>
        <v>0</v>
      </c>
    </row>
    <row r="3162" spans="1:8">
      <c r="A3162" t="s">
        <v>3168</v>
      </c>
      <c r="B3162" t="s">
        <v>7706</v>
      </c>
      <c r="C3162" t="s">
        <v>10677</v>
      </c>
      <c r="D3162" t="s">
        <v>14280</v>
      </c>
      <c r="E3162" s="2">
        <v>12299</v>
      </c>
      <c r="F3162">
        <f>HYPERLINK("https://www2.assemblee-nationale.fr/sycomore/fiche/(num_dept)/7840", "7840.0")</f>
        <v>0</v>
      </c>
      <c r="H3162">
        <f>HYPERLINK("https://www.wikidata.org/wiki/Q728806", "Q728806")</f>
        <v>0</v>
      </c>
    </row>
    <row r="3163" spans="1:8">
      <c r="A3163" t="s">
        <v>3169</v>
      </c>
      <c r="B3163" t="s">
        <v>7706</v>
      </c>
      <c r="C3163" t="s">
        <v>7001</v>
      </c>
      <c r="D3163" t="s">
        <v>14281</v>
      </c>
      <c r="E3163" s="2">
        <v>12299</v>
      </c>
      <c r="H3163">
        <f>HYPERLINK("https://www.wikidata.org/wiki/Q728806", "Q728806")</f>
        <v>0</v>
      </c>
    </row>
    <row r="3164" spans="1:8">
      <c r="A3164" t="s">
        <v>3170</v>
      </c>
      <c r="B3164" t="s">
        <v>7707</v>
      </c>
      <c r="C3164" t="s">
        <v>10571</v>
      </c>
      <c r="D3164" t="s">
        <v>14282</v>
      </c>
      <c r="E3164" s="2">
        <v>2274</v>
      </c>
      <c r="F3164">
        <f>HYPERLINK("https://www2.assemblee-nationale.fr/sycomore/fiche/(num_dept)/7992", "7992.0")</f>
        <v>0</v>
      </c>
      <c r="H3164">
        <f>HYPERLINK("https://www.wikidata.org/wiki/Q16025998", "Q16025998")</f>
        <v>0</v>
      </c>
    </row>
    <row r="3165" spans="1:8">
      <c r="A3165" t="s">
        <v>3171</v>
      </c>
      <c r="B3165" t="s">
        <v>7708</v>
      </c>
      <c r="C3165" t="s">
        <v>9503</v>
      </c>
      <c r="D3165" t="s">
        <v>13981</v>
      </c>
      <c r="E3165" s="2">
        <v>15252</v>
      </c>
      <c r="G3165">
        <f>HYPERLINK("https://www.senat.fr/senateur-3eme-republique/lhopiteau_gustave0772r3.html", "lhopiteau_gustave0772r3")</f>
        <v>0</v>
      </c>
      <c r="H3165">
        <f>HYPERLINK("https://www.wikidata.org/wiki/Q3121244", "Q3121244")</f>
        <v>0</v>
      </c>
    </row>
    <row r="3166" spans="1:8">
      <c r="A3166" t="s">
        <v>3172</v>
      </c>
      <c r="B3166" t="s">
        <v>7709</v>
      </c>
      <c r="C3166" t="s">
        <v>9373</v>
      </c>
      <c r="D3166" t="s">
        <v>14283</v>
      </c>
      <c r="E3166" s="2">
        <v>6280</v>
      </c>
      <c r="F3166">
        <f>HYPERLINK("https://www2.assemblee-nationale.fr/sycomore/fiche/(num_dept)/7844", "7844.0")</f>
        <v>0</v>
      </c>
      <c r="H3166">
        <f>HYPERLINK("https://www.wikidata.org/wiki/Q16025999", "Q16025999")</f>
        <v>0</v>
      </c>
    </row>
    <row r="3167" spans="1:8">
      <c r="A3167" t="s">
        <v>3173</v>
      </c>
      <c r="B3167" t="s">
        <v>7710</v>
      </c>
      <c r="C3167" t="s">
        <v>9362</v>
      </c>
      <c r="D3167" t="s">
        <v>14284</v>
      </c>
      <c r="E3167" s="2">
        <v>2873</v>
      </c>
      <c r="F3167">
        <f>HYPERLINK("https://www2.assemblee-nationale.fr/sycomore/fiche/(num_dept)/7993", "7993.0")</f>
        <v>0</v>
      </c>
      <c r="H3167">
        <f>HYPERLINK("https://www.wikidata.org/wiki/Q8304592", "Q8304592")</f>
        <v>0</v>
      </c>
    </row>
    <row r="3168" spans="1:8">
      <c r="A3168" t="s">
        <v>3174</v>
      </c>
      <c r="B3168" t="s">
        <v>7711</v>
      </c>
      <c r="C3168" t="s">
        <v>10678</v>
      </c>
      <c r="D3168" t="s">
        <v>14285</v>
      </c>
      <c r="E3168" s="2">
        <v>26578</v>
      </c>
      <c r="F3168">
        <f>HYPERLINK("https://www2.assemblee-nationale.fr/sycomore/fiche/(num_dept)/7846", "7846.0")</f>
        <v>0</v>
      </c>
      <c r="H3168">
        <f>HYPERLINK("https://www.wikidata.org/wiki/Q2848169", "Q2848169")</f>
        <v>0</v>
      </c>
    </row>
    <row r="3169" spans="1:8">
      <c r="A3169" t="s">
        <v>3175</v>
      </c>
      <c r="B3169" t="s">
        <v>7712</v>
      </c>
      <c r="C3169" t="s">
        <v>10070</v>
      </c>
      <c r="D3169" t="s">
        <v>13961</v>
      </c>
      <c r="E3169" t="s">
        <v>16257</v>
      </c>
      <c r="G3169">
        <f>HYPERLINK("https://www.senat.fr/senateur-3eme-republique/libert_marcel0916r3.html", "libert_marcel0916r3")</f>
        <v>0</v>
      </c>
      <c r="H3169">
        <f>HYPERLINK("https://www.wikidata.org/wiki/Q3289154", "Q3289154")</f>
        <v>0</v>
      </c>
    </row>
    <row r="3170" spans="1:8">
      <c r="A3170" t="s">
        <v>3176</v>
      </c>
      <c r="B3170" t="s">
        <v>7713</v>
      </c>
      <c r="C3170" t="s">
        <v>10679</v>
      </c>
      <c r="D3170" t="s">
        <v>14286</v>
      </c>
      <c r="E3170" s="2">
        <v>20494</v>
      </c>
      <c r="F3170">
        <f>HYPERLINK("https://www2.assemblee-nationale.fr/sycomore/fiche/(num_dept)/7850", "7850.0")</f>
        <v>0</v>
      </c>
      <c r="H3170">
        <f>HYPERLINK("https://www.wikidata.org/wiki/Q16026000", "Q16026000")</f>
        <v>0</v>
      </c>
    </row>
    <row r="3171" spans="1:8">
      <c r="A3171" t="s">
        <v>3177</v>
      </c>
      <c r="B3171" t="s">
        <v>7714</v>
      </c>
      <c r="C3171" t="s">
        <v>10680</v>
      </c>
      <c r="D3171" t="s">
        <v>14287</v>
      </c>
      <c r="E3171" s="2">
        <v>18151</v>
      </c>
      <c r="F3171">
        <f>HYPERLINK("https://www2.assemblee-nationale.fr/sycomore/fiche/(num_dept)/7853", "7853.0")</f>
        <v>0</v>
      </c>
      <c r="H3171">
        <f>HYPERLINK("https://www.wikidata.org/wiki/Q3131493", "Q3131493")</f>
        <v>0</v>
      </c>
    </row>
    <row r="3172" spans="1:8">
      <c r="A3172" t="s">
        <v>3178</v>
      </c>
      <c r="B3172" t="s">
        <v>7715</v>
      </c>
      <c r="C3172" t="s">
        <v>9618</v>
      </c>
      <c r="D3172" t="s">
        <v>14288</v>
      </c>
      <c r="E3172" s="2">
        <v>7466</v>
      </c>
      <c r="F3172">
        <f>HYPERLINK("https://www2.assemblee-nationale.fr/sycomore/fiche/(num_dept)/7854", "7854.0")</f>
        <v>0</v>
      </c>
      <c r="G3172">
        <f>HYPERLINK("https://www.senat.fr/senateur-3eme-republique/limon_guillaume0585r3.html", "limon_guillaume0585r3")</f>
        <v>0</v>
      </c>
      <c r="H3172">
        <f>HYPERLINK("https://www.wikidata.org/wiki/Q3120046", "Q3120046")</f>
        <v>0</v>
      </c>
    </row>
    <row r="3173" spans="1:8">
      <c r="A3173" t="s">
        <v>3179</v>
      </c>
      <c r="B3173" t="s">
        <v>7716</v>
      </c>
      <c r="C3173" t="s">
        <v>8384</v>
      </c>
      <c r="D3173" t="s">
        <v>14289</v>
      </c>
      <c r="E3173" s="2">
        <v>10372</v>
      </c>
      <c r="F3173">
        <f>HYPERLINK("https://www2.assemblee-nationale.fr/sycomore/fiche/(num_dept)/7855", "7855.0")</f>
        <v>0</v>
      </c>
      <c r="G3173">
        <f>HYPERLINK("https://www.senat.fr/senateur-3eme-republique/limouzain_laplanche_pierre0400r3.html", "limouzain_laplanche_pierre0400r3")</f>
        <v>0</v>
      </c>
      <c r="H3173">
        <f>HYPERLINK("https://www.wikidata.org/wiki/Q3385965", "Q3385965")</f>
        <v>0</v>
      </c>
    </row>
    <row r="3174" spans="1:8">
      <c r="A3174" t="s">
        <v>3180</v>
      </c>
      <c r="B3174" t="s">
        <v>7717</v>
      </c>
      <c r="C3174" t="s">
        <v>10681</v>
      </c>
      <c r="D3174" t="s">
        <v>14290</v>
      </c>
      <c r="E3174" t="s">
        <v>16258</v>
      </c>
      <c r="F3174">
        <f>HYPERLINK("https://www2.assemblee-nationale.fr/sycomore/fiche/(num_dept)/7857", "7857.0")</f>
        <v>0</v>
      </c>
      <c r="G3174">
        <f>HYPERLINK("https://www.senat.fr/senateur-3eme-republique/linard_desire0173r3.html", "linard_desire0173r3")</f>
        <v>0</v>
      </c>
      <c r="H3174">
        <f>HYPERLINK("https://www.wikidata.org/wiki/Q3045178", "Q3045178")</f>
        <v>0</v>
      </c>
    </row>
    <row r="3175" spans="1:8">
      <c r="A3175" t="s">
        <v>3181</v>
      </c>
      <c r="B3175" t="s">
        <v>7718</v>
      </c>
      <c r="C3175" t="s">
        <v>9368</v>
      </c>
      <c r="D3175" t="s">
        <v>14291</v>
      </c>
      <c r="E3175" s="2">
        <v>7503</v>
      </c>
      <c r="G3175">
        <f>HYPERLINK("https://www.senat.fr/senateur-3eme-republique/lintilhac_eugene0361r3.html", "lintilhac_eugene0361r3")</f>
        <v>0</v>
      </c>
      <c r="H3175">
        <f>HYPERLINK("https://www.wikidata.org/wiki/Q3059994", "Q3059994")</f>
        <v>0</v>
      </c>
    </row>
    <row r="3176" spans="1:8">
      <c r="A3176" t="s">
        <v>3182</v>
      </c>
      <c r="B3176" t="s">
        <v>7719</v>
      </c>
      <c r="C3176" t="s">
        <v>7754</v>
      </c>
      <c r="D3176" t="s">
        <v>14292</v>
      </c>
      <c r="E3176" s="2">
        <v>22737</v>
      </c>
      <c r="G3176">
        <f>HYPERLINK("https://www.senat.fr/senateur-3eme-republique/linyer_louis1278r3.html", "linyer_louis1278r3")</f>
        <v>0</v>
      </c>
      <c r="H3176">
        <f>HYPERLINK("https://www.wikidata.org/wiki/Q3262543", "Q3262543")</f>
        <v>0</v>
      </c>
    </row>
    <row r="3177" spans="1:8">
      <c r="A3177" t="s">
        <v>3183</v>
      </c>
      <c r="B3177" t="s">
        <v>7720</v>
      </c>
      <c r="C3177" t="s">
        <v>9324</v>
      </c>
      <c r="D3177" t="s">
        <v>14293</v>
      </c>
      <c r="E3177" t="s">
        <v>16259</v>
      </c>
      <c r="F3177">
        <f>HYPERLINK("https://www2.assemblee-nationale.fr/sycomore/fiche/(num_dept)/7994", "7994.0")</f>
        <v>0</v>
      </c>
      <c r="H3177">
        <f>HYPERLINK("https://www.wikidata.org/wiki/Q3131496", "Q3131496")</f>
        <v>0</v>
      </c>
    </row>
    <row r="3178" spans="1:8">
      <c r="A3178" t="s">
        <v>3184</v>
      </c>
      <c r="B3178" t="s">
        <v>7720</v>
      </c>
      <c r="C3178" t="s">
        <v>6888</v>
      </c>
      <c r="D3178" t="s">
        <v>14294</v>
      </c>
      <c r="E3178" s="2">
        <v>17393</v>
      </c>
      <c r="F3178">
        <f>HYPERLINK("https://www2.assemblee-nationale.fr/sycomore/fiche/(num_dept)/7861", "7861.0")</f>
        <v>0</v>
      </c>
      <c r="H3178">
        <f>HYPERLINK("https://www.wikidata.org/wiki/Q3092513", "Q3092513")</f>
        <v>0</v>
      </c>
    </row>
    <row r="3179" spans="1:8">
      <c r="A3179" t="s">
        <v>3185</v>
      </c>
      <c r="B3179" t="s">
        <v>7721</v>
      </c>
      <c r="C3179" t="s">
        <v>9368</v>
      </c>
      <c r="D3179" t="s">
        <v>14295</v>
      </c>
      <c r="E3179" t="s">
        <v>16260</v>
      </c>
      <c r="G3179">
        <f>HYPERLINK("https://www.senat.fr/senateur-3eme-republique/lisbonne_eugene0237r3.html", "lisbonne_eugene0237r3")</f>
        <v>0</v>
      </c>
      <c r="H3179">
        <f>HYPERLINK("https://www.wikidata.org/wiki/Q3059999", "Q3059999")</f>
        <v>0</v>
      </c>
    </row>
    <row r="3180" spans="1:8">
      <c r="A3180" t="s">
        <v>3186</v>
      </c>
      <c r="B3180" t="s">
        <v>7722</v>
      </c>
      <c r="C3180" t="s">
        <v>9868</v>
      </c>
      <c r="D3180" t="s">
        <v>14296</v>
      </c>
      <c r="E3180" s="2">
        <v>17522</v>
      </c>
      <c r="G3180">
        <f>HYPERLINK("https://www.senat.fr/senateur-3eme-republique/lisbonne_emile0723r3.html", "lisbonne_emile0723r3")</f>
        <v>0</v>
      </c>
      <c r="H3180">
        <f>HYPERLINK("https://www.wikidata.org/wiki/Q3588624", "Q3588624")</f>
        <v>0</v>
      </c>
    </row>
    <row r="3181" spans="1:8">
      <c r="A3181" t="s">
        <v>3187</v>
      </c>
      <c r="B3181" t="s">
        <v>7723</v>
      </c>
      <c r="C3181" t="s">
        <v>9324</v>
      </c>
      <c r="D3181" t="s">
        <v>13932</v>
      </c>
      <c r="E3181" s="2">
        <v>11431</v>
      </c>
      <c r="F3181">
        <f>HYPERLINK("https://www2.assemblee-nationale.fr/sycomore/fiche/(num_dept)/7867", "7867.0")</f>
        <v>0</v>
      </c>
      <c r="H3181">
        <f>HYPERLINK("https://www.wikidata.org/wiki/Q3131497", "Q3131497")</f>
        <v>0</v>
      </c>
    </row>
    <row r="3182" spans="1:8">
      <c r="A3182" t="s">
        <v>3188</v>
      </c>
      <c r="B3182" t="s">
        <v>7724</v>
      </c>
      <c r="C3182" t="s">
        <v>7342</v>
      </c>
      <c r="D3182" t="s">
        <v>14297</v>
      </c>
      <c r="E3182" s="2">
        <v>25029</v>
      </c>
      <c r="F3182">
        <f>HYPERLINK("https://www2.assemblee-nationale.fr/sycomore/fiche/(num_dept)/7868", "7868.0")</f>
        <v>0</v>
      </c>
      <c r="G3182">
        <f>HYPERLINK("https://www.senat.fr/senateur-3eme-republique/lissar_jean1061r3.html", "lissar_jean1061r3")</f>
        <v>0</v>
      </c>
      <c r="H3182">
        <f>HYPERLINK("https://www.wikidata.org/wiki/Q3173228", "Q3173228")</f>
        <v>0</v>
      </c>
    </row>
    <row r="3183" spans="1:8">
      <c r="A3183" t="s">
        <v>3189</v>
      </c>
      <c r="B3183" t="s">
        <v>7725</v>
      </c>
      <c r="C3183" t="s">
        <v>8384</v>
      </c>
      <c r="D3183" t="s">
        <v>14298</v>
      </c>
      <c r="G3183">
        <f>HYPERLINK("https://www.senat.fr/senateur-3eme-republique/lizot_pierre1604r3.html", "lizot_pierre1604r3")</f>
        <v>0</v>
      </c>
      <c r="H3183">
        <f>HYPERLINK("https://www.wikidata.org/wiki/Q3385969", "Q3385969")</f>
        <v>0</v>
      </c>
    </row>
    <row r="3184" spans="1:8">
      <c r="A3184" t="s">
        <v>3190</v>
      </c>
      <c r="B3184" t="s">
        <v>7726</v>
      </c>
      <c r="C3184" t="s">
        <v>9471</v>
      </c>
      <c r="D3184" t="s">
        <v>14299</v>
      </c>
      <c r="E3184" s="2">
        <v>9247</v>
      </c>
      <c r="F3184">
        <f>HYPERLINK("https://www2.assemblee-nationale.fr/sycomore/fiche/(num_dept)/7874", "7874.0")</f>
        <v>0</v>
      </c>
      <c r="H3184">
        <f>HYPERLINK("https://www.wikidata.org/wiki/Q3188740", "Q3188740")</f>
        <v>0</v>
      </c>
    </row>
    <row r="3185" spans="1:8">
      <c r="A3185" t="s">
        <v>3191</v>
      </c>
      <c r="B3185" t="s">
        <v>7727</v>
      </c>
      <c r="C3185" t="s">
        <v>10682</v>
      </c>
      <c r="D3185" t="s">
        <v>14300</v>
      </c>
      <c r="E3185" s="2">
        <v>5075</v>
      </c>
      <c r="F3185">
        <f>HYPERLINK("https://www2.assemblee-nationale.fr/sycomore/fiche/(num_dept)/7875", "7875.0")</f>
        <v>0</v>
      </c>
      <c r="H3185">
        <f>HYPERLINK("https://www.wikidata.org/wiki/Q733836", "Q733836")</f>
        <v>0</v>
      </c>
    </row>
    <row r="3186" spans="1:8">
      <c r="A3186" t="s">
        <v>3192</v>
      </c>
      <c r="B3186" t="s">
        <v>7727</v>
      </c>
      <c r="C3186" t="s">
        <v>9454</v>
      </c>
      <c r="D3186" t="s">
        <v>14301</v>
      </c>
      <c r="E3186" s="2">
        <v>5075</v>
      </c>
      <c r="H3186">
        <f>HYPERLINK("https://www.wikidata.org/wiki/Q733836", "Q733836")</f>
        <v>0</v>
      </c>
    </row>
    <row r="3187" spans="1:8">
      <c r="A3187" t="s">
        <v>3193</v>
      </c>
      <c r="B3187" t="s">
        <v>7728</v>
      </c>
      <c r="C3187" t="s">
        <v>7342</v>
      </c>
      <c r="D3187" t="s">
        <v>14024</v>
      </c>
      <c r="E3187" s="2">
        <v>18133</v>
      </c>
      <c r="F3187">
        <f>HYPERLINK("https://www2.assemblee-nationale.fr/sycomore/fiche/(num_dept)/7876", "7876.0")</f>
        <v>0</v>
      </c>
      <c r="H3187">
        <f>HYPERLINK("https://www.wikidata.org/wiki/Q8318774", "Q8318774")</f>
        <v>0</v>
      </c>
    </row>
    <row r="3188" spans="1:8">
      <c r="A3188" t="s">
        <v>3194</v>
      </c>
      <c r="B3188" t="s">
        <v>7729</v>
      </c>
      <c r="C3188" t="s">
        <v>6864</v>
      </c>
      <c r="D3188" s="2">
        <v>13349</v>
      </c>
      <c r="H3188">
        <f>HYPERLINK("https://www.wikidata.org/wiki/Q3085190", "Q3085190")</f>
        <v>0</v>
      </c>
    </row>
    <row r="3189" spans="1:8">
      <c r="A3189" t="s">
        <v>3195</v>
      </c>
      <c r="B3189" t="s">
        <v>7730</v>
      </c>
      <c r="C3189" t="s">
        <v>10683</v>
      </c>
      <c r="D3189" t="s">
        <v>13992</v>
      </c>
      <c r="E3189" t="s">
        <v>15124</v>
      </c>
      <c r="F3189">
        <f>HYPERLINK("https://www2.assemblee-nationale.fr/sycomore/fiche/(num_dept)/8234", "8234.0")</f>
        <v>0</v>
      </c>
      <c r="H3189">
        <f>HYPERLINK("https://www.wikidata.org/wiki/Q3188742", "Q3188742")</f>
        <v>0</v>
      </c>
    </row>
    <row r="3190" spans="1:8">
      <c r="A3190" t="s">
        <v>3196</v>
      </c>
      <c r="B3190" t="s">
        <v>7731</v>
      </c>
      <c r="C3190" t="s">
        <v>9453</v>
      </c>
      <c r="D3190" t="s">
        <v>14302</v>
      </c>
      <c r="E3190" t="s">
        <v>16261</v>
      </c>
      <c r="H3190">
        <f>HYPERLINK("https://www.wikidata.org/wiki/Q3189574", "Q3189574")</f>
        <v>0</v>
      </c>
    </row>
    <row r="3191" spans="1:8">
      <c r="A3191" t="s">
        <v>3197</v>
      </c>
      <c r="B3191" t="s">
        <v>7732</v>
      </c>
      <c r="C3191" t="s">
        <v>10684</v>
      </c>
      <c r="D3191" t="s">
        <v>14303</v>
      </c>
      <c r="E3191" t="s">
        <v>13923</v>
      </c>
      <c r="F3191">
        <f>HYPERLINK("https://www2.assemblee-nationale.fr/sycomore/fiche/(num_dept)/8151", "8151.0")</f>
        <v>0</v>
      </c>
      <c r="H3191">
        <f>HYPERLINK("https://www.wikidata.org/wiki/Q16026005", "Q16026005")</f>
        <v>0</v>
      </c>
    </row>
    <row r="3192" spans="1:8">
      <c r="A3192" t="s">
        <v>3198</v>
      </c>
      <c r="B3192" t="s">
        <v>7732</v>
      </c>
      <c r="C3192" t="s">
        <v>10222</v>
      </c>
      <c r="D3192" t="s">
        <v>12480</v>
      </c>
      <c r="E3192" s="2">
        <v>6939</v>
      </c>
      <c r="F3192">
        <f>HYPERLINK("https://www2.assemblee-nationale.fr/sycomore/fiche/(num_dept)/7881", "7881.0")</f>
        <v>0</v>
      </c>
      <c r="H3192">
        <f>HYPERLINK("https://www.wikidata.org/wiki/Q16026006", "Q16026006")</f>
        <v>0</v>
      </c>
    </row>
    <row r="3193" spans="1:8">
      <c r="A3193" t="s">
        <v>3199</v>
      </c>
      <c r="B3193" t="s">
        <v>7733</v>
      </c>
      <c r="C3193" t="s">
        <v>7942</v>
      </c>
      <c r="D3193" t="s">
        <v>14304</v>
      </c>
      <c r="E3193" s="2">
        <v>8416</v>
      </c>
      <c r="F3193">
        <f>HYPERLINK("https://www2.assemblee-nationale.fr/sycomore/fiche/(num_dept)/7884", "7884.0")</f>
        <v>0</v>
      </c>
      <c r="H3193">
        <f>HYPERLINK("https://www.wikidata.org/wiki/Q692029", "Q692029")</f>
        <v>0</v>
      </c>
    </row>
    <row r="3194" spans="1:8">
      <c r="A3194" t="s">
        <v>3200</v>
      </c>
      <c r="B3194" t="s">
        <v>7734</v>
      </c>
      <c r="C3194" t="s">
        <v>10685</v>
      </c>
      <c r="D3194" t="s">
        <v>12564</v>
      </c>
      <c r="E3194" s="2">
        <v>21659</v>
      </c>
      <c r="F3194">
        <f>HYPERLINK("https://www2.assemblee-nationale.fr/sycomore/fiche/(num_dept)/7889", "7889.0")</f>
        <v>0</v>
      </c>
      <c r="H3194">
        <f>HYPERLINK("https://www.wikidata.org/wiki/Q3526668", "Q3526668")</f>
        <v>0</v>
      </c>
    </row>
    <row r="3195" spans="1:8">
      <c r="A3195" t="s">
        <v>3201</v>
      </c>
      <c r="B3195" t="s">
        <v>7734</v>
      </c>
      <c r="C3195" t="s">
        <v>7342</v>
      </c>
      <c r="D3195" t="s">
        <v>14305</v>
      </c>
      <c r="E3195" s="2">
        <v>14134</v>
      </c>
      <c r="F3195">
        <f>HYPERLINK("https://www2.assemblee-nationale.fr/sycomore/fiche/(num_dept)/7888", "7888.0")</f>
        <v>0</v>
      </c>
      <c r="H3195">
        <f>HYPERLINK("https://www.wikidata.org/wiki/Q465386", "Q465386")</f>
        <v>0</v>
      </c>
    </row>
    <row r="3196" spans="1:8">
      <c r="A3196" t="s">
        <v>3202</v>
      </c>
      <c r="B3196" t="s">
        <v>7735</v>
      </c>
      <c r="C3196" t="s">
        <v>10686</v>
      </c>
      <c r="D3196" t="s">
        <v>12489</v>
      </c>
      <c r="E3196" s="2">
        <v>13333</v>
      </c>
      <c r="F3196">
        <f>HYPERLINK("https://www2.assemblee-nationale.fr/sycomore/fiche/(num_dept)/4802", "4802.0")</f>
        <v>0</v>
      </c>
      <c r="H3196">
        <f>HYPERLINK("https://www.wikidata.org/wiki/Q3293821", "Q3293821")</f>
        <v>0</v>
      </c>
    </row>
    <row r="3197" spans="1:8">
      <c r="A3197" t="s">
        <v>3203</v>
      </c>
      <c r="B3197" t="s">
        <v>7736</v>
      </c>
      <c r="C3197" t="s">
        <v>10545</v>
      </c>
      <c r="D3197" t="s">
        <v>14306</v>
      </c>
      <c r="E3197" s="2">
        <v>3008</v>
      </c>
      <c r="F3197">
        <f>HYPERLINK("https://www2.assemblee-nationale.fr/sycomore/fiche/(num_dept)/7996", "7996.0")</f>
        <v>0</v>
      </c>
      <c r="H3197">
        <f>HYPERLINK("https://www.wikidata.org/wiki/Q16026007", "Q16026007")</f>
        <v>0</v>
      </c>
    </row>
    <row r="3198" spans="1:8">
      <c r="A3198" t="s">
        <v>3204</v>
      </c>
      <c r="B3198" t="s">
        <v>7737</v>
      </c>
      <c r="C3198" t="s">
        <v>6888</v>
      </c>
      <c r="D3198" t="s">
        <v>14307</v>
      </c>
      <c r="E3198" s="2">
        <v>7369</v>
      </c>
      <c r="G3198">
        <f>HYPERLINK("https://www.senat.fr/senateur-3eme-republique/lordereau_felix1844r3.html", "lordereau_felix1844r3")</f>
        <v>0</v>
      </c>
      <c r="H3198">
        <f>HYPERLINK("https://www.wikidata.org/wiki/Q3092515", "Q3092515")</f>
        <v>0</v>
      </c>
    </row>
    <row r="3199" spans="1:8">
      <c r="A3199" t="s">
        <v>3205</v>
      </c>
      <c r="B3199" t="s">
        <v>7738</v>
      </c>
      <c r="C3199" t="s">
        <v>9564</v>
      </c>
      <c r="D3199" t="s">
        <v>14308</v>
      </c>
      <c r="E3199" s="2">
        <v>8106</v>
      </c>
      <c r="F3199">
        <f>HYPERLINK("https://www2.assemblee-nationale.fr/sycomore/fiche/(num_dept)/4805", "4805.0")</f>
        <v>0</v>
      </c>
      <c r="H3199">
        <f>HYPERLINK("https://www.wikidata.org/wiki/Q2835279", "Q2835279")</f>
        <v>0</v>
      </c>
    </row>
    <row r="3200" spans="1:8">
      <c r="A3200" t="s">
        <v>3206</v>
      </c>
      <c r="B3200" t="s">
        <v>7739</v>
      </c>
      <c r="C3200" t="s">
        <v>9450</v>
      </c>
      <c r="D3200" t="s">
        <v>14309</v>
      </c>
      <c r="E3200" t="s">
        <v>16262</v>
      </c>
      <c r="F3200">
        <f>HYPERLINK("https://www2.assemblee-nationale.fr/sycomore/fiche/(num_dept)/4809", "4809.0")</f>
        <v>0</v>
      </c>
      <c r="H3200">
        <f>HYPERLINK("https://www.wikidata.org/wiki/Q2960624", "Q2960624")</f>
        <v>0</v>
      </c>
    </row>
    <row r="3201" spans="1:8">
      <c r="A3201" t="s">
        <v>3207</v>
      </c>
      <c r="B3201" t="s">
        <v>7740</v>
      </c>
      <c r="C3201" t="s">
        <v>5096</v>
      </c>
      <c r="D3201" t="s">
        <v>14310</v>
      </c>
      <c r="E3201" s="2">
        <v>26684</v>
      </c>
      <c r="F3201">
        <f>HYPERLINK("https://www2.assemblee-nationale.fr/sycomore/fiche/(num_dept)/4808", "4808.0")</f>
        <v>0</v>
      </c>
      <c r="H3201">
        <f>HYPERLINK("https://www.wikidata.org/wiki/Q2848176", "Q2848176")</f>
        <v>0</v>
      </c>
    </row>
    <row r="3202" spans="1:8">
      <c r="A3202" t="s">
        <v>3208</v>
      </c>
      <c r="B3202" t="s">
        <v>7741</v>
      </c>
      <c r="C3202" t="s">
        <v>7754</v>
      </c>
      <c r="D3202" t="s">
        <v>14311</v>
      </c>
      <c r="E3202" s="2">
        <v>12649</v>
      </c>
      <c r="F3202">
        <f>HYPERLINK("https://www2.assemblee-nationale.fr/sycomore/fiche/(num_dept)/4810", "4810.0")</f>
        <v>0</v>
      </c>
      <c r="H3202">
        <f>HYPERLINK("https://www.wikidata.org/wiki/Q16026009", "Q16026009")</f>
        <v>0</v>
      </c>
    </row>
    <row r="3203" spans="1:8">
      <c r="A3203" t="s">
        <v>3209</v>
      </c>
      <c r="B3203" t="s">
        <v>7742</v>
      </c>
      <c r="C3203" t="s">
        <v>9324</v>
      </c>
      <c r="D3203" t="s">
        <v>14312</v>
      </c>
      <c r="E3203" s="2">
        <v>11810</v>
      </c>
      <c r="F3203">
        <f>HYPERLINK("https://www2.assemblee-nationale.fr/sycomore/fiche/(num_dept)/4811", "4811.0")</f>
        <v>0</v>
      </c>
      <c r="H3203">
        <f>HYPERLINK("https://www.wikidata.org/wiki/Q8301528", "Q8301528")</f>
        <v>0</v>
      </c>
    </row>
    <row r="3204" spans="1:8">
      <c r="A3204" t="s">
        <v>3210</v>
      </c>
      <c r="B3204" t="s">
        <v>7743</v>
      </c>
      <c r="C3204" t="s">
        <v>9355</v>
      </c>
      <c r="D3204" t="s">
        <v>14313</v>
      </c>
      <c r="E3204" s="2">
        <v>11201</v>
      </c>
      <c r="F3204">
        <f>HYPERLINK("https://www2.assemblee-nationale.fr/sycomore/fiche/(num_dept)/4812", "4812.0")</f>
        <v>0</v>
      </c>
      <c r="H3204">
        <f>HYPERLINK("https://www.wikidata.org/wiki/Q2959663", "Q2959663")</f>
        <v>0</v>
      </c>
    </row>
    <row r="3205" spans="1:8">
      <c r="A3205" t="s">
        <v>3211</v>
      </c>
      <c r="B3205" t="s">
        <v>7744</v>
      </c>
      <c r="C3205" t="s">
        <v>9346</v>
      </c>
      <c r="D3205" t="s">
        <v>14314</v>
      </c>
      <c r="E3205" t="s">
        <v>16263</v>
      </c>
      <c r="F3205">
        <f>HYPERLINK("https://www2.assemblee-nationale.fr/sycomore/fiche/(num_dept)/7995", "7995.0")</f>
        <v>0</v>
      </c>
      <c r="H3205">
        <f>HYPERLINK("https://www.wikidata.org/wiki/Q3579939", "Q3579939")</f>
        <v>0</v>
      </c>
    </row>
    <row r="3206" spans="1:8">
      <c r="A3206" t="s">
        <v>3212</v>
      </c>
      <c r="B3206" t="s">
        <v>7744</v>
      </c>
      <c r="C3206" t="s">
        <v>9587</v>
      </c>
      <c r="D3206" t="s">
        <v>14315</v>
      </c>
      <c r="E3206" t="s">
        <v>16264</v>
      </c>
      <c r="F3206">
        <f>HYPERLINK("https://www2.assemblee-nationale.fr/sycomore/fiche/(num_dept)/4813", "4813.0")</f>
        <v>0</v>
      </c>
      <c r="H3206">
        <f>HYPERLINK("https://www.wikidata.org/wiki/Q3588627", "Q3588627")</f>
        <v>0</v>
      </c>
    </row>
    <row r="3207" spans="1:8">
      <c r="A3207" t="s">
        <v>3213</v>
      </c>
      <c r="B3207" t="s">
        <v>7744</v>
      </c>
      <c r="C3207" t="s">
        <v>9982</v>
      </c>
      <c r="D3207" t="s">
        <v>14316</v>
      </c>
      <c r="E3207" s="2">
        <v>3329</v>
      </c>
      <c r="F3207">
        <f>HYPERLINK("https://www2.assemblee-nationale.fr/sycomore/fiche/(num_dept)/4814", "4814.0")</f>
        <v>0</v>
      </c>
      <c r="H3207">
        <f>HYPERLINK("https://www.wikidata.org/wiki/Q3271252", "Q3271252")</f>
        <v>0</v>
      </c>
    </row>
    <row r="3208" spans="1:8">
      <c r="A3208" t="s">
        <v>3214</v>
      </c>
      <c r="B3208" t="s">
        <v>7745</v>
      </c>
      <c r="C3208" t="s">
        <v>8384</v>
      </c>
      <c r="D3208" t="s">
        <v>14317</v>
      </c>
      <c r="E3208" s="2">
        <v>862</v>
      </c>
      <c r="F3208">
        <f>HYPERLINK("https://www2.assemblee-nationale.fr/sycomore/fiche/(num_dept)/4815", "4815.0")</f>
        <v>0</v>
      </c>
      <c r="H3208">
        <f>HYPERLINK("https://www.wikidata.org/wiki/Q8342609", "Q8342609")</f>
        <v>0</v>
      </c>
    </row>
    <row r="3209" spans="1:8">
      <c r="A3209" t="s">
        <v>3215</v>
      </c>
      <c r="B3209" t="s">
        <v>7746</v>
      </c>
      <c r="C3209" t="s">
        <v>9524</v>
      </c>
      <c r="D3209" t="s">
        <v>14318</v>
      </c>
      <c r="E3209" s="2">
        <v>8771</v>
      </c>
      <c r="F3209">
        <f>HYPERLINK("https://www2.assemblee-nationale.fr/sycomore/fiche/(num_dept)/4818", "4818.0")</f>
        <v>0</v>
      </c>
      <c r="H3209">
        <f>HYPERLINK("https://www.wikidata.org/wiki/Q3588628", "Q3588628")</f>
        <v>0</v>
      </c>
    </row>
    <row r="3210" spans="1:8">
      <c r="A3210" t="s">
        <v>3216</v>
      </c>
      <c r="B3210" t="s">
        <v>7747</v>
      </c>
      <c r="C3210" t="s">
        <v>9430</v>
      </c>
      <c r="D3210" t="s">
        <v>14319</v>
      </c>
      <c r="E3210" s="2">
        <v>24605</v>
      </c>
      <c r="F3210">
        <f>HYPERLINK("https://www2.assemblee-nationale.fr/sycomore/fiche/(num_dept)/4820", "4820.0")</f>
        <v>0</v>
      </c>
      <c r="H3210">
        <f>HYPERLINK("https://www.wikidata.org/wiki/Q3371708", "Q3371708")</f>
        <v>0</v>
      </c>
    </row>
    <row r="3211" spans="1:8">
      <c r="A3211" t="s">
        <v>3217</v>
      </c>
      <c r="B3211" t="s">
        <v>7748</v>
      </c>
      <c r="C3211" t="s">
        <v>10687</v>
      </c>
      <c r="D3211" t="s">
        <v>13400</v>
      </c>
      <c r="E3211" s="2">
        <v>19062</v>
      </c>
      <c r="F3211">
        <f>HYPERLINK("https://www2.assemblee-nationale.fr/sycomore/fiche/(num_dept)/4821", "4821.0")</f>
        <v>0</v>
      </c>
      <c r="H3211">
        <f>HYPERLINK("https://www.wikidata.org/wiki/Q16026614", "Q16026614")</f>
        <v>0</v>
      </c>
    </row>
    <row r="3212" spans="1:8">
      <c r="A3212" t="s">
        <v>3218</v>
      </c>
      <c r="B3212" t="s">
        <v>7749</v>
      </c>
      <c r="C3212" t="s">
        <v>8384</v>
      </c>
      <c r="D3212" t="s">
        <v>14320</v>
      </c>
      <c r="E3212" s="2">
        <v>18538</v>
      </c>
      <c r="G3212">
        <f>HYPERLINK("https://www.senat.fr/senateur-3eme-republique/loubat_pierre1698r3.html", "loubat_pierre1698r3")</f>
        <v>0</v>
      </c>
      <c r="H3212">
        <f>HYPERLINK("https://www.wikidata.org/wiki/Q3385994", "Q3385994")</f>
        <v>0</v>
      </c>
    </row>
    <row r="3213" spans="1:8">
      <c r="A3213" t="s">
        <v>3219</v>
      </c>
      <c r="B3213" t="s">
        <v>7750</v>
      </c>
      <c r="C3213" t="s">
        <v>9524</v>
      </c>
      <c r="D3213" t="s">
        <v>14321</v>
      </c>
      <c r="E3213" s="2">
        <v>10947</v>
      </c>
      <c r="F3213">
        <f>HYPERLINK("https://www2.assemblee-nationale.fr/sycomore/fiche/(num_dept)/8117", "8117.0")</f>
        <v>0</v>
      </c>
      <c r="G3213">
        <f>HYPERLINK("https://www.senat.fr/senateur-3eme-republique/loubet_emile0714r3.html", "loubet_emile0714r3")</f>
        <v>0</v>
      </c>
      <c r="H3213">
        <f>HYPERLINK("https://www.wikidata.org/wiki/Q169502", "Q169502")</f>
        <v>0</v>
      </c>
    </row>
    <row r="3214" spans="1:8">
      <c r="A3214" t="s">
        <v>3220</v>
      </c>
      <c r="B3214" t="s">
        <v>7751</v>
      </c>
      <c r="C3214" t="s">
        <v>9373</v>
      </c>
      <c r="D3214" t="s">
        <v>14322</v>
      </c>
      <c r="E3214" s="2">
        <v>15393</v>
      </c>
      <c r="G3214">
        <f>HYPERLINK("https://www.senat.fr/senateur-3eme-republique/loubet_joseph0625r3.html", "loubet_joseph0625r3")</f>
        <v>0</v>
      </c>
      <c r="H3214">
        <f>HYPERLINK("https://www.wikidata.org/wiki/Q3185259", "Q3185259")</f>
        <v>0</v>
      </c>
    </row>
    <row r="3215" spans="1:8">
      <c r="A3215" t="s">
        <v>3221</v>
      </c>
      <c r="B3215" t="s">
        <v>7752</v>
      </c>
      <c r="C3215" t="s">
        <v>7754</v>
      </c>
      <c r="D3215" t="s">
        <v>14323</v>
      </c>
      <c r="E3215" s="2">
        <v>11649</v>
      </c>
      <c r="F3215">
        <f>HYPERLINK("https://www2.assemblee-nationale.fr/sycomore/fiche/(num_dept)/4823", "4823.0")</f>
        <v>0</v>
      </c>
      <c r="H3215">
        <f>HYPERLINK("https://www.wikidata.org/wiki/Q2788498", "Q2788498")</f>
        <v>0</v>
      </c>
    </row>
    <row r="3216" spans="1:8">
      <c r="A3216" t="s">
        <v>3222</v>
      </c>
      <c r="B3216" t="s">
        <v>7753</v>
      </c>
      <c r="C3216" t="s">
        <v>7754</v>
      </c>
      <c r="D3216" t="s">
        <v>14324</v>
      </c>
      <c r="E3216" s="2">
        <v>14925</v>
      </c>
      <c r="F3216">
        <f>HYPERLINK("https://www2.assemblee-nationale.fr/sycomore/fiche/(num_dept)/4826", "4826.0")</f>
        <v>0</v>
      </c>
      <c r="G3216">
        <f>HYPERLINK("https://www.senat.fr/senateur-3eme-republique/louis_dreyfus_louis0119r3.html", "louis_dreyfus_louis0119r3")</f>
        <v>0</v>
      </c>
      <c r="H3216">
        <f>HYPERLINK("https://www.wikidata.org/wiki/Q3262554", "Q3262554")</f>
        <v>0</v>
      </c>
    </row>
    <row r="3217" spans="1:8">
      <c r="A3217" t="s">
        <v>3223</v>
      </c>
      <c r="B3217" t="s">
        <v>7754</v>
      </c>
      <c r="C3217" t="s">
        <v>9512</v>
      </c>
      <c r="D3217" t="s">
        <v>14325</v>
      </c>
      <c r="E3217" s="2">
        <v>16142</v>
      </c>
      <c r="F3217">
        <f>HYPERLINK("https://www2.assemblee-nationale.fr/sycomore/fiche/(num_dept)/4825", "4825.0")</f>
        <v>0</v>
      </c>
      <c r="H3217">
        <f>HYPERLINK("https://www.wikidata.org/wiki/Q16026011", "Q16026011")</f>
        <v>0</v>
      </c>
    </row>
    <row r="3218" spans="1:8">
      <c r="A3218" t="s">
        <v>3224</v>
      </c>
      <c r="B3218" t="s">
        <v>7755</v>
      </c>
      <c r="C3218" t="s">
        <v>10688</v>
      </c>
      <c r="D3218" t="s">
        <v>14326</v>
      </c>
      <c r="E3218" s="2">
        <v>4226</v>
      </c>
      <c r="F3218">
        <f>HYPERLINK("https://www2.assemblee-nationale.fr/sycomore/fiche/(num_dept)/6173", "6173.0")</f>
        <v>0</v>
      </c>
      <c r="H3218">
        <f>HYPERLINK("https://www.wikidata.org/wiki/Q100420800", "Q100420800")</f>
        <v>0</v>
      </c>
    </row>
    <row r="3219" spans="1:8">
      <c r="A3219" t="s">
        <v>3225</v>
      </c>
      <c r="B3219" t="s">
        <v>7756</v>
      </c>
      <c r="C3219" t="s">
        <v>9324</v>
      </c>
      <c r="D3219" t="s">
        <v>12132</v>
      </c>
      <c r="E3219" s="2">
        <v>8094</v>
      </c>
      <c r="F3219">
        <f>HYPERLINK("https://www2.assemblee-nationale.fr/sycomore/fiche/(num_dept)/4828", "4828.0")</f>
        <v>0</v>
      </c>
      <c r="H3219">
        <f>HYPERLINK("https://www.wikidata.org/wiki/Q16026012", "Q16026012")</f>
        <v>0</v>
      </c>
    </row>
    <row r="3220" spans="1:8">
      <c r="A3220" t="s">
        <v>3226</v>
      </c>
      <c r="B3220" t="s">
        <v>7757</v>
      </c>
      <c r="C3220" t="s">
        <v>5058</v>
      </c>
      <c r="D3220" t="s">
        <v>11532</v>
      </c>
      <c r="E3220" s="2">
        <v>10048</v>
      </c>
      <c r="F3220">
        <f>HYPERLINK("https://www2.assemblee-nationale.fr/sycomore/fiche/(num_dept)/4829", "4829.0")</f>
        <v>0</v>
      </c>
      <c r="G3220">
        <f>HYPERLINK("https://www.senat.fr/senateur-3eme-republique/louppe_albert0786r3.html", "louppe_albert0786r3")</f>
        <v>0</v>
      </c>
      <c r="H3220">
        <f>HYPERLINK("https://www.wikidata.org/wiki/Q2831353", "Q2831353")</f>
        <v>0</v>
      </c>
    </row>
    <row r="3221" spans="1:8">
      <c r="A3221" t="s">
        <v>3227</v>
      </c>
      <c r="B3221" t="s">
        <v>7758</v>
      </c>
      <c r="C3221" t="s">
        <v>9438</v>
      </c>
      <c r="D3221" t="s">
        <v>14327</v>
      </c>
      <c r="E3221" s="2">
        <v>8158</v>
      </c>
      <c r="G3221">
        <f>HYPERLINK("https://www.senat.fr/senateur-3eme-republique/lourties_victor0343r3.html", "lourties_victor0343r3")</f>
        <v>0</v>
      </c>
      <c r="H3221">
        <f>HYPERLINK("https://www.wikidata.org/wiki/Q3557423", "Q3557423")</f>
        <v>0</v>
      </c>
    </row>
    <row r="3222" spans="1:8">
      <c r="A3222" t="s">
        <v>3228</v>
      </c>
      <c r="B3222" t="s">
        <v>7759</v>
      </c>
      <c r="C3222" t="s">
        <v>9438</v>
      </c>
      <c r="D3222" t="s">
        <v>14328</v>
      </c>
      <c r="E3222" s="2">
        <v>19733</v>
      </c>
      <c r="G3222">
        <f>HYPERLINK("https://www.senat.fr/senateur-3eme-republique/lourties_victor0347r3.html", "lourties_victor0347r3")</f>
        <v>0</v>
      </c>
      <c r="H3222">
        <f>HYPERLINK("https://www.wikidata.org/wiki/Q3557428", "Q3557428")</f>
        <v>0</v>
      </c>
    </row>
    <row r="3223" spans="1:8">
      <c r="A3223" t="s">
        <v>3229</v>
      </c>
      <c r="B3223" t="s">
        <v>7760</v>
      </c>
      <c r="C3223" t="s">
        <v>9503</v>
      </c>
      <c r="D3223" t="s">
        <v>14329</v>
      </c>
      <c r="E3223" t="s">
        <v>16265</v>
      </c>
      <c r="F3223">
        <f>HYPERLINK("https://www2.assemblee-nationale.fr/sycomore/fiche/(num_dept)/4830", "4830.0")</f>
        <v>0</v>
      </c>
      <c r="H3223">
        <f>HYPERLINK("https://www.wikidata.org/wiki/Q16026013", "Q16026013")</f>
        <v>0</v>
      </c>
    </row>
    <row r="3224" spans="1:8">
      <c r="A3224" t="s">
        <v>3230</v>
      </c>
      <c r="B3224" t="s">
        <v>7760</v>
      </c>
      <c r="C3224" t="s">
        <v>7754</v>
      </c>
      <c r="D3224" t="s">
        <v>14330</v>
      </c>
      <c r="E3224" s="2">
        <v>12365</v>
      </c>
      <c r="F3224">
        <f>HYPERLINK("https://www2.assemblee-nationale.fr/sycomore/fiche/(num_dept)/4831", "4831.0")</f>
        <v>0</v>
      </c>
      <c r="H3224">
        <f>HYPERLINK("https://www.wikidata.org/wiki/Q16026014", "Q16026014")</f>
        <v>0</v>
      </c>
    </row>
    <row r="3225" spans="1:8">
      <c r="A3225" t="s">
        <v>3231</v>
      </c>
      <c r="B3225" t="s">
        <v>7761</v>
      </c>
      <c r="C3225" t="s">
        <v>10689</v>
      </c>
      <c r="D3225" t="s">
        <v>11885</v>
      </c>
      <c r="E3225" s="2">
        <v>11401</v>
      </c>
      <c r="F3225">
        <f>HYPERLINK("https://www2.assemblee-nationale.fr/sycomore/fiche/(num_dept)/7595", "7595.0")</f>
        <v>0</v>
      </c>
      <c r="H3225">
        <f>HYPERLINK("https://www.wikidata.org/wiki/Q3188719", "Q3188719")</f>
        <v>0</v>
      </c>
    </row>
    <row r="3226" spans="1:8">
      <c r="A3226" t="s">
        <v>3232</v>
      </c>
      <c r="B3226" t="s">
        <v>7762</v>
      </c>
      <c r="C3226" t="s">
        <v>9332</v>
      </c>
      <c r="D3226" t="s">
        <v>14327</v>
      </c>
      <c r="E3226" s="2">
        <v>809</v>
      </c>
      <c r="F3226">
        <f>HYPERLINK("https://www2.assemblee-nationale.fr/sycomore/fiche/(num_dept)/4836", "4836.0")</f>
        <v>0</v>
      </c>
      <c r="H3226">
        <f>HYPERLINK("https://www.wikidata.org/wiki/Q8311626", "Q8311626")</f>
        <v>0</v>
      </c>
    </row>
    <row r="3227" spans="1:8">
      <c r="A3227" t="s">
        <v>3233</v>
      </c>
      <c r="B3227" t="s">
        <v>7763</v>
      </c>
      <c r="C3227" t="s">
        <v>9324</v>
      </c>
      <c r="D3227" t="s">
        <v>14331</v>
      </c>
      <c r="E3227" s="2">
        <v>5505</v>
      </c>
      <c r="F3227">
        <f>HYPERLINK("https://www2.assemblee-nationale.fr/sycomore/fiche/(num_dept)/4837", "4837.0")</f>
        <v>0</v>
      </c>
      <c r="G3227">
        <f>HYPERLINK("https://www.senat.fr/senateur-3eme-republique/loze_henri1421r3.html", "loze_henri1421r3")</f>
        <v>0</v>
      </c>
      <c r="H3227">
        <f>HYPERLINK("https://www.wikidata.org/wiki/Q3131524", "Q3131524")</f>
        <v>0</v>
      </c>
    </row>
    <row r="3228" spans="1:8">
      <c r="A3228" t="s">
        <v>3234</v>
      </c>
      <c r="B3228" t="s">
        <v>7764</v>
      </c>
      <c r="C3228" t="s">
        <v>10690</v>
      </c>
      <c r="D3228" t="s">
        <v>14332</v>
      </c>
      <c r="E3228" s="2">
        <v>18365</v>
      </c>
      <c r="F3228">
        <f>HYPERLINK("https://www2.assemblee-nationale.fr/sycomore/fiche/(num_dept)/4839", "4839.0")</f>
        <v>0</v>
      </c>
      <c r="H3228">
        <f>HYPERLINK("https://www.wikidata.org/wiki/Q3160364", "Q3160364")</f>
        <v>0</v>
      </c>
    </row>
    <row r="3229" spans="1:8">
      <c r="A3229" t="s">
        <v>3235</v>
      </c>
      <c r="B3229" t="s">
        <v>7765</v>
      </c>
      <c r="C3229" t="s">
        <v>10691</v>
      </c>
      <c r="D3229" t="s">
        <v>14333</v>
      </c>
      <c r="E3229" s="2">
        <v>20421</v>
      </c>
      <c r="F3229">
        <f>HYPERLINK("https://www2.assemblee-nationale.fr/sycomore/fiche/(num_dept)/4843", "4843.0")</f>
        <v>0</v>
      </c>
      <c r="H3229">
        <f>HYPERLINK("https://www.wikidata.org/wiki/Q3348843", "Q3348843")</f>
        <v>0</v>
      </c>
    </row>
    <row r="3230" spans="1:8">
      <c r="A3230" t="s">
        <v>3236</v>
      </c>
      <c r="B3230" t="s">
        <v>7766</v>
      </c>
      <c r="C3230" t="s">
        <v>7314</v>
      </c>
      <c r="D3230" t="s">
        <v>14334</v>
      </c>
      <c r="E3230" t="s">
        <v>16266</v>
      </c>
      <c r="G3230">
        <f>HYPERLINK("https://www.senat.fr/senateur-3eme-republique/lucet_jacques0690r3.html", "lucet_jacques0690r3")</f>
        <v>0</v>
      </c>
      <c r="H3230">
        <f>HYPERLINK("https://www.wikidata.org/wiki/Q16026017", "Q16026017")</f>
        <v>0</v>
      </c>
    </row>
    <row r="3231" spans="1:8">
      <c r="A3231" t="s">
        <v>3237</v>
      </c>
      <c r="B3231" t="s">
        <v>7767</v>
      </c>
      <c r="C3231" t="s">
        <v>10692</v>
      </c>
      <c r="D3231" t="s">
        <v>12751</v>
      </c>
      <c r="E3231" s="2">
        <v>20224</v>
      </c>
      <c r="F3231">
        <f>HYPERLINK("https://www2.assemblee-nationale.fr/sycomore/fiche/(num_dept)/4849", "4849.0")</f>
        <v>0</v>
      </c>
      <c r="H3231">
        <f>HYPERLINK("https://www.wikidata.org/wiki/Q3427060", "Q3427060")</f>
        <v>0</v>
      </c>
    </row>
    <row r="3232" spans="1:8">
      <c r="A3232" t="s">
        <v>3238</v>
      </c>
      <c r="B3232" t="s">
        <v>7768</v>
      </c>
      <c r="C3232" t="s">
        <v>10693</v>
      </c>
      <c r="D3232" t="s">
        <v>14335</v>
      </c>
      <c r="E3232" s="2">
        <v>5619</v>
      </c>
      <c r="F3232">
        <f>HYPERLINK("https://www2.assemblee-nationale.fr/sycomore/fiche/(num_dept)/4848", "4848.0")</f>
        <v>0</v>
      </c>
      <c r="H3232">
        <f>HYPERLINK("https://www.wikidata.org/wiki/Q3069783", "Q3069783")</f>
        <v>0</v>
      </c>
    </row>
    <row r="3233" spans="1:8">
      <c r="A3233" t="s">
        <v>3239</v>
      </c>
      <c r="B3233" t="s">
        <v>7769</v>
      </c>
      <c r="C3233" t="s">
        <v>10694</v>
      </c>
      <c r="D3233" t="s">
        <v>14210</v>
      </c>
      <c r="E3233" s="2">
        <v>18474</v>
      </c>
      <c r="F3233">
        <f>HYPERLINK("https://www2.assemblee-nationale.fr/sycomore/fiche/(num_dept)/4850", "4850.0")</f>
        <v>0</v>
      </c>
      <c r="G3233">
        <f>HYPERLINK("https://www.senat.fr/senateur-3eme-republique/lugol_georges1591r3.html", "lugol_georges1591r3")</f>
        <v>0</v>
      </c>
      <c r="H3233">
        <f>HYPERLINK("https://www.wikidata.org/wiki/Q3188745", "Q3188745")</f>
        <v>0</v>
      </c>
    </row>
    <row r="3234" spans="1:8">
      <c r="A3234" t="s">
        <v>3240</v>
      </c>
      <c r="B3234" t="s">
        <v>7770</v>
      </c>
      <c r="C3234" t="s">
        <v>10695</v>
      </c>
      <c r="D3234" t="s">
        <v>14336</v>
      </c>
      <c r="E3234" s="2">
        <v>10925</v>
      </c>
      <c r="F3234">
        <f>HYPERLINK("https://www2.assemblee-nationale.fr/sycomore/fiche/(num_dept)/4852", "4852.0")</f>
        <v>0</v>
      </c>
      <c r="H3234">
        <f>HYPERLINK("https://www.wikidata.org/wiki/Q16026018", "Q16026018")</f>
        <v>0</v>
      </c>
    </row>
    <row r="3235" spans="1:8">
      <c r="A3235" t="s">
        <v>3241</v>
      </c>
      <c r="B3235" t="s">
        <v>7771</v>
      </c>
      <c r="C3235" t="s">
        <v>10696</v>
      </c>
      <c r="D3235" t="s">
        <v>14337</v>
      </c>
      <c r="E3235" s="2">
        <v>4691</v>
      </c>
      <c r="F3235">
        <f>HYPERLINK("https://www2.assemblee-nationale.fr/sycomore/fiche/(num_dept)/7998", "7998.0")</f>
        <v>0</v>
      </c>
      <c r="H3235">
        <f>HYPERLINK("https://www.wikidata.org/wiki/Q3184329", "Q3184329")</f>
        <v>0</v>
      </c>
    </row>
    <row r="3236" spans="1:8">
      <c r="A3236" t="s">
        <v>3242</v>
      </c>
      <c r="B3236" t="s">
        <v>7772</v>
      </c>
      <c r="C3236" t="s">
        <v>9429</v>
      </c>
      <c r="D3236" t="s">
        <v>14338</v>
      </c>
      <c r="E3236" s="2">
        <v>11138</v>
      </c>
      <c r="F3236">
        <f>HYPERLINK("https://www2.assemblee-nationale.fr/sycomore/fiche/(num_dept)/4854", "4854.0")</f>
        <v>0</v>
      </c>
      <c r="H3236">
        <f>HYPERLINK("https://www.wikidata.org/wiki/Q13080262", "Q13080262")</f>
        <v>0</v>
      </c>
    </row>
    <row r="3237" spans="1:8">
      <c r="A3237" t="s">
        <v>3243</v>
      </c>
      <c r="B3237" t="s">
        <v>7773</v>
      </c>
      <c r="C3237" t="s">
        <v>10171</v>
      </c>
      <c r="D3237" t="s">
        <v>14339</v>
      </c>
      <c r="E3237" s="2">
        <v>16430</v>
      </c>
      <c r="F3237">
        <f>HYPERLINK("https://www2.assemblee-nationale.fr/sycomore/fiche/(num_dept)/4855", "4855.0")</f>
        <v>0</v>
      </c>
      <c r="H3237">
        <f>HYPERLINK("https://www.wikidata.org/wiki/Q3190468", "Q3190468")</f>
        <v>0</v>
      </c>
    </row>
    <row r="3238" spans="1:8">
      <c r="A3238" t="s">
        <v>3244</v>
      </c>
      <c r="B3238" t="s">
        <v>7774</v>
      </c>
      <c r="C3238" t="s">
        <v>10697</v>
      </c>
      <c r="D3238" t="s">
        <v>14340</v>
      </c>
      <c r="E3238" t="s">
        <v>16267</v>
      </c>
      <c r="F3238">
        <f>HYPERLINK("https://www2.assemblee-nationale.fr/sycomore/fiche/(num_dept)/4857", "4857.0")</f>
        <v>0</v>
      </c>
      <c r="H3238">
        <f>HYPERLINK("https://www.wikidata.org/wiki/Q2844622", "Q2844622")</f>
        <v>0</v>
      </c>
    </row>
    <row r="3239" spans="1:8">
      <c r="A3239" t="s">
        <v>3245</v>
      </c>
      <c r="B3239" t="s">
        <v>7775</v>
      </c>
      <c r="C3239" t="s">
        <v>9438</v>
      </c>
      <c r="D3239" t="s">
        <v>14341</v>
      </c>
      <c r="E3239" s="2">
        <v>1340</v>
      </c>
      <c r="G3239">
        <f>HYPERLINK("https://www.senat.fr/senateur-3eme-republique/luro_victor1507r3.html", "luro_victor1507r3")</f>
        <v>0</v>
      </c>
      <c r="H3239">
        <f>HYPERLINK("https://www.wikidata.org/wiki/Q3557429", "Q3557429")</f>
        <v>0</v>
      </c>
    </row>
    <row r="3240" spans="1:8">
      <c r="A3240" t="s">
        <v>3246</v>
      </c>
      <c r="B3240" t="s">
        <v>7776</v>
      </c>
      <c r="C3240" t="s">
        <v>7262</v>
      </c>
      <c r="D3240" t="s">
        <v>14342</v>
      </c>
      <c r="E3240" s="2">
        <v>12621</v>
      </c>
      <c r="H3240">
        <f>HYPERLINK("https://www.wikidata.org/wiki/Q265104", "Q265104")</f>
        <v>0</v>
      </c>
    </row>
    <row r="3241" spans="1:8">
      <c r="A3241" t="s">
        <v>3247</v>
      </c>
      <c r="B3241" t="s">
        <v>7777</v>
      </c>
      <c r="C3241" t="s">
        <v>5096</v>
      </c>
      <c r="D3241" t="s">
        <v>14343</v>
      </c>
      <c r="F3241">
        <f>HYPERLINK("https://www2.assemblee-nationale.fr/sycomore/fiche/(num_dept)/7997", "7997.0")</f>
        <v>0</v>
      </c>
      <c r="H3241">
        <f>HYPERLINK("https://www.wikidata.org/wiki/Q16026019", "Q16026019")</f>
        <v>0</v>
      </c>
    </row>
    <row r="3242" spans="1:8">
      <c r="A3242" t="s">
        <v>3248</v>
      </c>
      <c r="B3242" t="s">
        <v>7778</v>
      </c>
      <c r="C3242" t="s">
        <v>10698</v>
      </c>
      <c r="D3242" t="s">
        <v>14344</v>
      </c>
      <c r="E3242" s="2">
        <v>20627</v>
      </c>
      <c r="F3242">
        <f>HYPERLINK("https://www2.assemblee-nationale.fr/sycomore/fiche/(num_dept)/4862", "4862.0")</f>
        <v>0</v>
      </c>
      <c r="H3242">
        <f>HYPERLINK("https://www.wikidata.org/wiki/Q3134673", "Q3134673")</f>
        <v>0</v>
      </c>
    </row>
    <row r="3243" spans="1:8">
      <c r="A3243" t="s">
        <v>3249</v>
      </c>
      <c r="B3243" t="s">
        <v>7779</v>
      </c>
      <c r="C3243" t="s">
        <v>9324</v>
      </c>
      <c r="D3243" t="s">
        <v>14183</v>
      </c>
      <c r="E3243" s="2">
        <v>18051</v>
      </c>
      <c r="F3243">
        <f>HYPERLINK("https://www2.assemblee-nationale.fr/sycomore/fiche/(num_dept)/7672", "7672.0")</f>
        <v>0</v>
      </c>
      <c r="H3243">
        <f>HYPERLINK("https://www.wikidata.org/wiki/Q3131527", "Q3131527")</f>
        <v>0</v>
      </c>
    </row>
    <row r="3244" spans="1:8">
      <c r="A3244" t="s">
        <v>3250</v>
      </c>
      <c r="B3244" t="s">
        <v>7780</v>
      </c>
      <c r="C3244" t="s">
        <v>6888</v>
      </c>
      <c r="D3244" t="s">
        <v>13444</v>
      </c>
      <c r="E3244" s="2">
        <v>5795</v>
      </c>
      <c r="F3244">
        <f>HYPERLINK("https://www2.assemblee-nationale.fr/sycomore/fiche/(num_dept)/7718", "7718.0")</f>
        <v>0</v>
      </c>
      <c r="H3244">
        <f>HYPERLINK("https://www.wikidata.org/wiki/Q3092516", "Q3092516")</f>
        <v>0</v>
      </c>
    </row>
    <row r="3245" spans="1:8">
      <c r="A3245" t="s">
        <v>3251</v>
      </c>
      <c r="B3245" t="s">
        <v>7780</v>
      </c>
      <c r="C3245" t="s">
        <v>10699</v>
      </c>
      <c r="D3245" t="s">
        <v>14345</v>
      </c>
      <c r="E3245" s="2">
        <v>16914</v>
      </c>
      <c r="F3245">
        <f>HYPERLINK("https://www2.assemblee-nationale.fr/sycomore/fiche/(num_dept)/7719", "7719.0")</f>
        <v>0</v>
      </c>
      <c r="H3245">
        <f>HYPERLINK("https://www.wikidata.org/wiki/Q16025978", "Q16025978")</f>
        <v>0</v>
      </c>
    </row>
    <row r="3246" spans="1:8">
      <c r="A3246" t="s">
        <v>3252</v>
      </c>
      <c r="B3246" t="s">
        <v>7781</v>
      </c>
      <c r="C3246" t="s">
        <v>7233</v>
      </c>
      <c r="D3246" t="s">
        <v>14232</v>
      </c>
      <c r="E3246" s="2">
        <v>26415</v>
      </c>
      <c r="F3246">
        <f>HYPERLINK("https://www2.assemblee-nationale.fr/sycomore/fiche/(num_dept)/7751", "7751.0")</f>
        <v>0</v>
      </c>
      <c r="H3246">
        <f>HYPERLINK("https://www.wikidata.org/wiki/Q3132926", "Q3132926")</f>
        <v>0</v>
      </c>
    </row>
    <row r="3247" spans="1:8">
      <c r="A3247" t="s">
        <v>3253</v>
      </c>
      <c r="B3247" t="s">
        <v>7782</v>
      </c>
      <c r="C3247" t="s">
        <v>10700</v>
      </c>
      <c r="D3247" t="s">
        <v>14346</v>
      </c>
      <c r="E3247" s="2">
        <v>5120</v>
      </c>
      <c r="F3247">
        <f>HYPERLINK("https://www2.assemblee-nationale.fr/sycomore/fiche/(num_dept)/6054", "6054.0")</f>
        <v>0</v>
      </c>
      <c r="H3247">
        <f>HYPERLINK("https://www.wikidata.org/wiki/Q2829651", "Q2829651")</f>
        <v>0</v>
      </c>
    </row>
    <row r="3248" spans="1:8">
      <c r="A3248" t="s">
        <v>3254</v>
      </c>
      <c r="B3248" t="s">
        <v>7783</v>
      </c>
      <c r="C3248" t="s">
        <v>9548</v>
      </c>
      <c r="D3248" t="s">
        <v>13756</v>
      </c>
      <c r="E3248" s="2">
        <v>11996</v>
      </c>
      <c r="F3248">
        <f>HYPERLINK("https://www2.assemblee-nationale.fr/sycomore/fiche/(num_dept)/7775", "7775.0")</f>
        <v>0</v>
      </c>
      <c r="H3248">
        <f>HYPERLINK("https://www.wikidata.org/wiki/Q16025986", "Q16025986")</f>
        <v>0</v>
      </c>
    </row>
    <row r="3249" spans="1:8">
      <c r="A3249" t="s">
        <v>3255</v>
      </c>
      <c r="B3249" t="s">
        <v>7784</v>
      </c>
      <c r="C3249" t="s">
        <v>7754</v>
      </c>
      <c r="D3249" t="s">
        <v>14347</v>
      </c>
      <c r="E3249" s="2">
        <v>12367</v>
      </c>
      <c r="F3249">
        <f>HYPERLINK("https://www2.assemblee-nationale.fr/sycomore/fiche/(num_dept)/7786", "7786.0")</f>
        <v>0</v>
      </c>
      <c r="H3249">
        <f>HYPERLINK("https://www.wikidata.org/wiki/Q3262574", "Q3262574")</f>
        <v>0</v>
      </c>
    </row>
    <row r="3250" spans="1:8">
      <c r="A3250" t="s">
        <v>3256</v>
      </c>
      <c r="B3250" t="s">
        <v>7785</v>
      </c>
      <c r="C3250" t="s">
        <v>10701</v>
      </c>
      <c r="D3250" t="s">
        <v>14348</v>
      </c>
      <c r="E3250" s="2">
        <v>15144</v>
      </c>
      <c r="F3250">
        <f>HYPERLINK("https://www2.assemblee-nationale.fr/sycomore/fiche/(num_dept)/7817", "7817.0")</f>
        <v>0</v>
      </c>
      <c r="H3250">
        <f>HYPERLINK("https://www.wikidata.org/wiki/Q8316868", "Q8316868")</f>
        <v>0</v>
      </c>
    </row>
    <row r="3251" spans="1:8">
      <c r="A3251" t="s">
        <v>3257</v>
      </c>
      <c r="B3251" t="s">
        <v>7786</v>
      </c>
      <c r="C3251" t="s">
        <v>10702</v>
      </c>
      <c r="D3251" t="s">
        <v>14349</v>
      </c>
      <c r="E3251" s="2">
        <v>10319</v>
      </c>
      <c r="F3251">
        <f>HYPERLINK("https://www2.assemblee-nationale.fr/sycomore/fiche/(num_dept)/7833", "7833.0")</f>
        <v>0</v>
      </c>
      <c r="H3251">
        <f>HYPERLINK("https://www.wikidata.org/wiki/Q3092648", "Q3092648")</f>
        <v>0</v>
      </c>
    </row>
    <row r="3252" spans="1:8">
      <c r="A3252" t="s">
        <v>3258</v>
      </c>
      <c r="B3252" t="s">
        <v>7787</v>
      </c>
      <c r="C3252" t="s">
        <v>7001</v>
      </c>
      <c r="D3252" t="s">
        <v>14350</v>
      </c>
      <c r="E3252" s="2">
        <v>17793</v>
      </c>
      <c r="F3252">
        <f>HYPERLINK("https://www2.assemblee-nationale.fr/sycomore/fiche/(num_dept)/7838", "7838.0")</f>
        <v>0</v>
      </c>
      <c r="H3252">
        <f>HYPERLINK("https://www.wikidata.org/wiki/Q3103129", "Q3103129")</f>
        <v>0</v>
      </c>
    </row>
    <row r="3253" spans="1:8">
      <c r="A3253" t="s">
        <v>3259</v>
      </c>
      <c r="B3253" t="s">
        <v>7788</v>
      </c>
      <c r="C3253" t="s">
        <v>7001</v>
      </c>
      <c r="D3253" t="s">
        <v>14338</v>
      </c>
      <c r="E3253" s="2">
        <v>22342</v>
      </c>
      <c r="F3253">
        <f>HYPERLINK("https://www2.assemblee-nationale.fr/sycomore/fiche/(num_dept)/7837", "7837.0")</f>
        <v>0</v>
      </c>
      <c r="H3253">
        <f>HYPERLINK("https://www.wikidata.org/wiki/Q3103131", "Q3103131")</f>
        <v>0</v>
      </c>
    </row>
    <row r="3254" spans="1:8">
      <c r="A3254" t="s">
        <v>3260</v>
      </c>
      <c r="B3254" t="s">
        <v>7789</v>
      </c>
      <c r="C3254" t="s">
        <v>10703</v>
      </c>
      <c r="D3254" t="s">
        <v>14351</v>
      </c>
      <c r="E3254" s="2">
        <v>3677</v>
      </c>
      <c r="F3254">
        <f>HYPERLINK("https://www2.assemblee-nationale.fr/sycomore/fiche/(num_dept)/7829", "7829.0")</f>
        <v>0</v>
      </c>
      <c r="H3254">
        <f>HYPERLINK("https://www.wikidata.org/wiki/Q16025995", "Q16025995")</f>
        <v>0</v>
      </c>
    </row>
    <row r="3255" spans="1:8">
      <c r="A3255" t="s">
        <v>3261</v>
      </c>
      <c r="B3255" t="s">
        <v>7790</v>
      </c>
      <c r="C3255" t="s">
        <v>10704</v>
      </c>
      <c r="D3255" t="s">
        <v>12789</v>
      </c>
      <c r="E3255" s="2">
        <v>7252</v>
      </c>
      <c r="F3255">
        <f>HYPERLINK("https://www2.assemblee-nationale.fr/sycomore/fiche/(num_dept)/4864", "4864.0")</f>
        <v>0</v>
      </c>
      <c r="H3255">
        <f>HYPERLINK("https://www.wikidata.org/wiki/Q16026020", "Q16026020")</f>
        <v>0</v>
      </c>
    </row>
    <row r="3256" spans="1:8">
      <c r="A3256" t="s">
        <v>3262</v>
      </c>
      <c r="B3256" t="s">
        <v>7791</v>
      </c>
      <c r="C3256" t="s">
        <v>9332</v>
      </c>
      <c r="D3256" t="s">
        <v>14352</v>
      </c>
      <c r="E3256" s="2">
        <v>9775</v>
      </c>
      <c r="F3256">
        <f>HYPERLINK("https://www2.assemblee-nationale.fr/sycomore/fiche/(num_dept)/4865", "4865.0")</f>
        <v>0</v>
      </c>
      <c r="H3256">
        <f>HYPERLINK("https://www.wikidata.org/wiki/Q16026021", "Q16026021")</f>
        <v>0</v>
      </c>
    </row>
    <row r="3257" spans="1:8">
      <c r="A3257" t="s">
        <v>3263</v>
      </c>
      <c r="B3257" t="s">
        <v>7792</v>
      </c>
      <c r="C3257" t="s">
        <v>7342</v>
      </c>
      <c r="D3257" t="s">
        <v>14353</v>
      </c>
      <c r="E3257" t="s">
        <v>16268</v>
      </c>
      <c r="G3257">
        <f>HYPERLINK("https://www.senat.fr/senateur-3eme-republique/mace_jean1508r3.html", "mace_jean1508r3")</f>
        <v>0</v>
      </c>
      <c r="H3257">
        <f>HYPERLINK("https://www.wikidata.org/wiki/Q3173305", "Q3173305")</f>
        <v>0</v>
      </c>
    </row>
    <row r="3258" spans="1:8">
      <c r="A3258" t="s">
        <v>3264</v>
      </c>
      <c r="B3258" t="s">
        <v>7793</v>
      </c>
      <c r="C3258" t="s">
        <v>9564</v>
      </c>
      <c r="D3258" t="s">
        <v>14354</v>
      </c>
      <c r="E3258" s="2">
        <v>1644</v>
      </c>
      <c r="F3258">
        <f>HYPERLINK("https://www2.assemblee-nationale.fr/sycomore/fiche/(num_dept)/4867", "4867.0")</f>
        <v>0</v>
      </c>
      <c r="G3258">
        <f>HYPERLINK("https://www.senat.fr/senateur-3eme-republique/macherez_alfred0029r3.html", "macherez_alfred0029r3")</f>
        <v>0</v>
      </c>
      <c r="H3258">
        <f>HYPERLINK("https://www.wikidata.org/wiki/Q2835290", "Q2835290")</f>
        <v>0</v>
      </c>
    </row>
    <row r="3259" spans="1:8">
      <c r="A3259" t="s">
        <v>3265</v>
      </c>
      <c r="B3259" t="s">
        <v>7794</v>
      </c>
      <c r="C3259" t="s">
        <v>7001</v>
      </c>
      <c r="D3259" t="s">
        <v>14355</v>
      </c>
      <c r="E3259" s="2">
        <v>11372</v>
      </c>
      <c r="G3259">
        <f>HYPERLINK("https://www.senat.fr/senateur-3eme-republique/machet_georges1302r3.html", "machet_georges1302r3")</f>
        <v>0</v>
      </c>
      <c r="H3259">
        <f>HYPERLINK("https://www.wikidata.org/wiki/Q3103133", "Q3103133")</f>
        <v>0</v>
      </c>
    </row>
    <row r="3260" spans="1:8">
      <c r="A3260" t="s">
        <v>3266</v>
      </c>
      <c r="B3260" t="s">
        <v>7795</v>
      </c>
      <c r="C3260" t="s">
        <v>10705</v>
      </c>
      <c r="D3260" t="s">
        <v>12168</v>
      </c>
      <c r="E3260" s="2">
        <v>6701</v>
      </c>
      <c r="F3260">
        <f>HYPERLINK("https://www2.assemblee-nationale.fr/sycomore/fiche/(num_dept)/4868", "4868.0")</f>
        <v>0</v>
      </c>
      <c r="H3260">
        <f>HYPERLINK("https://www.wikidata.org/wiki/Q2862011", "Q2862011")</f>
        <v>0</v>
      </c>
    </row>
    <row r="3261" spans="1:8">
      <c r="A3261" t="s">
        <v>3267</v>
      </c>
      <c r="B3261" t="s">
        <v>7796</v>
      </c>
      <c r="C3261" t="s">
        <v>10706</v>
      </c>
      <c r="D3261" t="s">
        <v>14356</v>
      </c>
      <c r="E3261" s="2">
        <v>24410</v>
      </c>
      <c r="F3261">
        <f>HYPERLINK("https://www2.assemblee-nationale.fr/sycomore/fiche/(num_dept)/4869", "4869.0")</f>
        <v>0</v>
      </c>
      <c r="H3261">
        <f>HYPERLINK("https://www.wikidata.org/wiki/Q2979749", "Q2979749")</f>
        <v>0</v>
      </c>
    </row>
    <row r="3262" spans="1:8">
      <c r="A3262" t="s">
        <v>3268</v>
      </c>
      <c r="B3262" t="s">
        <v>7797</v>
      </c>
      <c r="C3262" t="s">
        <v>10707</v>
      </c>
      <c r="D3262" t="s">
        <v>13905</v>
      </c>
      <c r="E3262" s="2">
        <v>20685</v>
      </c>
      <c r="F3262">
        <f>HYPERLINK("https://www2.assemblee-nationale.fr/sycomore/fiche/(num_dept)/4873", "4873.0")</f>
        <v>0</v>
      </c>
      <c r="H3262">
        <f>HYPERLINK("https://www.wikidata.org/wiki/Q586479", "Q586479")</f>
        <v>0</v>
      </c>
    </row>
    <row r="3263" spans="1:8">
      <c r="A3263" t="s">
        <v>3269</v>
      </c>
      <c r="B3263" t="s">
        <v>7798</v>
      </c>
      <c r="C3263" t="s">
        <v>8384</v>
      </c>
      <c r="D3263" t="s">
        <v>14357</v>
      </c>
      <c r="G3263">
        <f>HYPERLINK("https://www.senat.fr/senateur-3eme-republique/madignier_pierre1359r3.html", "madignier_pierre1359r3")</f>
        <v>0</v>
      </c>
      <c r="H3263">
        <f>HYPERLINK("https://www.wikidata.org/wiki/Q3386060", "Q3386060")</f>
        <v>0</v>
      </c>
    </row>
    <row r="3264" spans="1:8">
      <c r="A3264" t="s">
        <v>3270</v>
      </c>
      <c r="B3264" t="s">
        <v>7799</v>
      </c>
      <c r="C3264" t="s">
        <v>5096</v>
      </c>
      <c r="D3264" t="s">
        <v>14358</v>
      </c>
      <c r="E3264" s="2">
        <v>11694</v>
      </c>
      <c r="F3264">
        <f>HYPERLINK("https://www2.assemblee-nationale.fr/sycomore/fiche/(num_dept)/4882", "4882.0")</f>
        <v>0</v>
      </c>
      <c r="H3264">
        <f>HYPERLINK("https://www.wikidata.org/wiki/Q318617", "Q318617")</f>
        <v>0</v>
      </c>
    </row>
    <row r="3265" spans="1:8">
      <c r="A3265" t="s">
        <v>3271</v>
      </c>
      <c r="B3265" t="s">
        <v>7800</v>
      </c>
      <c r="C3265" t="s">
        <v>9511</v>
      </c>
      <c r="D3265" t="s">
        <v>14359</v>
      </c>
      <c r="E3265" s="2">
        <v>9705</v>
      </c>
      <c r="F3265">
        <f>HYPERLINK("https://www2.assemblee-nationale.fr/sycomore/fiche/(num_dept)/4884", "4884.0")</f>
        <v>0</v>
      </c>
      <c r="H3265">
        <f>HYPERLINK("https://www.wikidata.org/wiki/Q3371743", "Q3371743")</f>
        <v>0</v>
      </c>
    </row>
    <row r="3266" spans="1:8">
      <c r="A3266" t="s">
        <v>3272</v>
      </c>
      <c r="B3266" t="s">
        <v>7801</v>
      </c>
      <c r="C3266" t="s">
        <v>9510</v>
      </c>
      <c r="D3266" t="s">
        <v>12478</v>
      </c>
      <c r="E3266" s="2">
        <v>12120</v>
      </c>
      <c r="F3266">
        <f>HYPERLINK("https://www2.assemblee-nationale.fr/sycomore/fiche/(num_dept)/4887", "4887.0")</f>
        <v>0</v>
      </c>
      <c r="H3266">
        <f>HYPERLINK("https://www.wikidata.org/wiki/Q15971992", "Q15971992")</f>
        <v>0</v>
      </c>
    </row>
    <row r="3267" spans="1:8">
      <c r="A3267" t="s">
        <v>3273</v>
      </c>
      <c r="B3267" t="s">
        <v>7801</v>
      </c>
      <c r="C3267" t="s">
        <v>9368</v>
      </c>
      <c r="D3267" t="s">
        <v>14360</v>
      </c>
      <c r="E3267" s="2">
        <v>18590</v>
      </c>
      <c r="F3267">
        <f>HYPERLINK("https://www2.assemblee-nationale.fr/sycomore/fiche/(num_dept)/4886", "4886.0")</f>
        <v>0</v>
      </c>
      <c r="H3267">
        <f>HYPERLINK("https://www.wikidata.org/wiki/Q3060009", "Q3060009")</f>
        <v>0</v>
      </c>
    </row>
    <row r="3268" spans="1:8">
      <c r="A3268" t="s">
        <v>3274</v>
      </c>
      <c r="B3268" t="s">
        <v>7802</v>
      </c>
      <c r="C3268" t="s">
        <v>9524</v>
      </c>
      <c r="D3268" t="s">
        <v>14361</v>
      </c>
      <c r="E3268" s="2">
        <v>8889</v>
      </c>
      <c r="F3268">
        <f>HYPERLINK("https://www2.assemblee-nationale.fr/sycomore/fiche/(num_dept)/4888", "4888.0")</f>
        <v>0</v>
      </c>
      <c r="H3268">
        <f>HYPERLINK("https://www.wikidata.org/wiki/Q8327328", "Q8327328")</f>
        <v>0</v>
      </c>
    </row>
    <row r="3269" spans="1:8">
      <c r="A3269" t="s">
        <v>3275</v>
      </c>
      <c r="B3269" t="s">
        <v>7803</v>
      </c>
      <c r="C3269" t="s">
        <v>10708</v>
      </c>
      <c r="D3269" t="s">
        <v>14362</v>
      </c>
      <c r="E3269" s="2">
        <v>5365</v>
      </c>
      <c r="F3269">
        <f>HYPERLINK("https://www2.assemblee-nationale.fr/sycomore/fiche/(num_dept)/4889", "4889.0")</f>
        <v>0</v>
      </c>
      <c r="G3269">
        <f>HYPERLINK("https://www.senat.fr/senateur-3eme-republique/magnien_gabriel1229r3.html", "magnien_gabriel1229r3")</f>
        <v>0</v>
      </c>
      <c r="H3269">
        <f>HYPERLINK("https://www.wikidata.org/wiki/Q3093845", "Q3093845")</f>
        <v>0</v>
      </c>
    </row>
    <row r="3270" spans="1:8">
      <c r="A3270" t="s">
        <v>3276</v>
      </c>
      <c r="B3270" t="s">
        <v>7804</v>
      </c>
      <c r="C3270" t="s">
        <v>9524</v>
      </c>
      <c r="D3270" t="s">
        <v>12142</v>
      </c>
      <c r="E3270" s="2">
        <v>13763</v>
      </c>
      <c r="G3270">
        <f>HYPERLINK("https://www.senat.fr/senateur-3eme-republique/magnien_emile1256r3.html", "magnien_emile1256r3")</f>
        <v>0</v>
      </c>
      <c r="H3270">
        <f>HYPERLINK("https://www.wikidata.org/wiki/Q3588631", "Q3588631")</f>
        <v>0</v>
      </c>
    </row>
    <row r="3271" spans="1:8">
      <c r="A3271" t="s">
        <v>3277</v>
      </c>
      <c r="B3271" t="s">
        <v>7805</v>
      </c>
      <c r="C3271" t="s">
        <v>9482</v>
      </c>
      <c r="D3271" t="s">
        <v>14363</v>
      </c>
      <c r="E3271" s="2">
        <v>2281</v>
      </c>
      <c r="G3271">
        <f>HYPERLINK("https://www.senat.fr/senateur-3eme-republique/magnier_edmond1736r3.html", "magnier_edmond1736r3")</f>
        <v>0</v>
      </c>
      <c r="H3271">
        <f>HYPERLINK("https://www.wikidata.org/wiki/Q3047914", "Q3047914")</f>
        <v>0</v>
      </c>
    </row>
    <row r="3272" spans="1:8">
      <c r="A3272" t="s">
        <v>3278</v>
      </c>
      <c r="B3272" t="s">
        <v>7806</v>
      </c>
      <c r="C3272" t="s">
        <v>10709</v>
      </c>
      <c r="D3272" t="s">
        <v>14364</v>
      </c>
      <c r="E3272" t="s">
        <v>16269</v>
      </c>
      <c r="F3272">
        <f>HYPERLINK("https://www2.assemblee-nationale.fr/sycomore/fiche/(num_dept)/8272", "8272.0")</f>
        <v>0</v>
      </c>
      <c r="G3272">
        <f>HYPERLINK("https://www.senat.fr/senateur-3eme-republique/magniez_victor1665r3.html", "magniez_victor1665r3")</f>
        <v>0</v>
      </c>
      <c r="H3272">
        <f>HYPERLINK("https://www.wikidata.org/wiki/Q3557435", "Q3557435")</f>
        <v>0</v>
      </c>
    </row>
    <row r="3273" spans="1:8">
      <c r="A3273" t="s">
        <v>3279</v>
      </c>
      <c r="B3273" t="s">
        <v>7806</v>
      </c>
      <c r="C3273" t="s">
        <v>9524</v>
      </c>
      <c r="D3273" t="s">
        <v>14365</v>
      </c>
      <c r="E3273" s="2">
        <v>7232</v>
      </c>
      <c r="F3273">
        <f>HYPERLINK("https://www2.assemblee-nationale.fr/sycomore/fiche/(num_dept)/4890", "4890.0")</f>
        <v>0</v>
      </c>
      <c r="H3273">
        <f>HYPERLINK("https://www.wikidata.org/wiki/Q3588635", "Q3588635")</f>
        <v>0</v>
      </c>
    </row>
    <row r="3274" spans="1:8">
      <c r="A3274" t="s">
        <v>3280</v>
      </c>
      <c r="B3274" t="s">
        <v>7807</v>
      </c>
      <c r="C3274" t="s">
        <v>9373</v>
      </c>
      <c r="D3274" t="s">
        <v>12600</v>
      </c>
      <c r="E3274" s="2">
        <v>3979</v>
      </c>
      <c r="G3274">
        <f>HYPERLINK("https://www.senat.fr/senateur-3eme-republique/magnin_joseph1510r3.html", "magnin_joseph1510r3")</f>
        <v>0</v>
      </c>
      <c r="H3274">
        <f>HYPERLINK("https://www.wikidata.org/wiki/Q3386064", "Q3386064")</f>
        <v>0</v>
      </c>
    </row>
    <row r="3275" spans="1:8">
      <c r="A3275" t="s">
        <v>3281</v>
      </c>
      <c r="B3275" t="s">
        <v>7808</v>
      </c>
      <c r="C3275" t="s">
        <v>9430</v>
      </c>
      <c r="D3275" t="s">
        <v>14366</v>
      </c>
      <c r="E3275" s="2">
        <v>9175</v>
      </c>
      <c r="G3275">
        <f>HYPERLINK("https://www.senat.fr/senateur-3eme-republique/magny_paul1561r3.html", "magny_paul1561r3")</f>
        <v>0</v>
      </c>
      <c r="H3275">
        <f>HYPERLINK("https://www.wikidata.org/wiki/Q3371747", "Q3371747")</f>
        <v>0</v>
      </c>
    </row>
    <row r="3276" spans="1:8">
      <c r="A3276" t="s">
        <v>3282</v>
      </c>
      <c r="B3276" t="s">
        <v>7809</v>
      </c>
      <c r="C3276" t="s">
        <v>10710</v>
      </c>
      <c r="D3276" t="s">
        <v>14367</v>
      </c>
      <c r="E3276" s="2">
        <v>20016</v>
      </c>
      <c r="F3276">
        <f>HYPERLINK("https://www2.assemblee-nationale.fr/sycomore/fiche/(num_dept)/4891", "4891.0")</f>
        <v>0</v>
      </c>
      <c r="H3276">
        <f>HYPERLINK("https://www.wikidata.org/wiki/Q16026024", "Q16026024")</f>
        <v>0</v>
      </c>
    </row>
    <row r="3277" spans="1:8">
      <c r="A3277" t="s">
        <v>3283</v>
      </c>
      <c r="B3277" t="s">
        <v>7810</v>
      </c>
      <c r="C3277" t="s">
        <v>5058</v>
      </c>
      <c r="D3277" t="s">
        <v>14368</v>
      </c>
      <c r="E3277" s="2">
        <v>9642</v>
      </c>
      <c r="F3277">
        <f>HYPERLINK("https://www2.assemblee-nationale.fr/sycomore/fiche/(num_dept)/4896", "4896.0")</f>
        <v>0</v>
      </c>
      <c r="H3277">
        <f>HYPERLINK("https://www.wikidata.org/wiki/Q2831366", "Q2831366")</f>
        <v>0</v>
      </c>
    </row>
    <row r="3278" spans="1:8">
      <c r="A3278" t="s">
        <v>3284</v>
      </c>
      <c r="B3278" t="s">
        <v>7811</v>
      </c>
      <c r="C3278" t="s">
        <v>5058</v>
      </c>
      <c r="D3278" t="s">
        <v>14369</v>
      </c>
      <c r="E3278" s="2">
        <v>16051</v>
      </c>
      <c r="G3278">
        <f>HYPERLINK("https://www.senat.fr/senateur-3eme-republique/mahieu_albert1396r3.html", "mahieu_albert1396r3")</f>
        <v>0</v>
      </c>
      <c r="H3278">
        <f>HYPERLINK("https://www.wikidata.org/wiki/Q2831368", "Q2831368")</f>
        <v>0</v>
      </c>
    </row>
    <row r="3279" spans="1:8">
      <c r="A3279" t="s">
        <v>3285</v>
      </c>
      <c r="B3279" t="s">
        <v>7812</v>
      </c>
      <c r="C3279" t="s">
        <v>10711</v>
      </c>
      <c r="D3279" t="s">
        <v>12753</v>
      </c>
      <c r="E3279" s="2">
        <v>2515</v>
      </c>
      <c r="F3279">
        <f>HYPERLINK("https://www2.assemblee-nationale.fr/sycomore/fiche/(num_dept)/4897", "4897.0")</f>
        <v>0</v>
      </c>
      <c r="H3279">
        <f>HYPERLINK("https://www.wikidata.org/wiki/Q962478", "Q962478")</f>
        <v>0</v>
      </c>
    </row>
    <row r="3280" spans="1:8">
      <c r="A3280" t="s">
        <v>3286</v>
      </c>
      <c r="B3280" t="s">
        <v>7813</v>
      </c>
      <c r="C3280" t="s">
        <v>10712</v>
      </c>
      <c r="D3280" t="s">
        <v>14370</v>
      </c>
      <c r="E3280" s="2">
        <v>12226</v>
      </c>
      <c r="F3280">
        <f>HYPERLINK("https://www2.assemblee-nationale.fr/sycomore/fiche/(num_dept)/2729", "2729.0")</f>
        <v>0</v>
      </c>
      <c r="H3280">
        <f>HYPERLINK("https://www.wikidata.org/wiki/Q3426146", "Q3426146")</f>
        <v>0</v>
      </c>
    </row>
    <row r="3281" spans="1:8">
      <c r="A3281" t="s">
        <v>3287</v>
      </c>
      <c r="B3281" t="s">
        <v>7814</v>
      </c>
      <c r="C3281" t="s">
        <v>10713</v>
      </c>
      <c r="D3281" t="s">
        <v>14371</v>
      </c>
      <c r="E3281" t="s">
        <v>16270</v>
      </c>
      <c r="F3281">
        <f>HYPERLINK("https://www2.assemblee-nationale.fr/sycomore/fiche/(num_dept)/4898", "4898.0")</f>
        <v>0</v>
      </c>
      <c r="H3281">
        <f>HYPERLINK("https://www.wikidata.org/wiki/Q8304268", "Q8304268")</f>
        <v>0</v>
      </c>
    </row>
    <row r="3282" spans="1:8">
      <c r="A3282" t="s">
        <v>3288</v>
      </c>
      <c r="B3282" t="s">
        <v>7815</v>
      </c>
      <c r="C3282" t="s">
        <v>10714</v>
      </c>
      <c r="D3282" t="s">
        <v>14372</v>
      </c>
      <c r="E3282" s="2">
        <v>2211</v>
      </c>
      <c r="F3282">
        <f>HYPERLINK("https://www2.assemblee-nationale.fr/sycomore/fiche/(num_dept)/14450", "14450.0")</f>
        <v>0</v>
      </c>
      <c r="H3282">
        <f>HYPERLINK("https://www.wikidata.org/wiki/Q13091111", "Q13091111")</f>
        <v>0</v>
      </c>
    </row>
    <row r="3283" spans="1:8">
      <c r="A3283" t="s">
        <v>3289</v>
      </c>
      <c r="B3283" t="s">
        <v>7816</v>
      </c>
      <c r="C3283" t="s">
        <v>10221</v>
      </c>
      <c r="D3283" t="s">
        <v>14373</v>
      </c>
      <c r="E3283" s="2">
        <v>9852</v>
      </c>
      <c r="G3283">
        <f>HYPERLINK("https://www.senat.fr/senateur-3eme-republique/maillard_augustin1276r3.html", "maillard_augustin1276r3")</f>
        <v>0</v>
      </c>
      <c r="H3283">
        <f>HYPERLINK("https://www.wikidata.org/wiki/Q2871610", "Q2871610")</f>
        <v>0</v>
      </c>
    </row>
    <row r="3284" spans="1:8">
      <c r="A3284" t="s">
        <v>3290</v>
      </c>
      <c r="B3284" t="s">
        <v>7815</v>
      </c>
      <c r="C3284" t="s">
        <v>7342</v>
      </c>
      <c r="D3284" t="s">
        <v>14374</v>
      </c>
      <c r="E3284" s="2">
        <v>10001</v>
      </c>
      <c r="F3284">
        <f>HYPERLINK("https://www2.assemblee-nationale.fr/sycomore/fiche/(num_dept)/4901", "4901.0")</f>
        <v>0</v>
      </c>
      <c r="H3284">
        <f>HYPERLINK("https://www.wikidata.org/wiki/Q3173324", "Q3173324")</f>
        <v>0</v>
      </c>
    </row>
    <row r="3285" spans="1:8">
      <c r="A3285" t="s">
        <v>3291</v>
      </c>
      <c r="B3285" t="s">
        <v>7817</v>
      </c>
      <c r="C3285" t="s">
        <v>9954</v>
      </c>
      <c r="D3285" t="s">
        <v>14375</v>
      </c>
      <c r="E3285" t="s">
        <v>15824</v>
      </c>
      <c r="F3285">
        <f>HYPERLINK("https://www2.assemblee-nationale.fr/sycomore/fiche/(num_dept)/8167", "8167.0")</f>
        <v>0</v>
      </c>
      <c r="H3285">
        <f>HYPERLINK("https://www.wikidata.org/wiki/Q2834581", "Q2834581")</f>
        <v>0</v>
      </c>
    </row>
    <row r="3286" spans="1:8">
      <c r="A3286" t="s">
        <v>3292</v>
      </c>
      <c r="B3286" t="s">
        <v>7817</v>
      </c>
      <c r="C3286" t="s">
        <v>10715</v>
      </c>
      <c r="D3286" t="s">
        <v>12754</v>
      </c>
      <c r="E3286" s="2">
        <v>1256</v>
      </c>
      <c r="F3286">
        <f>HYPERLINK("https://www2.assemblee-nationale.fr/sycomore/fiche/(num_dept)/4903", "4903.0")</f>
        <v>0</v>
      </c>
      <c r="H3286">
        <f>HYPERLINK("https://www.wikidata.org/wiki/Q2861743", "Q2861743")</f>
        <v>0</v>
      </c>
    </row>
    <row r="3287" spans="1:8">
      <c r="A3287" t="s">
        <v>3293</v>
      </c>
      <c r="B3287" t="s">
        <v>7817</v>
      </c>
      <c r="C3287" t="s">
        <v>10716</v>
      </c>
      <c r="D3287" t="s">
        <v>14376</v>
      </c>
      <c r="E3287" s="2">
        <v>6220</v>
      </c>
      <c r="F3287">
        <f>HYPERLINK("https://www2.assemblee-nationale.fr/sycomore/fiche/(num_dept)/4902", "4902.0")</f>
        <v>0</v>
      </c>
      <c r="H3287">
        <f>HYPERLINK("https://www.wikidata.org/wiki/Q16026025", "Q16026025")</f>
        <v>0</v>
      </c>
    </row>
    <row r="3288" spans="1:8">
      <c r="A3288" t="s">
        <v>3294</v>
      </c>
      <c r="B3288" t="s">
        <v>7818</v>
      </c>
      <c r="C3288" t="s">
        <v>9430</v>
      </c>
      <c r="D3288" t="s">
        <v>14377</v>
      </c>
      <c r="E3288" s="2">
        <v>8879</v>
      </c>
      <c r="F3288">
        <f>HYPERLINK("https://www2.assemblee-nationale.fr/sycomore/fiche/(num_dept)/4908", "4908.0")</f>
        <v>0</v>
      </c>
      <c r="H3288">
        <f>HYPERLINK("https://www.wikidata.org/wiki/Q3371749", "Q3371749")</f>
        <v>0</v>
      </c>
    </row>
    <row r="3289" spans="1:8">
      <c r="A3289" t="s">
        <v>3295</v>
      </c>
      <c r="B3289" t="s">
        <v>7819</v>
      </c>
      <c r="C3289" t="s">
        <v>10717</v>
      </c>
      <c r="D3289" t="s">
        <v>12799</v>
      </c>
      <c r="E3289" s="2">
        <v>17509</v>
      </c>
      <c r="F3289">
        <f>HYPERLINK("https://www2.assemblee-nationale.fr/sycomore/fiche/(num_dept)/4909", "4909.0")</f>
        <v>0</v>
      </c>
      <c r="H3289">
        <f>HYPERLINK("https://www.wikidata.org/wiki/Q16026026", "Q16026026")</f>
        <v>0</v>
      </c>
    </row>
    <row r="3290" spans="1:8">
      <c r="A3290" t="s">
        <v>3296</v>
      </c>
      <c r="B3290" t="s">
        <v>7820</v>
      </c>
      <c r="C3290" t="s">
        <v>10718</v>
      </c>
      <c r="D3290" t="s">
        <v>14378</v>
      </c>
      <c r="E3290" s="2">
        <v>13686</v>
      </c>
      <c r="F3290">
        <f>HYPERLINK("https://www2.assemblee-nationale.fr/sycomore/fiche/(num_dept)/4911", "4911.0")</f>
        <v>0</v>
      </c>
      <c r="H3290">
        <f>HYPERLINK("https://www.wikidata.org/wiki/Q16026027", "Q16026027")</f>
        <v>0</v>
      </c>
    </row>
    <row r="3291" spans="1:8">
      <c r="A3291" t="s">
        <v>3297</v>
      </c>
      <c r="B3291" t="s">
        <v>7821</v>
      </c>
      <c r="C3291" t="s">
        <v>10719</v>
      </c>
      <c r="D3291" t="s">
        <v>14379</v>
      </c>
      <c r="E3291" s="2">
        <v>4334</v>
      </c>
      <c r="F3291">
        <f>HYPERLINK("https://www2.assemblee-nationale.fr/sycomore/fiche/(num_dept)/4916", "4916.0")</f>
        <v>0</v>
      </c>
      <c r="H3291">
        <f>HYPERLINK("https://www.wikidata.org/wiki/Q16026099", "Q16026099")</f>
        <v>0</v>
      </c>
    </row>
    <row r="3292" spans="1:8">
      <c r="A3292" t="s">
        <v>3298</v>
      </c>
      <c r="B3292" t="s">
        <v>7822</v>
      </c>
      <c r="C3292" t="s">
        <v>10720</v>
      </c>
      <c r="D3292" t="s">
        <v>14380</v>
      </c>
      <c r="E3292" s="2">
        <v>1520</v>
      </c>
      <c r="F3292">
        <f>HYPERLINK("https://www2.assemblee-nationale.fr/sycomore/fiche/(num_dept)/4917", "4917.0")</f>
        <v>0</v>
      </c>
      <c r="H3292">
        <f>HYPERLINK("https://www.wikidata.org/wiki/Q16026030", "Q16026030")</f>
        <v>0</v>
      </c>
    </row>
    <row r="3293" spans="1:8">
      <c r="A3293" t="s">
        <v>3299</v>
      </c>
      <c r="B3293" t="s">
        <v>7823</v>
      </c>
      <c r="C3293" t="s">
        <v>9773</v>
      </c>
      <c r="D3293" t="s">
        <v>14381</v>
      </c>
      <c r="E3293" t="s">
        <v>16271</v>
      </c>
      <c r="F3293">
        <f>HYPERLINK("https://www2.assemblee-nationale.fr/sycomore/fiche/(num_dept)/4919", "4919.0")</f>
        <v>0</v>
      </c>
      <c r="H3293">
        <f>HYPERLINK("https://www.wikidata.org/wiki/Q2865214", "Q2865214")</f>
        <v>0</v>
      </c>
    </row>
    <row r="3294" spans="1:8">
      <c r="A3294" t="s">
        <v>3300</v>
      </c>
      <c r="B3294" t="s">
        <v>7824</v>
      </c>
      <c r="C3294" t="s">
        <v>7782</v>
      </c>
      <c r="D3294" t="s">
        <v>14382</v>
      </c>
      <c r="E3294" s="2">
        <v>8965</v>
      </c>
      <c r="F3294">
        <f>HYPERLINK("https://www2.assemblee-nationale.fr/sycomore/fiche/(num_dept)/4921", "4921.0")</f>
        <v>0</v>
      </c>
      <c r="H3294">
        <f>HYPERLINK("https://www.wikidata.org/wiki/Q13416934", "Q13416934")</f>
        <v>0</v>
      </c>
    </row>
    <row r="3295" spans="1:8">
      <c r="A3295" t="s">
        <v>3301</v>
      </c>
      <c r="B3295" t="s">
        <v>7825</v>
      </c>
      <c r="C3295" t="s">
        <v>9344</v>
      </c>
      <c r="D3295" t="s">
        <v>14383</v>
      </c>
      <c r="E3295" t="s">
        <v>16272</v>
      </c>
      <c r="G3295">
        <f>HYPERLINK("https://www.senat.fr/senateur-3eme-republique/malens_cesar0713r3.html", "malens_cesar0713r3")</f>
        <v>0</v>
      </c>
      <c r="H3295">
        <f>HYPERLINK("https://www.wikidata.org/wiki/Q3010476", "Q3010476")</f>
        <v>0</v>
      </c>
    </row>
    <row r="3296" spans="1:8">
      <c r="A3296" t="s">
        <v>3302</v>
      </c>
      <c r="B3296" t="s">
        <v>7826</v>
      </c>
      <c r="C3296" t="s">
        <v>10721</v>
      </c>
      <c r="D3296" t="s">
        <v>14384</v>
      </c>
      <c r="E3296" s="2">
        <v>25947</v>
      </c>
      <c r="F3296">
        <f>HYPERLINK("https://www2.assemblee-nationale.fr/sycomore/fiche/(num_dept)/4925", "4925.0")</f>
        <v>0</v>
      </c>
      <c r="H3296">
        <f>HYPERLINK("https://www.wikidata.org/wiki/Q3131553", "Q3131553")</f>
        <v>0</v>
      </c>
    </row>
    <row r="3297" spans="1:8">
      <c r="A3297" t="s">
        <v>3303</v>
      </c>
      <c r="B3297" t="s">
        <v>7827</v>
      </c>
      <c r="C3297" t="s">
        <v>6864</v>
      </c>
      <c r="D3297" t="s">
        <v>14385</v>
      </c>
      <c r="E3297" s="2">
        <v>1403</v>
      </c>
      <c r="G3297">
        <f>HYPERLINK("https://www.senat.fr/senateur-3eme-republique/malezieux_francois0025r3.html", "malezieux_francois0025r3")</f>
        <v>0</v>
      </c>
      <c r="H3297">
        <f>HYPERLINK("https://www.wikidata.org/wiki/Q3085262", "Q3085262")</f>
        <v>0</v>
      </c>
    </row>
    <row r="3298" spans="1:8">
      <c r="A3298" t="s">
        <v>3304</v>
      </c>
      <c r="B3298" t="s">
        <v>7828</v>
      </c>
      <c r="C3298" t="s">
        <v>10722</v>
      </c>
      <c r="D3298" t="s">
        <v>14386</v>
      </c>
      <c r="E3298" s="2">
        <v>17847</v>
      </c>
      <c r="F3298">
        <f>HYPERLINK("https://www2.assemblee-nationale.fr/sycomore/fiche/(num_dept)/4929", "4929.0")</f>
        <v>0</v>
      </c>
      <c r="H3298">
        <f>HYPERLINK("https://www.wikidata.org/wiki/Q3371756", "Q3371756")</f>
        <v>0</v>
      </c>
    </row>
    <row r="3299" spans="1:8">
      <c r="A3299" t="s">
        <v>3305</v>
      </c>
      <c r="B3299" t="s">
        <v>7829</v>
      </c>
      <c r="C3299" t="s">
        <v>7341</v>
      </c>
      <c r="D3299" t="s">
        <v>14387</v>
      </c>
      <c r="E3299" s="2">
        <v>12342</v>
      </c>
      <c r="F3299">
        <f>HYPERLINK("https://www2.assemblee-nationale.fr/sycomore/fiche/(num_dept)/4930", "4930.0")</f>
        <v>0</v>
      </c>
      <c r="H3299">
        <f>HYPERLINK("https://www.wikidata.org/wiki/Q8313386", "Q8313386")</f>
        <v>0</v>
      </c>
    </row>
    <row r="3300" spans="1:8">
      <c r="A3300" t="s">
        <v>3306</v>
      </c>
      <c r="B3300" t="s">
        <v>7830</v>
      </c>
      <c r="C3300" t="s">
        <v>5096</v>
      </c>
      <c r="D3300" t="s">
        <v>14388</v>
      </c>
      <c r="E3300" s="2">
        <v>20553</v>
      </c>
      <c r="G3300">
        <f>HYPERLINK("https://www.senat.fr/senateur-3eme-republique/mallarme_andre0841r3.html", "mallarme_andre0841r3")</f>
        <v>0</v>
      </c>
      <c r="H3300">
        <f>HYPERLINK("https://www.wikidata.org/wiki/Q2511312", "Q2511312")</f>
        <v>0</v>
      </c>
    </row>
    <row r="3301" spans="1:8">
      <c r="A3301" t="s">
        <v>3307</v>
      </c>
      <c r="B3301" t="s">
        <v>7831</v>
      </c>
      <c r="C3301" t="s">
        <v>5096</v>
      </c>
      <c r="D3301" t="s">
        <v>14388</v>
      </c>
      <c r="E3301" s="2">
        <v>20553</v>
      </c>
      <c r="F3301">
        <f>HYPERLINK("https://www2.assemblee-nationale.fr/sycomore/fiche/(num_dept)/4931", "4931.0")</f>
        <v>0</v>
      </c>
      <c r="H3301">
        <f>HYPERLINK("https://www.wikidata.org/wiki/Q2511312", "Q2511312")</f>
        <v>0</v>
      </c>
    </row>
    <row r="3302" spans="1:8">
      <c r="A3302" t="s">
        <v>3308</v>
      </c>
      <c r="B3302" t="s">
        <v>7832</v>
      </c>
      <c r="C3302" t="s">
        <v>10723</v>
      </c>
      <c r="D3302" t="s">
        <v>14389</v>
      </c>
      <c r="E3302" t="s">
        <v>16273</v>
      </c>
      <c r="F3302">
        <f>HYPERLINK("https://www2.assemblee-nationale.fr/sycomore/fiche/(num_dept)/8075", "8075.0")</f>
        <v>0</v>
      </c>
      <c r="H3302">
        <f>HYPERLINK("https://www.wikidata.org/wiki/Q16026032", "Q16026032")</f>
        <v>0</v>
      </c>
    </row>
    <row r="3303" spans="1:8">
      <c r="A3303" t="s">
        <v>3309</v>
      </c>
      <c r="B3303" t="s">
        <v>7833</v>
      </c>
      <c r="C3303" t="s">
        <v>9373</v>
      </c>
      <c r="D3303" t="s">
        <v>14390</v>
      </c>
      <c r="E3303" s="2">
        <v>3347</v>
      </c>
      <c r="F3303">
        <f>HYPERLINK("https://www2.assemblee-nationale.fr/sycomore/fiche/(num_dept)/8072", "8072.0")</f>
        <v>0</v>
      </c>
      <c r="H3303">
        <f>HYPERLINK("https://www.wikidata.org/wiki/Q16026033", "Q16026033")</f>
        <v>0</v>
      </c>
    </row>
    <row r="3304" spans="1:8">
      <c r="A3304" t="s">
        <v>3310</v>
      </c>
      <c r="B3304" t="s">
        <v>7833</v>
      </c>
      <c r="C3304" t="s">
        <v>10724</v>
      </c>
      <c r="D3304" t="s">
        <v>14391</v>
      </c>
      <c r="E3304" s="2">
        <v>24233</v>
      </c>
      <c r="F3304">
        <f>HYPERLINK("https://www2.assemblee-nationale.fr/sycomore/fiche/(num_dept)/4938", "4938.0")</f>
        <v>0</v>
      </c>
      <c r="H3304">
        <f>HYPERLINK("https://www.wikidata.org/wiki/Q3057065", "Q3057065")</f>
        <v>0</v>
      </c>
    </row>
    <row r="3305" spans="1:8">
      <c r="A3305" t="s">
        <v>3311</v>
      </c>
      <c r="B3305" t="s">
        <v>7834</v>
      </c>
      <c r="C3305" t="s">
        <v>9430</v>
      </c>
      <c r="D3305" t="s">
        <v>14392</v>
      </c>
      <c r="E3305" s="2">
        <v>13664</v>
      </c>
      <c r="G3305">
        <f>HYPERLINK("https://www.senat.fr/senateur-3eme-republique/malsang_paul1001r3.html", "malsang_paul1001r3")</f>
        <v>0</v>
      </c>
      <c r="H3305">
        <f>HYPERLINK("https://www.wikidata.org/wiki/Q3371758", "Q3371758")</f>
        <v>0</v>
      </c>
    </row>
    <row r="3306" spans="1:8">
      <c r="A3306" t="s">
        <v>3312</v>
      </c>
      <c r="B3306" t="s">
        <v>7835</v>
      </c>
      <c r="C3306" t="s">
        <v>10725</v>
      </c>
      <c r="D3306" t="s">
        <v>14393</v>
      </c>
      <c r="E3306" s="2">
        <v>18059</v>
      </c>
      <c r="F3306">
        <f>HYPERLINK("https://www2.assemblee-nationale.fr/sycomore/fiche/(num_dept)/4940", "4940.0")</f>
        <v>0</v>
      </c>
      <c r="H3306">
        <f>HYPERLINK("https://www.wikidata.org/wiki/Q3262600", "Q3262600")</f>
        <v>0</v>
      </c>
    </row>
    <row r="3307" spans="1:8">
      <c r="A3307" t="s">
        <v>3313</v>
      </c>
      <c r="B3307" t="s">
        <v>7836</v>
      </c>
      <c r="C3307" t="s">
        <v>10726</v>
      </c>
      <c r="D3307" t="s">
        <v>12354</v>
      </c>
      <c r="E3307" s="2">
        <v>9227</v>
      </c>
      <c r="F3307">
        <f>HYPERLINK("https://www2.assemblee-nationale.fr/sycomore/fiche/(num_dept)/4942", "4942.0")</f>
        <v>0</v>
      </c>
      <c r="H3307">
        <f>HYPERLINK("https://www.wikidata.org/wiki/Q3315885", "Q3315885")</f>
        <v>0</v>
      </c>
    </row>
    <row r="3308" spans="1:8">
      <c r="A3308" t="s">
        <v>3314</v>
      </c>
      <c r="B3308" t="s">
        <v>7837</v>
      </c>
      <c r="C3308" t="s">
        <v>10727</v>
      </c>
      <c r="D3308" t="s">
        <v>14385</v>
      </c>
      <c r="E3308" s="2">
        <v>1769</v>
      </c>
      <c r="F3308">
        <f>HYPERLINK("https://www2.assemblee-nationale.fr/sycomore/fiche/(num_dept)/4926", "4926.0")</f>
        <v>0</v>
      </c>
      <c r="H3308">
        <f>HYPERLINK("https://www.wikidata.org/wiki/Q3085262", "Q3085262")</f>
        <v>0</v>
      </c>
    </row>
    <row r="3309" spans="1:8">
      <c r="A3309" t="s">
        <v>3315</v>
      </c>
      <c r="B3309" t="s">
        <v>7838</v>
      </c>
      <c r="C3309" t="s">
        <v>9634</v>
      </c>
      <c r="D3309" t="s">
        <v>12649</v>
      </c>
      <c r="E3309" s="2">
        <v>16145</v>
      </c>
      <c r="F3309">
        <f>HYPERLINK("https://www2.assemblee-nationale.fr/sycomore/fiche/(num_dept)/4945", "4945.0")</f>
        <v>0</v>
      </c>
      <c r="H3309">
        <f>HYPERLINK("https://www.wikidata.org/wiki/Q15972141", "Q15972141")</f>
        <v>0</v>
      </c>
    </row>
    <row r="3310" spans="1:8">
      <c r="A3310" t="s">
        <v>3316</v>
      </c>
      <c r="B3310" t="s">
        <v>7838</v>
      </c>
      <c r="C3310" t="s">
        <v>10728</v>
      </c>
      <c r="D3310" t="s">
        <v>14394</v>
      </c>
      <c r="E3310" s="2">
        <v>33853</v>
      </c>
      <c r="F3310">
        <f>HYPERLINK("https://www2.assemblee-nationale.fr/sycomore/fiche/(num_dept)/4946", "4946.0")</f>
        <v>0</v>
      </c>
      <c r="H3310">
        <f>HYPERLINK("https://www.wikidata.org/wiki/Q3426588", "Q3426588")</f>
        <v>0</v>
      </c>
    </row>
    <row r="3311" spans="1:8">
      <c r="A3311" t="s">
        <v>3317</v>
      </c>
      <c r="B3311" t="s">
        <v>7839</v>
      </c>
      <c r="C3311" t="s">
        <v>10167</v>
      </c>
      <c r="D3311" t="s">
        <v>14395</v>
      </c>
      <c r="E3311" s="2">
        <v>18005</v>
      </c>
      <c r="F3311">
        <f>HYPERLINK("https://www2.assemblee-nationale.fr/sycomore/fiche/(num_dept)/4947", "4947.0")</f>
        <v>0</v>
      </c>
      <c r="G3311">
        <f>HYPERLINK("https://www.senat.fr/senateur-3eme-republique/manceau_anatole1155r3.html", "manceau_anatole1155r3")</f>
        <v>0</v>
      </c>
      <c r="H3311">
        <f>HYPERLINK("https://www.wikidata.org/wiki/Q2845594", "Q2845594")</f>
        <v>0</v>
      </c>
    </row>
    <row r="3312" spans="1:8">
      <c r="A3312" t="s">
        <v>3318</v>
      </c>
      <c r="B3312" t="s">
        <v>7840</v>
      </c>
      <c r="C3312" t="s">
        <v>7001</v>
      </c>
      <c r="D3312" t="s">
        <v>14396</v>
      </c>
      <c r="E3312" s="2">
        <v>16260</v>
      </c>
      <c r="F3312">
        <f>HYPERLINK("https://www2.assemblee-nationale.fr/sycomore/fiche/(num_dept)/4952", "4952.0")</f>
        <v>0</v>
      </c>
      <c r="H3312">
        <f>HYPERLINK("https://www.wikidata.org/wiki/Q669893", "Q669893")</f>
        <v>0</v>
      </c>
    </row>
    <row r="3313" spans="1:8">
      <c r="A3313" t="s">
        <v>3319</v>
      </c>
      <c r="B3313" t="s">
        <v>7841</v>
      </c>
      <c r="C3313" t="s">
        <v>9377</v>
      </c>
      <c r="D3313" t="s">
        <v>14397</v>
      </c>
      <c r="E3313" s="2">
        <v>5260</v>
      </c>
      <c r="F3313">
        <f>HYPERLINK("https://www2.assemblee-nationale.fr/sycomore/fiche/(num_dept)/4953", "4953.0")</f>
        <v>0</v>
      </c>
      <c r="H3313">
        <f>HYPERLINK("https://www.wikidata.org/wiki/Q16026034", "Q16026034")</f>
        <v>0</v>
      </c>
    </row>
    <row r="3314" spans="1:8">
      <c r="A3314" t="s">
        <v>3320</v>
      </c>
      <c r="B3314" t="s">
        <v>7842</v>
      </c>
      <c r="C3314" t="s">
        <v>9368</v>
      </c>
      <c r="D3314" t="s">
        <v>14398</v>
      </c>
      <c r="G3314">
        <f>HYPERLINK("https://www.senat.fr/senateur-3eme-republique/mando_eugene0573r3.html", "mando_eugene0573r3")</f>
        <v>0</v>
      </c>
      <c r="H3314">
        <f>HYPERLINK("https://www.wikidata.org/wiki/Q3060013", "Q3060013")</f>
        <v>0</v>
      </c>
    </row>
    <row r="3315" spans="1:8">
      <c r="A3315" t="s">
        <v>3321</v>
      </c>
      <c r="B3315" t="s">
        <v>7843</v>
      </c>
      <c r="C3315" t="s">
        <v>9368</v>
      </c>
      <c r="D3315" t="s">
        <v>14399</v>
      </c>
      <c r="E3315" s="2">
        <v>14322</v>
      </c>
      <c r="F3315">
        <f>HYPERLINK("https://www2.assemblee-nationale.fr/sycomore/fiche/(num_dept)/4954", "4954.0")</f>
        <v>0</v>
      </c>
      <c r="H3315">
        <f>HYPERLINK("https://www.wikidata.org/wiki/Q3060013", "Q3060013")</f>
        <v>0</v>
      </c>
    </row>
    <row r="3316" spans="1:8">
      <c r="A3316" t="s">
        <v>3322</v>
      </c>
      <c r="B3316" t="s">
        <v>7844</v>
      </c>
      <c r="C3316" t="s">
        <v>10729</v>
      </c>
      <c r="D3316" t="s">
        <v>14400</v>
      </c>
      <c r="E3316" s="2">
        <v>20998</v>
      </c>
      <c r="F3316">
        <f>HYPERLINK("https://www2.assemblee-nationale.fr/sycomore/fiche/(num_dept)/4957", "4957.0")</f>
        <v>0</v>
      </c>
      <c r="H3316">
        <f>HYPERLINK("https://www.wikidata.org/wiki/Q16026035", "Q16026035")</f>
        <v>0</v>
      </c>
    </row>
    <row r="3317" spans="1:8">
      <c r="A3317" t="s">
        <v>3323</v>
      </c>
      <c r="B3317" t="s">
        <v>7845</v>
      </c>
      <c r="C3317" t="s">
        <v>9512</v>
      </c>
      <c r="D3317" t="s">
        <v>14401</v>
      </c>
      <c r="E3317" s="2">
        <v>23549</v>
      </c>
      <c r="F3317">
        <f>HYPERLINK("https://www2.assemblee-nationale.fr/sycomore/fiche/(num_dept)/4958", "4958.0")</f>
        <v>0</v>
      </c>
      <c r="H3317">
        <f>HYPERLINK("https://www.wikidata.org/wiki/Q2310999", "Q2310999")</f>
        <v>0</v>
      </c>
    </row>
    <row r="3318" spans="1:8">
      <c r="A3318" t="s">
        <v>3324</v>
      </c>
      <c r="B3318" t="s">
        <v>7846</v>
      </c>
      <c r="C3318" t="s">
        <v>7754</v>
      </c>
      <c r="D3318" t="s">
        <v>14402</v>
      </c>
      <c r="G3318">
        <f>HYPERLINK("https://www.senat.fr/senateur-3eme-republique/mangini_louis1126r3.html", "mangini_louis1126r3")</f>
        <v>0</v>
      </c>
      <c r="H3318">
        <f>HYPERLINK("https://www.wikidata.org/wiki/Q3265625", "Q3265625")</f>
        <v>0</v>
      </c>
    </row>
    <row r="3319" spans="1:8">
      <c r="A3319" t="s">
        <v>3325</v>
      </c>
      <c r="B3319" t="s">
        <v>7847</v>
      </c>
      <c r="C3319" t="s">
        <v>10730</v>
      </c>
      <c r="D3319" t="s">
        <v>14403</v>
      </c>
      <c r="E3319" t="s">
        <v>16274</v>
      </c>
      <c r="F3319">
        <f>HYPERLINK("https://www2.assemblee-nationale.fr/sycomore/fiche/(num_dept)/8175", "8175.0")</f>
        <v>0</v>
      </c>
      <c r="H3319">
        <f>HYPERLINK("https://www.wikidata.org/wiki/Q3134582", "Q3134582")</f>
        <v>0</v>
      </c>
    </row>
    <row r="3320" spans="1:8">
      <c r="A3320" t="s">
        <v>3326</v>
      </c>
      <c r="B3320" t="s">
        <v>7848</v>
      </c>
      <c r="C3320" t="s">
        <v>8384</v>
      </c>
      <c r="D3320" t="s">
        <v>14404</v>
      </c>
      <c r="E3320" s="2">
        <v>17493</v>
      </c>
      <c r="F3320">
        <f>HYPERLINK("https://www2.assemblee-nationale.fr/sycomore/fiche/(num_dept)/4961", "4961.0")</f>
        <v>0</v>
      </c>
      <c r="H3320">
        <f>HYPERLINK("https://www.wikidata.org/wiki/Q16026036", "Q16026036")</f>
        <v>0</v>
      </c>
    </row>
    <row r="3321" spans="1:8">
      <c r="A3321" t="s">
        <v>3327</v>
      </c>
      <c r="B3321" t="s">
        <v>7849</v>
      </c>
      <c r="C3321" t="s">
        <v>9564</v>
      </c>
      <c r="D3321" t="s">
        <v>13793</v>
      </c>
      <c r="E3321" s="2">
        <v>5515</v>
      </c>
      <c r="G3321">
        <f>HYPERLINK("https://www.senat.fr/senateur-3eme-republique/maquennehen_alfred1650r3.html", "maquennehen_alfred1650r3")</f>
        <v>0</v>
      </c>
      <c r="H3321">
        <f>HYPERLINK("https://www.wikidata.org/wiki/Q2835302", "Q2835302")</f>
        <v>0</v>
      </c>
    </row>
    <row r="3322" spans="1:8">
      <c r="A3322" t="s">
        <v>3328</v>
      </c>
      <c r="B3322" t="s">
        <v>7850</v>
      </c>
      <c r="C3322" t="s">
        <v>9773</v>
      </c>
      <c r="D3322" t="s">
        <v>14405</v>
      </c>
      <c r="E3322" s="2">
        <v>16453</v>
      </c>
      <c r="G3322">
        <f>HYPERLINK("https://www.senat.fr/senateur-3eme-republique/maranget_arthur0866r3.html", "maranget_arthur0866r3")</f>
        <v>0</v>
      </c>
      <c r="H3322">
        <f>HYPERLINK("https://www.wikidata.org/wiki/Q2865218", "Q2865218")</f>
        <v>0</v>
      </c>
    </row>
    <row r="3323" spans="1:8">
      <c r="A3323" t="s">
        <v>3329</v>
      </c>
      <c r="B3323" t="s">
        <v>7851</v>
      </c>
      <c r="C3323" t="s">
        <v>7314</v>
      </c>
      <c r="D3323" t="s">
        <v>14406</v>
      </c>
      <c r="E3323" s="2">
        <v>19503</v>
      </c>
      <c r="F3323">
        <f>HYPERLINK("https://www2.assemblee-nationale.fr/sycomore/fiche/(num_dept)/4968", "4968.0")</f>
        <v>0</v>
      </c>
      <c r="H3323">
        <f>HYPERLINK("https://www.wikidata.org/wiki/Q16026037", "Q16026037")</f>
        <v>0</v>
      </c>
    </row>
    <row r="3324" spans="1:8">
      <c r="A3324" t="s">
        <v>3330</v>
      </c>
      <c r="B3324" t="s">
        <v>7852</v>
      </c>
      <c r="C3324" t="s">
        <v>5058</v>
      </c>
      <c r="D3324" t="s">
        <v>11717</v>
      </c>
      <c r="E3324" t="s">
        <v>15859</v>
      </c>
      <c r="G3324">
        <f>HYPERLINK("https://www.senat.fr/senateur-3eme-republique/marchais_de_la_berge_albert1365r3.html", "marchais_de_la_berge_albert1365r3")</f>
        <v>0</v>
      </c>
      <c r="H3324">
        <f>HYPERLINK("https://www.wikidata.org/wiki/Q2831379", "Q2831379")</f>
        <v>0</v>
      </c>
    </row>
    <row r="3325" spans="1:8">
      <c r="A3325" t="s">
        <v>3331</v>
      </c>
      <c r="B3325" t="s">
        <v>7853</v>
      </c>
      <c r="C3325" t="s">
        <v>10731</v>
      </c>
      <c r="D3325" t="s">
        <v>14407</v>
      </c>
      <c r="E3325" s="2">
        <v>16441</v>
      </c>
      <c r="F3325">
        <f>HYPERLINK("https://www2.assemblee-nationale.fr/sycomore/fiche/(num_dept)/4971", "4971.0")</f>
        <v>0</v>
      </c>
      <c r="H3325">
        <f>HYPERLINK("https://www.wikidata.org/wiki/Q3301111", "Q3301111")</f>
        <v>0</v>
      </c>
    </row>
    <row r="3326" spans="1:8">
      <c r="A3326" t="s">
        <v>3332</v>
      </c>
      <c r="B3326" t="s">
        <v>7854</v>
      </c>
      <c r="C3326" t="s">
        <v>9966</v>
      </c>
      <c r="D3326" t="s">
        <v>14164</v>
      </c>
      <c r="F3326">
        <f>HYPERLINK("https://www2.assemblee-nationale.fr/sycomore/fiche/(num_dept)/4972", "4972.0")</f>
        <v>0</v>
      </c>
      <c r="H3326">
        <f>HYPERLINK("https://www.wikidata.org/wiki/Q19631250", "Q19631250")</f>
        <v>0</v>
      </c>
    </row>
    <row r="3327" spans="1:8">
      <c r="A3327" t="s">
        <v>3333</v>
      </c>
      <c r="B3327" t="s">
        <v>7855</v>
      </c>
      <c r="C3327" t="s">
        <v>10732</v>
      </c>
      <c r="D3327" t="s">
        <v>13716</v>
      </c>
      <c r="E3327" s="2">
        <v>8443</v>
      </c>
      <c r="F3327">
        <f>HYPERLINK("https://www2.assemblee-nationale.fr/sycomore/fiche/(num_dept)/4975", "4975.0")</f>
        <v>0</v>
      </c>
      <c r="H3327">
        <f>HYPERLINK("https://www.wikidata.org/wiki/Q16026039", "Q16026039")</f>
        <v>0</v>
      </c>
    </row>
    <row r="3328" spans="1:8">
      <c r="A3328" t="s">
        <v>3334</v>
      </c>
      <c r="B3328" t="s">
        <v>7856</v>
      </c>
      <c r="C3328" t="s">
        <v>10733</v>
      </c>
      <c r="D3328" t="s">
        <v>14408</v>
      </c>
      <c r="E3328" s="2">
        <v>24989</v>
      </c>
      <c r="F3328">
        <f>HYPERLINK("https://www2.assemblee-nationale.fr/sycomore/fiche/(num_dept)/4976", "4976.0")</f>
        <v>0</v>
      </c>
      <c r="H3328">
        <f>HYPERLINK("https://www.wikidata.org/wiki/Q3371769", "Q3371769")</f>
        <v>0</v>
      </c>
    </row>
    <row r="3329" spans="1:8">
      <c r="A3329" t="s">
        <v>3335</v>
      </c>
      <c r="B3329" t="s">
        <v>7857</v>
      </c>
      <c r="C3329" t="s">
        <v>7754</v>
      </c>
      <c r="D3329" t="s">
        <v>14409</v>
      </c>
      <c r="E3329" s="2">
        <v>12312</v>
      </c>
      <c r="F3329">
        <f>HYPERLINK("https://www2.assemblee-nationale.fr/sycomore/fiche/(num_dept)/4978", "4978.0")</f>
        <v>0</v>
      </c>
      <c r="H3329">
        <f>HYPERLINK("https://www.wikidata.org/wiki/Q2913632", "Q2913632")</f>
        <v>0</v>
      </c>
    </row>
    <row r="3330" spans="1:8">
      <c r="A3330" t="s">
        <v>3336</v>
      </c>
      <c r="B3330" t="s">
        <v>7858</v>
      </c>
      <c r="C3330" t="s">
        <v>9430</v>
      </c>
      <c r="D3330" t="s">
        <v>14410</v>
      </c>
      <c r="E3330" s="2">
        <v>4303</v>
      </c>
      <c r="F3330">
        <f>HYPERLINK("https://www2.assemblee-nationale.fr/sycomore/fiche/(num_dept)/4980", "4980.0")</f>
        <v>0</v>
      </c>
      <c r="H3330">
        <f>HYPERLINK("https://www.wikidata.org/wiki/Q16026040", "Q16026040")</f>
        <v>0</v>
      </c>
    </row>
    <row r="3331" spans="1:8">
      <c r="A3331" t="s">
        <v>3337</v>
      </c>
      <c r="B3331" t="s">
        <v>7859</v>
      </c>
      <c r="C3331" t="s">
        <v>10734</v>
      </c>
      <c r="D3331" t="s">
        <v>14411</v>
      </c>
      <c r="E3331" s="2">
        <v>20099</v>
      </c>
      <c r="F3331">
        <f>HYPERLINK("https://www2.assemblee-nationale.fr/sycomore/fiche/(num_dept)/4981", "4981.0")</f>
        <v>0</v>
      </c>
      <c r="H3331">
        <f>HYPERLINK("https://www.wikidata.org/wiki/Q3426598", "Q3426598")</f>
        <v>0</v>
      </c>
    </row>
    <row r="3332" spans="1:8">
      <c r="A3332" t="s">
        <v>3338</v>
      </c>
      <c r="B3332" t="s">
        <v>7860</v>
      </c>
      <c r="C3332" t="s">
        <v>8370</v>
      </c>
      <c r="D3332" t="s">
        <v>14412</v>
      </c>
      <c r="E3332" s="2">
        <v>12948</v>
      </c>
      <c r="F3332">
        <f>HYPERLINK("https://www2.assemblee-nationale.fr/sycomore/fiche/(num_dept)/4982", "4982.0")</f>
        <v>0</v>
      </c>
      <c r="H3332">
        <f>HYPERLINK("https://www.wikidata.org/wiki/Q3380310", "Q3380310")</f>
        <v>0</v>
      </c>
    </row>
    <row r="3333" spans="1:8">
      <c r="A3333" t="s">
        <v>3339</v>
      </c>
      <c r="B3333" t="s">
        <v>7861</v>
      </c>
      <c r="C3333" t="s">
        <v>10735</v>
      </c>
      <c r="D3333" t="s">
        <v>14413</v>
      </c>
      <c r="E3333" t="s">
        <v>16275</v>
      </c>
      <c r="F3333">
        <f>HYPERLINK("https://www2.assemblee-nationale.fr/sycomore/fiche/(num_dept)/4983", "4983.0")</f>
        <v>0</v>
      </c>
      <c r="G3333">
        <f>HYPERLINK("https://www.senat.fr/senateur-3eme-republique/marcou_theophile0257r3.html", "marcou_theophile0257r3")</f>
        <v>0</v>
      </c>
      <c r="H3333">
        <f>HYPERLINK("https://www.wikidata.org/wiki/Q3526673", "Q3526673")</f>
        <v>0</v>
      </c>
    </row>
    <row r="3334" spans="1:8">
      <c r="A3334" t="s">
        <v>3340</v>
      </c>
      <c r="B3334" t="s">
        <v>7862</v>
      </c>
      <c r="C3334" t="s">
        <v>10736</v>
      </c>
      <c r="D3334" t="s">
        <v>12937</v>
      </c>
      <c r="E3334" s="2">
        <v>6691</v>
      </c>
      <c r="F3334">
        <f>HYPERLINK("https://www2.assemblee-nationale.fr/sycomore/fiche/(num_dept)/8188", "8188.0")</f>
        <v>0</v>
      </c>
      <c r="H3334">
        <f>HYPERLINK("https://www.wikidata.org/wiki/Q2793541", "Q2793541")</f>
        <v>0</v>
      </c>
    </row>
    <row r="3335" spans="1:8">
      <c r="A3335" t="s">
        <v>3341</v>
      </c>
      <c r="B3335" t="s">
        <v>7863</v>
      </c>
      <c r="C3335" t="s">
        <v>9434</v>
      </c>
      <c r="D3335" t="s">
        <v>14414</v>
      </c>
      <c r="E3335" s="2">
        <v>1714</v>
      </c>
      <c r="F3335">
        <f>HYPERLINK("https://www2.assemblee-nationale.fr/sycomore/fiche/(num_dept)/7597", "7597.0")</f>
        <v>0</v>
      </c>
      <c r="H3335">
        <f>HYPERLINK("https://www.wikidata.org/wiki/Q3103051", "Q3103051")</f>
        <v>0</v>
      </c>
    </row>
    <row r="3336" spans="1:8">
      <c r="A3336" t="s">
        <v>3342</v>
      </c>
      <c r="B3336" t="s">
        <v>7864</v>
      </c>
      <c r="C3336" t="s">
        <v>9430</v>
      </c>
      <c r="D3336" t="s">
        <v>14415</v>
      </c>
      <c r="G3336">
        <f>HYPERLINK("https://www.senat.fr/senateur-3eme-republique/maret_paul1644r3.html", "maret_paul1644r3")</f>
        <v>0</v>
      </c>
      <c r="H3336">
        <f>HYPERLINK("https://www.wikidata.org/wiki/Q3371773", "Q3371773")</f>
        <v>0</v>
      </c>
    </row>
    <row r="3337" spans="1:8">
      <c r="A3337" t="s">
        <v>3343</v>
      </c>
      <c r="B3337" t="s">
        <v>7865</v>
      </c>
      <c r="C3337" t="s">
        <v>7233</v>
      </c>
      <c r="D3337" t="s">
        <v>14416</v>
      </c>
      <c r="E3337" s="2">
        <v>6215</v>
      </c>
      <c r="F3337">
        <f>HYPERLINK("https://www2.assemblee-nationale.fr/sycomore/fiche/(num_dept)/4988", "4988.0")</f>
        <v>0</v>
      </c>
      <c r="H3337">
        <f>HYPERLINK("https://www.wikidata.org/wiki/Q3131564", "Q3131564")</f>
        <v>0</v>
      </c>
    </row>
    <row r="3338" spans="1:8">
      <c r="A3338" t="s">
        <v>3344</v>
      </c>
      <c r="B3338" t="s">
        <v>7866</v>
      </c>
      <c r="C3338" t="s">
        <v>9533</v>
      </c>
      <c r="D3338" t="s">
        <v>14417</v>
      </c>
      <c r="E3338" t="s">
        <v>16276</v>
      </c>
      <c r="F3338">
        <f>HYPERLINK("https://www2.assemblee-nationale.fr/sycomore/fiche/(num_dept)/4990", "4990.0")</f>
        <v>0</v>
      </c>
      <c r="H3338">
        <f>HYPERLINK("https://www.wikidata.org/wiki/Q16026022", "Q16026022")</f>
        <v>0</v>
      </c>
    </row>
    <row r="3339" spans="1:8">
      <c r="A3339" t="s">
        <v>3345</v>
      </c>
      <c r="B3339" t="s">
        <v>7867</v>
      </c>
      <c r="C3339" t="s">
        <v>10737</v>
      </c>
      <c r="D3339" t="s">
        <v>14418</v>
      </c>
      <c r="E3339" t="s">
        <v>16277</v>
      </c>
      <c r="F3339">
        <f>HYPERLINK("https://www2.assemblee-nationale.fr/sycomore/fiche/(num_dept)/7999", "7999.0")</f>
        <v>0</v>
      </c>
      <c r="G3339">
        <f>HYPERLINK("https://www.senat.fr/senateur-3eme-republique/margaine_henri0639r3.html", "margaine_henri0639r3")</f>
        <v>0</v>
      </c>
      <c r="H3339">
        <f>HYPERLINK("https://www.wikidata.org/wiki/Q2935008", "Q2935008")</f>
        <v>0</v>
      </c>
    </row>
    <row r="3340" spans="1:8">
      <c r="A3340" t="s">
        <v>3346</v>
      </c>
      <c r="B3340" t="s">
        <v>7867</v>
      </c>
      <c r="C3340" t="s">
        <v>9564</v>
      </c>
      <c r="D3340" t="s">
        <v>14419</v>
      </c>
      <c r="E3340" s="2">
        <v>19466</v>
      </c>
      <c r="F3340">
        <f>HYPERLINK("https://www2.assemblee-nationale.fr/sycomore/fiche/(num_dept)/4991", "4991.0")</f>
        <v>0</v>
      </c>
      <c r="H3340">
        <f>HYPERLINK("https://www.wikidata.org/wiki/Q2835305", "Q2835305")</f>
        <v>0</v>
      </c>
    </row>
    <row r="3341" spans="1:8">
      <c r="A3341" t="s">
        <v>3347</v>
      </c>
      <c r="B3341" t="s">
        <v>7868</v>
      </c>
      <c r="C3341" t="s">
        <v>10738</v>
      </c>
      <c r="D3341" t="s">
        <v>14420</v>
      </c>
      <c r="E3341" t="s">
        <v>16278</v>
      </c>
      <c r="F3341">
        <f>HYPERLINK("https://www2.assemblee-nationale.fr/sycomore/fiche/(num_dept)/8236", "8236.0")</f>
        <v>0</v>
      </c>
      <c r="H3341">
        <f>HYPERLINK("https://www.wikidata.org/wiki/Q2400323", "Q2400323")</f>
        <v>0</v>
      </c>
    </row>
    <row r="3342" spans="1:8">
      <c r="A3342" t="s">
        <v>3348</v>
      </c>
      <c r="B3342" t="s">
        <v>7869</v>
      </c>
      <c r="C3342" t="s">
        <v>5096</v>
      </c>
      <c r="D3342" t="s">
        <v>14421</v>
      </c>
      <c r="E3342" s="2">
        <v>27192</v>
      </c>
      <c r="F3342">
        <f>HYPERLINK("https://www2.assemblee-nationale.fr/sycomore/fiche/(num_dept)/4997", "4997.0")</f>
        <v>0</v>
      </c>
      <c r="H3342">
        <f>HYPERLINK("https://www.wikidata.org/wiki/Q440565", "Q440565")</f>
        <v>0</v>
      </c>
    </row>
    <row r="3343" spans="1:8">
      <c r="A3343" t="s">
        <v>3349</v>
      </c>
      <c r="B3343" t="s">
        <v>7870</v>
      </c>
      <c r="C3343" t="s">
        <v>10739</v>
      </c>
      <c r="D3343" t="s">
        <v>14422</v>
      </c>
      <c r="E3343" s="2">
        <v>5261</v>
      </c>
      <c r="F3343">
        <f>HYPERLINK("https://www2.assemblee-nationale.fr/sycomore/fiche/(num_dept)/5000", "5000.0")</f>
        <v>0</v>
      </c>
      <c r="H3343">
        <f>HYPERLINK("https://www.wikidata.org/wiki/Q3179709", "Q3179709")</f>
        <v>0</v>
      </c>
    </row>
    <row r="3344" spans="1:8">
      <c r="A3344" t="s">
        <v>3350</v>
      </c>
      <c r="B3344" t="s">
        <v>7871</v>
      </c>
      <c r="C3344" t="s">
        <v>10740</v>
      </c>
      <c r="D3344" t="s">
        <v>12772</v>
      </c>
      <c r="E3344" s="2">
        <v>21835</v>
      </c>
      <c r="F3344">
        <f>HYPERLINK("https://www2.assemblee-nationale.fr/sycomore/fiche/(num_dept)/5003", "5003.0")</f>
        <v>0</v>
      </c>
      <c r="H3344">
        <f>HYPERLINK("https://www.wikidata.org/wiki/Q16026043", "Q16026043")</f>
        <v>0</v>
      </c>
    </row>
    <row r="3345" spans="1:8">
      <c r="A3345" t="s">
        <v>3351</v>
      </c>
      <c r="B3345" t="s">
        <v>7872</v>
      </c>
      <c r="C3345" t="s">
        <v>7754</v>
      </c>
      <c r="D3345" t="s">
        <v>12227</v>
      </c>
      <c r="E3345" s="2">
        <v>22059</v>
      </c>
      <c r="F3345">
        <f>HYPERLINK("https://www2.assemblee-nationale.fr/sycomore/fiche/(num_dept)/5001", "5001.0")</f>
        <v>0</v>
      </c>
      <c r="H3345">
        <f>HYPERLINK("https://www.wikidata.org/wiki/Q1229977", "Q1229977")</f>
        <v>0</v>
      </c>
    </row>
    <row r="3346" spans="1:8">
      <c r="A3346" t="s">
        <v>3352</v>
      </c>
      <c r="B3346" t="s">
        <v>7873</v>
      </c>
      <c r="C3346" t="s">
        <v>9373</v>
      </c>
      <c r="D3346" t="s">
        <v>13259</v>
      </c>
      <c r="E3346" t="s">
        <v>16083</v>
      </c>
      <c r="G3346">
        <f>HYPERLINK("https://www.senat.fr/senateur-3eme-republique/marion_de_faverges_joseph1196r3.html", "marion_de_faverges_joseph1196r3")</f>
        <v>0</v>
      </c>
      <c r="H3346">
        <f>HYPERLINK("https://www.wikidata.org/wiki/Q2385779", "Q2385779")</f>
        <v>0</v>
      </c>
    </row>
    <row r="3347" spans="1:8">
      <c r="A3347" t="s">
        <v>3353</v>
      </c>
      <c r="B3347" t="s">
        <v>7874</v>
      </c>
      <c r="C3347" t="s">
        <v>10207</v>
      </c>
      <c r="D3347" t="s">
        <v>14423</v>
      </c>
      <c r="F3347">
        <f>HYPERLINK("https://www2.assemblee-nationale.fr/sycomore/fiche/(num_dept)/5007", "5007.0")</f>
        <v>0</v>
      </c>
      <c r="H3347">
        <f>HYPERLINK("https://www.wikidata.org/wiki/Q16026044", "Q16026044")</f>
        <v>0</v>
      </c>
    </row>
    <row r="3348" spans="1:8">
      <c r="A3348" t="s">
        <v>3354</v>
      </c>
      <c r="B3348" t="s">
        <v>7875</v>
      </c>
      <c r="C3348" t="s">
        <v>9324</v>
      </c>
      <c r="D3348" t="s">
        <v>14424</v>
      </c>
      <c r="E3348" s="2">
        <v>36</v>
      </c>
      <c r="F3348">
        <f>HYPERLINK("https://www2.assemblee-nationale.fr/sycomore/fiche/(num_dept)/8000", "8000.0")</f>
        <v>0</v>
      </c>
      <c r="H3348">
        <f>HYPERLINK("https://www.wikidata.org/wiki/Q16026045", "Q16026045")</f>
        <v>0</v>
      </c>
    </row>
    <row r="3349" spans="1:8">
      <c r="A3349" t="s">
        <v>3355</v>
      </c>
      <c r="B3349" t="s">
        <v>7876</v>
      </c>
      <c r="C3349" t="s">
        <v>10741</v>
      </c>
      <c r="D3349" t="s">
        <v>14425</v>
      </c>
      <c r="E3349" s="2">
        <v>5119</v>
      </c>
      <c r="F3349">
        <f>HYPERLINK("https://www2.assemblee-nationale.fr/sycomore/fiche/(num_dept)/5011", "5011.0")</f>
        <v>0</v>
      </c>
      <c r="H3349">
        <f>HYPERLINK("https://www.wikidata.org/wiki/Q3386146", "Q3386146")</f>
        <v>0</v>
      </c>
    </row>
    <row r="3350" spans="1:8">
      <c r="A3350" t="s">
        <v>3356</v>
      </c>
      <c r="B3350" t="s">
        <v>7877</v>
      </c>
      <c r="C3350" t="s">
        <v>7342</v>
      </c>
      <c r="D3350" t="s">
        <v>12062</v>
      </c>
      <c r="E3350" s="2">
        <v>20599</v>
      </c>
      <c r="G3350">
        <f>HYPERLINK("https://www.senat.fr/senateur-3eme-republique/maroger_jean0200r4.html", "maroger_jean0200r4")</f>
        <v>0</v>
      </c>
      <c r="H3350">
        <f>HYPERLINK("https://www.wikidata.org/wiki/Q3173411", "Q3173411")</f>
        <v>0</v>
      </c>
    </row>
    <row r="3351" spans="1:8">
      <c r="A3351" t="s">
        <v>3357</v>
      </c>
      <c r="B3351" t="s">
        <v>7878</v>
      </c>
      <c r="C3351" t="s">
        <v>5096</v>
      </c>
      <c r="D3351" t="s">
        <v>14426</v>
      </c>
      <c r="E3351" s="2">
        <v>25665</v>
      </c>
      <c r="G3351">
        <f>HYPERLINK("https://www.senat.fr/senateur-3eme-republique/maroselli_andre000746.html", "maroselli_andre000746")</f>
        <v>0</v>
      </c>
      <c r="H3351">
        <f>HYPERLINK("https://www.wikidata.org/wiki/Q2848250", "Q2848250")</f>
        <v>0</v>
      </c>
    </row>
    <row r="3352" spans="1:8">
      <c r="A3352" t="s">
        <v>3358</v>
      </c>
      <c r="B3352" t="s">
        <v>7879</v>
      </c>
      <c r="C3352" t="s">
        <v>10742</v>
      </c>
      <c r="D3352" t="s">
        <v>14427</v>
      </c>
      <c r="E3352" s="2">
        <v>19094</v>
      </c>
      <c r="F3352">
        <f>HYPERLINK("https://www2.assemblee-nationale.fr/sycomore/fiche/(num_dept)/5014", "5014.0")</f>
        <v>0</v>
      </c>
      <c r="H3352">
        <f>HYPERLINK("https://www.wikidata.org/wiki/Q16026046", "Q16026046")</f>
        <v>0</v>
      </c>
    </row>
    <row r="3353" spans="1:8">
      <c r="A3353" t="s">
        <v>3359</v>
      </c>
      <c r="B3353" t="s">
        <v>7879</v>
      </c>
      <c r="C3353" t="s">
        <v>10743</v>
      </c>
      <c r="D3353" t="s">
        <v>14428</v>
      </c>
      <c r="E3353" s="2">
        <v>11850</v>
      </c>
      <c r="F3353">
        <f>HYPERLINK("https://www2.assemblee-nationale.fr/sycomore/fiche/(num_dept)/5015", "5015.0")</f>
        <v>0</v>
      </c>
      <c r="H3353">
        <f>HYPERLINK("https://www.wikidata.org/wiki/Q16026047", "Q16026047")</f>
        <v>0</v>
      </c>
    </row>
    <row r="3354" spans="1:8">
      <c r="A3354" t="s">
        <v>3360</v>
      </c>
      <c r="B3354" t="s">
        <v>7880</v>
      </c>
      <c r="C3354" t="s">
        <v>9312</v>
      </c>
      <c r="D3354" t="s">
        <v>14429</v>
      </c>
      <c r="E3354" s="2">
        <v>10612</v>
      </c>
      <c r="F3354">
        <f>HYPERLINK("https://www2.assemblee-nationale.fr/sycomore/fiche/(num_dept)/5019", "5019.0")</f>
        <v>0</v>
      </c>
      <c r="H3354">
        <f>HYPERLINK("https://www.wikidata.org/wiki/Q16026048", "Q16026048")</f>
        <v>0</v>
      </c>
    </row>
    <row r="3355" spans="1:8">
      <c r="A3355" t="s">
        <v>3361</v>
      </c>
      <c r="B3355" t="s">
        <v>7880</v>
      </c>
      <c r="C3355" t="s">
        <v>9362</v>
      </c>
      <c r="D3355" t="s">
        <v>14430</v>
      </c>
      <c r="E3355" s="2">
        <v>20182</v>
      </c>
      <c r="F3355">
        <f>HYPERLINK("https://www2.assemblee-nationale.fr/sycomore/fiche/(num_dept)/5018", "5018.0")</f>
        <v>0</v>
      </c>
      <c r="H3355">
        <f>HYPERLINK("https://www.wikidata.org/wiki/Q2825221", "Q2825221")</f>
        <v>0</v>
      </c>
    </row>
    <row r="3356" spans="1:8">
      <c r="A3356" t="s">
        <v>3362</v>
      </c>
      <c r="B3356" t="s">
        <v>7881</v>
      </c>
      <c r="C3356" t="s">
        <v>9918</v>
      </c>
      <c r="D3356" t="s">
        <v>14431</v>
      </c>
      <c r="E3356" s="2">
        <v>15644</v>
      </c>
      <c r="F3356">
        <f>HYPERLINK("https://www2.assemblee-nationale.fr/sycomore/fiche/(num_dept)/5021", "5021.0")</f>
        <v>0</v>
      </c>
      <c r="H3356">
        <f>HYPERLINK("https://www.wikidata.org/wiki/Q16026049", "Q16026049")</f>
        <v>0</v>
      </c>
    </row>
    <row r="3357" spans="1:8">
      <c r="A3357" t="s">
        <v>3363</v>
      </c>
      <c r="B3357" t="s">
        <v>7882</v>
      </c>
      <c r="C3357" t="s">
        <v>9324</v>
      </c>
      <c r="D3357" t="s">
        <v>14432</v>
      </c>
      <c r="G3357">
        <f>HYPERLINK("https://www.senat.fr/senateur-3eme-republique/marquis_henri0938r3.html", "marquis_henri0938r3")</f>
        <v>0</v>
      </c>
      <c r="H3357">
        <f>HYPERLINK("https://www.wikidata.org/wiki/Q3131576", "Q3131576")</f>
        <v>0</v>
      </c>
    </row>
    <row r="3358" spans="1:8">
      <c r="A3358" t="s">
        <v>3364</v>
      </c>
      <c r="B3358" t="s">
        <v>7883</v>
      </c>
      <c r="C3358" t="s">
        <v>10744</v>
      </c>
      <c r="D3358" t="s">
        <v>14433</v>
      </c>
      <c r="E3358" t="s">
        <v>16279</v>
      </c>
      <c r="F3358">
        <f>HYPERLINK("https://www2.assemblee-nationale.fr/sycomore/fiche/(num_dept)/8001", "8001.0")</f>
        <v>0</v>
      </c>
      <c r="H3358">
        <f>HYPERLINK("https://www.wikidata.org/wiki/Q16026050", "Q16026050")</f>
        <v>0</v>
      </c>
    </row>
    <row r="3359" spans="1:8">
      <c r="A3359" t="s">
        <v>3365</v>
      </c>
      <c r="B3359" t="s">
        <v>7884</v>
      </c>
      <c r="C3359" t="s">
        <v>8384</v>
      </c>
      <c r="D3359" t="s">
        <v>14434</v>
      </c>
      <c r="E3359" s="2">
        <v>21267</v>
      </c>
      <c r="G3359">
        <f>HYPERLINK("https://www.senat.fr/senateur-3eme-republique/marraud_pierre0748r3.html", "marraud_pierre0748r3")</f>
        <v>0</v>
      </c>
      <c r="H3359">
        <f>HYPERLINK("https://www.wikidata.org/wiki/Q3386156", "Q3386156")</f>
        <v>0</v>
      </c>
    </row>
    <row r="3360" spans="1:8">
      <c r="A3360" t="s">
        <v>3366</v>
      </c>
      <c r="B3360" t="s">
        <v>7885</v>
      </c>
      <c r="C3360" t="s">
        <v>7342</v>
      </c>
      <c r="D3360" t="s">
        <v>14435</v>
      </c>
      <c r="E3360" t="s">
        <v>12494</v>
      </c>
      <c r="F3360">
        <f>HYPERLINK("https://www2.assemblee-nationale.fr/sycomore/fiche/(num_dept)/8082", "8082.0")</f>
        <v>0</v>
      </c>
      <c r="H3360">
        <f>HYPERLINK("https://www.wikidata.org/wiki/Q16026051", "Q16026051")</f>
        <v>0</v>
      </c>
    </row>
    <row r="3361" spans="1:8">
      <c r="A3361" t="s">
        <v>3367</v>
      </c>
      <c r="B3361" t="s">
        <v>7886</v>
      </c>
      <c r="C3361" t="s">
        <v>10437</v>
      </c>
      <c r="D3361" t="s">
        <v>14436</v>
      </c>
      <c r="E3361" s="2">
        <v>18295</v>
      </c>
      <c r="F3361">
        <f>HYPERLINK("https://www2.assemblee-nationale.fr/sycomore/fiche/(num_dept)/5024", "5024.0")</f>
        <v>0</v>
      </c>
      <c r="G3361">
        <f>HYPERLINK("https://www.senat.fr/senateur-3eme-republique/marrou_baptiste0987r3.html", "marrou_baptiste0987r3")</f>
        <v>0</v>
      </c>
      <c r="H3361">
        <f>HYPERLINK("https://www.wikidata.org/wiki/Q2883668", "Q2883668")</f>
        <v>0</v>
      </c>
    </row>
    <row r="3362" spans="1:8">
      <c r="A3362" t="s">
        <v>3368</v>
      </c>
      <c r="B3362" t="s">
        <v>7887</v>
      </c>
      <c r="C3362" t="s">
        <v>10745</v>
      </c>
      <c r="D3362" t="s">
        <v>14437</v>
      </c>
      <c r="E3362" s="2">
        <v>26718</v>
      </c>
      <c r="F3362">
        <f>HYPERLINK("https://www2.assemblee-nationale.fr/sycomore/fiche/(num_dept)/5025", "5025.0")</f>
        <v>0</v>
      </c>
      <c r="H3362">
        <f>HYPERLINK("https://www.wikidata.org/wiki/Q16026052", "Q16026052")</f>
        <v>0</v>
      </c>
    </row>
    <row r="3363" spans="1:8">
      <c r="A3363" t="s">
        <v>3369</v>
      </c>
      <c r="B3363" t="s">
        <v>7888</v>
      </c>
      <c r="C3363" t="s">
        <v>7233</v>
      </c>
      <c r="D3363" t="s">
        <v>14438</v>
      </c>
      <c r="E3363" s="2">
        <v>14066</v>
      </c>
      <c r="G3363">
        <f>HYPERLINK("https://www.senat.fr/senateur-3eme-republique/marsot_henry1172r3.html", "marsot_henry1172r3")</f>
        <v>0</v>
      </c>
      <c r="H3363">
        <f>HYPERLINK("https://www.wikidata.org/wiki/Q3132940", "Q3132940")</f>
        <v>0</v>
      </c>
    </row>
    <row r="3364" spans="1:8">
      <c r="A3364" t="s">
        <v>3370</v>
      </c>
      <c r="B3364" t="s">
        <v>7889</v>
      </c>
      <c r="C3364" t="s">
        <v>7754</v>
      </c>
      <c r="D3364" t="s">
        <v>14439</v>
      </c>
      <c r="E3364" s="2">
        <v>16325</v>
      </c>
      <c r="F3364">
        <f>HYPERLINK("https://www2.assemblee-nationale.fr/sycomore/fiche/(num_dept)/5029", "5029.0")</f>
        <v>0</v>
      </c>
      <c r="H3364">
        <f>HYPERLINK("https://www.wikidata.org/wiki/Q16026053", "Q16026053")</f>
        <v>0</v>
      </c>
    </row>
    <row r="3365" spans="1:8">
      <c r="A3365" t="s">
        <v>3371</v>
      </c>
      <c r="B3365" t="s">
        <v>7890</v>
      </c>
      <c r="C3365" t="s">
        <v>7754</v>
      </c>
      <c r="D3365" t="s">
        <v>14440</v>
      </c>
      <c r="E3365" t="s">
        <v>16280</v>
      </c>
      <c r="G3365">
        <f>HYPERLINK("https://www.senat.fr/senateur-3eme-republique/martel_louis1514r3.html", "martel_louis1514r3")</f>
        <v>0</v>
      </c>
      <c r="H3365">
        <f>HYPERLINK("https://www.wikidata.org/wiki/Q950030", "Q950030")</f>
        <v>0</v>
      </c>
    </row>
    <row r="3366" spans="1:8">
      <c r="A3366" t="s">
        <v>3372</v>
      </c>
      <c r="B3366" t="s">
        <v>7891</v>
      </c>
      <c r="C3366" t="s">
        <v>10222</v>
      </c>
      <c r="D3366" t="s">
        <v>14441</v>
      </c>
      <c r="E3366" s="2">
        <v>22532</v>
      </c>
      <c r="F3366">
        <f>HYPERLINK("https://www2.assemblee-nationale.fr/sycomore/fiche/(num_dept)/5031", "5031.0")</f>
        <v>0</v>
      </c>
      <c r="H3366">
        <f>HYPERLINK("https://www.wikidata.org/wiki/Q3262644", "Q3262644")</f>
        <v>0</v>
      </c>
    </row>
    <row r="3367" spans="1:8">
      <c r="A3367" t="s">
        <v>3373</v>
      </c>
      <c r="B3367" t="s">
        <v>7892</v>
      </c>
      <c r="C3367" t="s">
        <v>9346</v>
      </c>
      <c r="D3367" t="s">
        <v>14442</v>
      </c>
      <c r="E3367" s="2">
        <v>7507</v>
      </c>
      <c r="G3367">
        <f>HYPERLINK("https://www.senat.fr/senateur-3eme-republique/martell_edouard0399r3.html", "martell_edouard0399r3")</f>
        <v>0</v>
      </c>
      <c r="H3367">
        <f>HYPERLINK("https://www.wikidata.org/wiki/Q3579955", "Q3579955")</f>
        <v>0</v>
      </c>
    </row>
    <row r="3368" spans="1:8">
      <c r="A3368" t="s">
        <v>3374</v>
      </c>
      <c r="B3368" t="s">
        <v>7893</v>
      </c>
      <c r="C3368" t="s">
        <v>10746</v>
      </c>
      <c r="D3368" t="s">
        <v>14443</v>
      </c>
      <c r="E3368" s="2">
        <v>289</v>
      </c>
      <c r="G3368">
        <f>HYPERLINK("https://www.senat.fr/senateur-3eme-republique/martenot_charles_auguste0052r3.html", "martenot_charles_auguste0052r3")</f>
        <v>0</v>
      </c>
      <c r="H3368">
        <f>HYPERLINK("https://www.wikidata.org/wiki/Q2957966", "Q2957966")</f>
        <v>0</v>
      </c>
    </row>
    <row r="3369" spans="1:8">
      <c r="A3369" t="s">
        <v>3375</v>
      </c>
      <c r="B3369" t="s">
        <v>7894</v>
      </c>
      <c r="C3369" t="s">
        <v>10747</v>
      </c>
      <c r="D3369" t="s">
        <v>14444</v>
      </c>
      <c r="E3369" t="s">
        <v>11728</v>
      </c>
      <c r="F3369">
        <f>HYPERLINK("https://www2.assemblee-nationale.fr/sycomore/fiche/(num_dept)/8002", "8002.0")</f>
        <v>0</v>
      </c>
      <c r="H3369">
        <f>HYPERLINK("https://www.wikidata.org/wiki/Q11984901", "Q11984901")</f>
        <v>0</v>
      </c>
    </row>
    <row r="3370" spans="1:8">
      <c r="A3370" t="s">
        <v>3376</v>
      </c>
      <c r="B3370" t="s">
        <v>7895</v>
      </c>
      <c r="C3370" t="s">
        <v>10748</v>
      </c>
      <c r="D3370" t="s">
        <v>14445</v>
      </c>
      <c r="E3370" s="2">
        <v>8983</v>
      </c>
      <c r="G3370">
        <f>HYPERLINK("https://www.senat.fr/senateur-3eme-republique/martin_felix1214r3.html", "martin_felix1214r3")</f>
        <v>0</v>
      </c>
      <c r="H3370">
        <f>HYPERLINK("https://www.wikidata.org/wiki/Q3092530", "Q3092530")</f>
        <v>0</v>
      </c>
    </row>
    <row r="3371" spans="1:8">
      <c r="A3371" t="s">
        <v>3377</v>
      </c>
      <c r="B3371" t="s">
        <v>7896</v>
      </c>
      <c r="C3371" t="s">
        <v>8793</v>
      </c>
      <c r="D3371" t="s">
        <v>14446</v>
      </c>
      <c r="E3371" s="2">
        <v>14124</v>
      </c>
      <c r="G3371">
        <f>HYPERLINK("https://www.senat.fr/senateur-3eme-republique/martin_binachon_regis0514r3.html", "martin_binachon_regis0514r3")</f>
        <v>0</v>
      </c>
      <c r="H3371">
        <f>HYPERLINK("https://www.wikidata.org/wiki/Q3455758", "Q3455758")</f>
        <v>0</v>
      </c>
    </row>
    <row r="3372" spans="1:8">
      <c r="A3372" t="s">
        <v>3378</v>
      </c>
      <c r="B3372" t="s">
        <v>7897</v>
      </c>
      <c r="C3372" t="s">
        <v>6888</v>
      </c>
      <c r="D3372" t="s">
        <v>14447</v>
      </c>
      <c r="E3372" t="s">
        <v>16281</v>
      </c>
      <c r="F3372">
        <f>HYPERLINK("https://www2.assemblee-nationale.fr/sycomore/fiche/(num_dept)/5046", "5046.0")</f>
        <v>0</v>
      </c>
      <c r="H3372">
        <f>HYPERLINK("https://www.wikidata.org/wiki/Q3092536", "Q3092536")</f>
        <v>0</v>
      </c>
    </row>
    <row r="3373" spans="1:8">
      <c r="A3373" t="s">
        <v>3379</v>
      </c>
      <c r="B3373" t="s">
        <v>7898</v>
      </c>
      <c r="C3373" t="s">
        <v>9324</v>
      </c>
      <c r="D3373" t="s">
        <v>14448</v>
      </c>
      <c r="E3373" t="s">
        <v>16282</v>
      </c>
      <c r="G3373">
        <f>HYPERLINK("https://www.senat.fr/senateur-3eme-republique/martin_henri0024r3.html", "martin_henri0024r3")</f>
        <v>0</v>
      </c>
      <c r="H3373">
        <f>HYPERLINK("https://www.wikidata.org/wiki/Q954657", "Q954657")</f>
        <v>0</v>
      </c>
    </row>
    <row r="3374" spans="1:8">
      <c r="A3374" t="s">
        <v>3380</v>
      </c>
      <c r="B3374" t="s">
        <v>7899</v>
      </c>
      <c r="C3374" t="s">
        <v>10749</v>
      </c>
      <c r="D3374" t="s">
        <v>14449</v>
      </c>
      <c r="E3374" s="2">
        <v>6846</v>
      </c>
      <c r="F3374">
        <f>HYPERLINK("https://www2.assemblee-nationale.fr/sycomore/fiche/(num_dept)/8003", "8003.0")</f>
        <v>0</v>
      </c>
      <c r="H3374">
        <f>HYPERLINK("https://www.wikidata.org/wiki/Q27899400", "Q27899400")</f>
        <v>0</v>
      </c>
    </row>
    <row r="3375" spans="1:8">
      <c r="A3375" t="s">
        <v>3381</v>
      </c>
      <c r="B3375" t="s">
        <v>7899</v>
      </c>
      <c r="C3375" t="s">
        <v>10750</v>
      </c>
      <c r="D3375" t="s">
        <v>14445</v>
      </c>
      <c r="E3375" s="2">
        <v>8983</v>
      </c>
      <c r="F3375">
        <f>HYPERLINK("https://www2.assemblee-nationale.fr/sycomore/fiche/(num_dept)/8235", "8235.0")</f>
        <v>0</v>
      </c>
      <c r="H3375">
        <f>HYPERLINK("https://www.wikidata.org/wiki/Q3092530", "Q3092530")</f>
        <v>0</v>
      </c>
    </row>
    <row r="3376" spans="1:8">
      <c r="A3376" t="s">
        <v>3382</v>
      </c>
      <c r="B3376" t="s">
        <v>7898</v>
      </c>
      <c r="C3376" t="s">
        <v>7001</v>
      </c>
      <c r="D3376" t="s">
        <v>14450</v>
      </c>
      <c r="G3376">
        <f>HYPERLINK("https://www.senat.fr/senateur-3eme-republique/martin_georges1345r3.html", "martin_georges1345r3")</f>
        <v>0</v>
      </c>
      <c r="H3376">
        <f>HYPERLINK("https://www.wikidata.org/wiki/Q1509018", "Q1509018")</f>
        <v>0</v>
      </c>
    </row>
    <row r="3377" spans="1:8">
      <c r="A3377" t="s">
        <v>3383</v>
      </c>
      <c r="B3377" t="s">
        <v>7899</v>
      </c>
      <c r="C3377" t="s">
        <v>10751</v>
      </c>
      <c r="D3377" t="s">
        <v>14451</v>
      </c>
      <c r="E3377" s="2">
        <v>9520</v>
      </c>
      <c r="F3377">
        <f>HYPERLINK("https://www2.assemblee-nationale.fr/sycomore/fiche/(num_dept)/5044", "5044.0")</f>
        <v>0</v>
      </c>
      <c r="H3377">
        <f>HYPERLINK("https://www.wikidata.org/wiki/Q13085254", "Q13085254")</f>
        <v>0</v>
      </c>
    </row>
    <row r="3378" spans="1:8">
      <c r="A3378" t="s">
        <v>3384</v>
      </c>
      <c r="B3378" t="s">
        <v>7899</v>
      </c>
      <c r="C3378" t="s">
        <v>7754</v>
      </c>
      <c r="D3378" t="s">
        <v>14452</v>
      </c>
      <c r="E3378" s="2">
        <v>16135</v>
      </c>
      <c r="F3378">
        <f>HYPERLINK("https://www2.assemblee-nationale.fr/sycomore/fiche/(num_dept)/5043", "5043.0")</f>
        <v>0</v>
      </c>
      <c r="G3378">
        <f>HYPERLINK("https://www.senat.fr/senateur-3eme-republique/martin_louis1739r3.html", "martin_louis1739r3")</f>
        <v>0</v>
      </c>
      <c r="H3378">
        <f>HYPERLINK("https://www.wikidata.org/wiki/Q3262649", "Q3262649")</f>
        <v>0</v>
      </c>
    </row>
    <row r="3379" spans="1:8">
      <c r="A3379" t="s">
        <v>3385</v>
      </c>
      <c r="B3379" t="s">
        <v>7899</v>
      </c>
      <c r="C3379" t="s">
        <v>7342</v>
      </c>
      <c r="D3379" t="s">
        <v>13686</v>
      </c>
      <c r="E3379" s="2">
        <v>9791</v>
      </c>
      <c r="F3379">
        <f>HYPERLINK("https://www2.assemblee-nationale.fr/sycomore/fiche/(num_dept)/5041", "5041.0")</f>
        <v>0</v>
      </c>
      <c r="H3379">
        <f>HYPERLINK("https://www.wikidata.org/wiki/Q16026056", "Q16026056")</f>
        <v>0</v>
      </c>
    </row>
    <row r="3380" spans="1:8">
      <c r="A3380" t="s">
        <v>3386</v>
      </c>
      <c r="B3380" t="s">
        <v>7898</v>
      </c>
      <c r="C3380" t="s">
        <v>9386</v>
      </c>
      <c r="D3380" t="s">
        <v>13917</v>
      </c>
      <c r="E3380" s="2">
        <v>16060</v>
      </c>
      <c r="G3380">
        <f>HYPERLINK("https://www.senat.fr/senateur-3eme-republique/martin_raymond0876r3.html", "martin_raymond0876r3")</f>
        <v>0</v>
      </c>
      <c r="H3380">
        <f>HYPERLINK("https://www.wikidata.org/wiki/Q3421033", "Q3421033")</f>
        <v>0</v>
      </c>
    </row>
    <row r="3381" spans="1:8">
      <c r="A3381" t="s">
        <v>3387</v>
      </c>
      <c r="B3381" t="s">
        <v>7899</v>
      </c>
      <c r="C3381" t="s">
        <v>9512</v>
      </c>
      <c r="D3381" t="s">
        <v>14453</v>
      </c>
      <c r="E3381" s="2">
        <v>21931</v>
      </c>
      <c r="F3381">
        <f>HYPERLINK("https://www2.assemblee-nationale.fr/sycomore/fiche/(num_dept)/5037", "5037.0")</f>
        <v>0</v>
      </c>
      <c r="H3381">
        <f>HYPERLINK("https://www.wikidata.org/wiki/Q3099074", "Q3099074")</f>
        <v>0</v>
      </c>
    </row>
    <row r="3382" spans="1:8">
      <c r="A3382" t="s">
        <v>3388</v>
      </c>
      <c r="B3382" t="s">
        <v>7900</v>
      </c>
      <c r="C3382" t="s">
        <v>10752</v>
      </c>
      <c r="D3382" t="s">
        <v>14454</v>
      </c>
      <c r="E3382" s="2">
        <v>25481</v>
      </c>
      <c r="F3382">
        <f>HYPERLINK("https://www2.assemblee-nationale.fr/sycomore/fiche/(num_dept)/5049", "5049.0")</f>
        <v>0</v>
      </c>
      <c r="H3382">
        <f>HYPERLINK("https://www.wikidata.org/wiki/Q1255723", "Q1255723")</f>
        <v>0</v>
      </c>
    </row>
    <row r="3383" spans="1:8">
      <c r="A3383" t="s">
        <v>3389</v>
      </c>
      <c r="B3383" t="s">
        <v>7901</v>
      </c>
      <c r="C3383" t="s">
        <v>10753</v>
      </c>
      <c r="D3383" t="s">
        <v>14455</v>
      </c>
      <c r="E3383" s="2">
        <v>16462</v>
      </c>
      <c r="F3383">
        <f>HYPERLINK("https://www2.assemblee-nationale.fr/sycomore/fiche/(num_dept)/5051", "5051.0")</f>
        <v>0</v>
      </c>
      <c r="H3383">
        <f>HYPERLINK("https://www.wikidata.org/wiki/Q664948", "Q664948")</f>
        <v>0</v>
      </c>
    </row>
    <row r="3384" spans="1:8">
      <c r="A3384" t="s">
        <v>3390</v>
      </c>
      <c r="B3384" t="s">
        <v>7902</v>
      </c>
      <c r="C3384" t="s">
        <v>10550</v>
      </c>
      <c r="D3384" t="s">
        <v>14456</v>
      </c>
      <c r="E3384" s="2">
        <v>11559</v>
      </c>
      <c r="G3384">
        <f>HYPERLINK("https://www.senat.fr/senateur-3eme-republique/martinet_antony0428r3.html", "martinet_antony0428r3")</f>
        <v>0</v>
      </c>
      <c r="H3384">
        <f>HYPERLINK("https://www.wikidata.org/wiki/Q2857545", "Q2857545")</f>
        <v>0</v>
      </c>
    </row>
    <row r="3385" spans="1:8">
      <c r="A3385" t="s">
        <v>3391</v>
      </c>
      <c r="B3385" t="s">
        <v>7903</v>
      </c>
      <c r="C3385" t="s">
        <v>10754</v>
      </c>
      <c r="D3385" t="s">
        <v>14457</v>
      </c>
      <c r="E3385" s="2">
        <v>6679</v>
      </c>
      <c r="F3385">
        <f>HYPERLINK("https://www2.assemblee-nationale.fr/sycomore/fiche/(num_dept)/4179", "4179.0")</f>
        <v>0</v>
      </c>
      <c r="H3385">
        <f>HYPERLINK("https://www.wikidata.org/wiki/Q3580045", "Q3580045")</f>
        <v>0</v>
      </c>
    </row>
    <row r="3386" spans="1:8">
      <c r="A3386" t="s">
        <v>3392</v>
      </c>
      <c r="B3386" t="s">
        <v>7904</v>
      </c>
      <c r="C3386" t="s">
        <v>10755</v>
      </c>
      <c r="D3386" t="s">
        <v>14458</v>
      </c>
      <c r="E3386" s="2">
        <v>17357</v>
      </c>
      <c r="F3386">
        <f>HYPERLINK("https://www2.assemblee-nationale.fr/sycomore/fiche/(num_dept)/5055", "5055.0")</f>
        <v>0</v>
      </c>
      <c r="H3386">
        <f>HYPERLINK("https://www.wikidata.org/wiki/Q16026057", "Q16026057")</f>
        <v>0</v>
      </c>
    </row>
    <row r="3387" spans="1:8">
      <c r="A3387" t="s">
        <v>3393</v>
      </c>
      <c r="B3387" t="s">
        <v>7905</v>
      </c>
      <c r="C3387" t="s">
        <v>7342</v>
      </c>
      <c r="D3387" t="s">
        <v>14459</v>
      </c>
      <c r="E3387" s="2">
        <v>6154</v>
      </c>
      <c r="F3387">
        <f>HYPERLINK("https://www2.assemblee-nationale.fr/sycomore/fiche/(num_dept)/5058", "5058.0")</f>
        <v>0</v>
      </c>
      <c r="H3387">
        <f>HYPERLINK("https://www.wikidata.org/wiki/Q3173440", "Q3173440")</f>
        <v>0</v>
      </c>
    </row>
    <row r="3388" spans="1:8">
      <c r="A3388" t="s">
        <v>3394</v>
      </c>
      <c r="B3388" t="s">
        <v>7905</v>
      </c>
      <c r="C3388" t="s">
        <v>5096</v>
      </c>
      <c r="D3388" t="s">
        <v>14460</v>
      </c>
      <c r="E3388" s="2">
        <v>20781</v>
      </c>
      <c r="F3388">
        <f>HYPERLINK("https://www2.assemblee-nationale.fr/sycomore/fiche/(num_dept)/5056", "5056.0")</f>
        <v>0</v>
      </c>
      <c r="H3388">
        <f>HYPERLINK("https://www.wikidata.org/wiki/Q369785", "Q369785")</f>
        <v>0</v>
      </c>
    </row>
    <row r="3389" spans="1:8">
      <c r="A3389" t="s">
        <v>3395</v>
      </c>
      <c r="B3389" t="s">
        <v>7906</v>
      </c>
      <c r="C3389" t="s">
        <v>9868</v>
      </c>
      <c r="D3389" t="s">
        <v>14461</v>
      </c>
      <c r="E3389" s="2">
        <v>3218</v>
      </c>
      <c r="H3389">
        <f>HYPERLINK("https://www.wikidata.org/wiki/Q3588648", "Q3588648")</f>
        <v>0</v>
      </c>
    </row>
    <row r="3390" spans="1:8">
      <c r="A3390" t="s">
        <v>3396</v>
      </c>
      <c r="B3390" t="s">
        <v>7906</v>
      </c>
      <c r="C3390" t="s">
        <v>9524</v>
      </c>
      <c r="D3390" t="s">
        <v>14462</v>
      </c>
      <c r="E3390" s="2">
        <v>3218</v>
      </c>
      <c r="F3390">
        <f>HYPERLINK("https://www2.assemblee-nationale.fr/sycomore/fiche/(num_dept)/5059", "5059.0")</f>
        <v>0</v>
      </c>
      <c r="H3390">
        <f>HYPERLINK("https://www.wikidata.org/wiki/Q3588648", "Q3588648")</f>
        <v>0</v>
      </c>
    </row>
    <row r="3391" spans="1:8">
      <c r="A3391" t="s">
        <v>3397</v>
      </c>
      <c r="B3391" t="s">
        <v>7907</v>
      </c>
      <c r="C3391" t="s">
        <v>10756</v>
      </c>
      <c r="D3391" t="s">
        <v>14463</v>
      </c>
      <c r="E3391" s="2">
        <v>16763</v>
      </c>
      <c r="F3391">
        <f>HYPERLINK("https://www2.assemblee-nationale.fr/sycomore/fiche/(num_dept)/4964", "4964.0")</f>
        <v>0</v>
      </c>
      <c r="H3391">
        <f>HYPERLINK("https://www.wikidata.org/wiki/Q3069260", "Q3069260")</f>
        <v>0</v>
      </c>
    </row>
    <row r="3392" spans="1:8">
      <c r="A3392" t="s">
        <v>3398</v>
      </c>
      <c r="B3392" t="s">
        <v>7908</v>
      </c>
      <c r="C3392" t="s">
        <v>9954</v>
      </c>
      <c r="D3392" t="s">
        <v>12797</v>
      </c>
      <c r="E3392" s="2">
        <v>5263</v>
      </c>
      <c r="F3392">
        <f>HYPERLINK("https://www2.assemblee-nationale.fr/sycomore/fiche/(num_dept)/4986", "4986.0")</f>
        <v>0</v>
      </c>
      <c r="H3392">
        <f>HYPERLINK("https://www.wikidata.org/wiki/Q16026042", "Q16026042")</f>
        <v>0</v>
      </c>
    </row>
    <row r="3393" spans="1:8">
      <c r="A3393" t="s">
        <v>3399</v>
      </c>
      <c r="B3393" t="s">
        <v>7909</v>
      </c>
      <c r="C3393" t="s">
        <v>10757</v>
      </c>
      <c r="D3393" t="s">
        <v>14447</v>
      </c>
      <c r="E3393" t="s">
        <v>16283</v>
      </c>
      <c r="F3393">
        <f>HYPERLINK("https://www2.assemblee-nationale.fr/sycomore/fiche/(num_dept)/5061", "5061.0")</f>
        <v>0</v>
      </c>
      <c r="H3393">
        <f>HYPERLINK("https://www.wikidata.org/wiki/Q16026060", "Q16026060")</f>
        <v>0</v>
      </c>
    </row>
    <row r="3394" spans="1:8">
      <c r="A3394" t="s">
        <v>3400</v>
      </c>
      <c r="B3394" t="s">
        <v>7909</v>
      </c>
      <c r="C3394" t="s">
        <v>9457</v>
      </c>
      <c r="D3394" t="s">
        <v>14464</v>
      </c>
      <c r="E3394" s="2">
        <v>11350</v>
      </c>
      <c r="F3394">
        <f>HYPERLINK("https://www2.assemblee-nationale.fr/sycomore/fiche/(num_dept)/5063", "5063.0")</f>
        <v>0</v>
      </c>
      <c r="H3394">
        <f>HYPERLINK("https://www.wikidata.org/wiki/Q16026059", "Q16026059")</f>
        <v>0</v>
      </c>
    </row>
    <row r="3395" spans="1:8">
      <c r="A3395" t="s">
        <v>3401</v>
      </c>
      <c r="B3395" t="s">
        <v>7909</v>
      </c>
      <c r="C3395" t="s">
        <v>10758</v>
      </c>
      <c r="D3395" t="s">
        <v>14465</v>
      </c>
      <c r="E3395" s="2">
        <v>3162</v>
      </c>
      <c r="F3395">
        <f>HYPERLINK("https://www2.assemblee-nationale.fr/sycomore/fiche/(num_dept)/5062", "5062.0")</f>
        <v>0</v>
      </c>
      <c r="H3395">
        <f>HYPERLINK("https://www.wikidata.org/wiki/Q16026061", "Q16026061")</f>
        <v>0</v>
      </c>
    </row>
    <row r="3396" spans="1:8">
      <c r="A3396" t="s">
        <v>3402</v>
      </c>
      <c r="B3396" t="s">
        <v>7910</v>
      </c>
      <c r="C3396" t="s">
        <v>10759</v>
      </c>
      <c r="D3396" t="s">
        <v>14466</v>
      </c>
      <c r="E3396" s="2">
        <v>15881</v>
      </c>
      <c r="F3396">
        <f>HYPERLINK("https://www2.assemblee-nationale.fr/sycomore/fiche/(num_dept)/5065", "5065.0")</f>
        <v>0</v>
      </c>
      <c r="G3396">
        <f>HYPERLINK("https://www.senat.fr/senateur-3eme-republique/masclanis_joseph0157r3.html", "masclanis_joseph0157r3")</f>
        <v>0</v>
      </c>
      <c r="H3396">
        <f>HYPERLINK("https://www.wikidata.org/wiki/Q3185333", "Q3185333")</f>
        <v>0</v>
      </c>
    </row>
    <row r="3397" spans="1:8">
      <c r="A3397" t="s">
        <v>3403</v>
      </c>
      <c r="B3397" t="s">
        <v>7911</v>
      </c>
      <c r="C3397" t="s">
        <v>9634</v>
      </c>
      <c r="D3397" t="s">
        <v>14467</v>
      </c>
      <c r="E3397" s="2">
        <v>6267</v>
      </c>
      <c r="G3397">
        <f>HYPERLINK("https://www.senat.fr/senateur-3eme-republique/mascle_frederic0318r3.html", "mascle_frederic0318r3")</f>
        <v>0</v>
      </c>
      <c r="H3397">
        <f>HYPERLINK("https://www.wikidata.org/wiki/Q730274", "Q730274")</f>
        <v>0</v>
      </c>
    </row>
    <row r="3398" spans="1:8">
      <c r="A3398" t="s">
        <v>3404</v>
      </c>
      <c r="B3398" t="s">
        <v>7912</v>
      </c>
      <c r="C3398" t="s">
        <v>9564</v>
      </c>
      <c r="D3398" t="s">
        <v>14468</v>
      </c>
      <c r="E3398" s="2">
        <v>9797</v>
      </c>
      <c r="G3398">
        <f>HYPERLINK("https://www.senat.fr/senateur-3eme-republique/mascuraud_alfred1564r3.html", "mascuraud_alfred1564r3")</f>
        <v>0</v>
      </c>
      <c r="H3398">
        <f>HYPERLINK("https://www.wikidata.org/wiki/Q2835312", "Q2835312")</f>
        <v>0</v>
      </c>
    </row>
    <row r="3399" spans="1:8">
      <c r="A3399" t="s">
        <v>3405</v>
      </c>
      <c r="B3399" t="s">
        <v>7913</v>
      </c>
      <c r="C3399" t="s">
        <v>10760</v>
      </c>
      <c r="D3399" t="s">
        <v>14469</v>
      </c>
      <c r="E3399" s="2">
        <v>14532</v>
      </c>
      <c r="F3399">
        <f>HYPERLINK("https://www2.assemblee-nationale.fr/sycomore/fiche/(num_dept)/5068", "5068.0")</f>
        <v>0</v>
      </c>
      <c r="G3399">
        <f>HYPERLINK("https://www.senat.fr/senateur-3eme-republique/massabuau_joseph0289r3.html", "massabuau_joseph0289r3")</f>
        <v>0</v>
      </c>
      <c r="H3399">
        <f>HYPERLINK("https://www.wikidata.org/wiki/Q3185335", "Q3185335")</f>
        <v>0</v>
      </c>
    </row>
    <row r="3400" spans="1:8">
      <c r="A3400" t="s">
        <v>3406</v>
      </c>
      <c r="B3400" t="s">
        <v>7914</v>
      </c>
      <c r="C3400" t="s">
        <v>7342</v>
      </c>
      <c r="D3400" t="s">
        <v>14470</v>
      </c>
      <c r="G3400">
        <f>HYPERLINK("https://www.senat.fr/senateur-3eme-republique/masse_jean1259r3.html", "masse_jean1259r3")</f>
        <v>0</v>
      </c>
      <c r="H3400">
        <f>HYPERLINK("https://www.wikidata.org/wiki/Q3173453", "Q3173453")</f>
        <v>0</v>
      </c>
    </row>
    <row r="3401" spans="1:8">
      <c r="A3401" t="s">
        <v>3407</v>
      </c>
      <c r="B3401" t="s">
        <v>7915</v>
      </c>
      <c r="C3401" t="s">
        <v>7342</v>
      </c>
      <c r="D3401" t="s">
        <v>14471</v>
      </c>
      <c r="E3401" s="2">
        <v>12470</v>
      </c>
      <c r="F3401">
        <f>HYPERLINK("https://www2.assemblee-nationale.fr/sycomore/fiche/(num_dept)/5075", "5075.0")</f>
        <v>0</v>
      </c>
      <c r="H3401">
        <f>HYPERLINK("https://www.wikidata.org/wiki/Q17630967", "Q17630967")</f>
        <v>0</v>
      </c>
    </row>
    <row r="3402" spans="1:8">
      <c r="A3402" t="s">
        <v>3408</v>
      </c>
      <c r="B3402" t="s">
        <v>7914</v>
      </c>
      <c r="C3402" t="s">
        <v>9564</v>
      </c>
      <c r="D3402" t="s">
        <v>14472</v>
      </c>
      <c r="E3402" s="2">
        <v>18990</v>
      </c>
      <c r="G3402">
        <f>HYPERLINK("https://www.senat.fr/senateur-3eme-republique/masse_alfred1255r3.html", "masse_alfred1255r3")</f>
        <v>0</v>
      </c>
      <c r="H3402">
        <f>HYPERLINK("https://www.wikidata.org/wiki/Q2835313", "Q2835313")</f>
        <v>0</v>
      </c>
    </row>
    <row r="3403" spans="1:8">
      <c r="A3403" t="s">
        <v>3409</v>
      </c>
      <c r="B3403" t="s">
        <v>7915</v>
      </c>
      <c r="C3403" t="s">
        <v>8384</v>
      </c>
      <c r="D3403" t="s">
        <v>14473</v>
      </c>
      <c r="E3403" s="2">
        <v>15629</v>
      </c>
      <c r="F3403">
        <f>HYPERLINK("https://www2.assemblee-nationale.fr/sycomore/fiche/(num_dept)/5078", "5078.0")</f>
        <v>0</v>
      </c>
      <c r="G3403">
        <f>HYPERLINK("https://www.senat.fr/senateur-3eme-republique/masse_pierre0241r3.html", "masse_pierre0241r3")</f>
        <v>0</v>
      </c>
      <c r="H3403">
        <f>HYPERLINK("https://www.wikidata.org/wiki/Q3386188", "Q3386188")</f>
        <v>0</v>
      </c>
    </row>
    <row r="3404" spans="1:8">
      <c r="A3404" t="s">
        <v>3410</v>
      </c>
      <c r="B3404" t="s">
        <v>7916</v>
      </c>
      <c r="C3404" t="s">
        <v>9524</v>
      </c>
      <c r="D3404" t="s">
        <v>14474</v>
      </c>
      <c r="E3404" t="s">
        <v>16284</v>
      </c>
      <c r="G3404">
        <f>HYPERLINK("https://www.senat.fr/senateur-3eme-republique/massiet_du_biest_emile1384r3.html", "massiet_du_biest_emile1384r3")</f>
        <v>0</v>
      </c>
      <c r="H3404">
        <f>HYPERLINK("https://www.wikidata.org/wiki/Q3588649", "Q3588649")</f>
        <v>0</v>
      </c>
    </row>
    <row r="3405" spans="1:8">
      <c r="A3405" t="s">
        <v>3411</v>
      </c>
      <c r="B3405" t="s">
        <v>7917</v>
      </c>
      <c r="C3405" t="s">
        <v>10761</v>
      </c>
      <c r="D3405" t="s">
        <v>14475</v>
      </c>
      <c r="E3405" s="2">
        <v>22612</v>
      </c>
      <c r="F3405">
        <f>HYPERLINK("https://www2.assemblee-nationale.fr/sycomore/fiche/(num_dept)/5079", "5079.0")</f>
        <v>0</v>
      </c>
      <c r="H3405">
        <f>HYPERLINK("https://www.wikidata.org/wiki/Q16026062", "Q16026062")</f>
        <v>0</v>
      </c>
    </row>
    <row r="3406" spans="1:8">
      <c r="A3406" t="s">
        <v>3412</v>
      </c>
      <c r="B3406" t="s">
        <v>7918</v>
      </c>
      <c r="C3406" t="s">
        <v>10762</v>
      </c>
      <c r="D3406" t="s">
        <v>14476</v>
      </c>
      <c r="E3406" t="s">
        <v>13723</v>
      </c>
      <c r="F3406">
        <f>HYPERLINK("https://www2.assemblee-nationale.fr/sycomore/fiche/(num_dept)/8070", "8070.0")</f>
        <v>0</v>
      </c>
      <c r="H3406">
        <f>HYPERLINK("https://www.wikidata.org/wiki/Q16026063", "Q16026063")</f>
        <v>0</v>
      </c>
    </row>
    <row r="3407" spans="1:8">
      <c r="A3407" t="s">
        <v>3413</v>
      </c>
      <c r="B3407" t="s">
        <v>7919</v>
      </c>
      <c r="C3407" t="s">
        <v>7342</v>
      </c>
      <c r="D3407" t="s">
        <v>14477</v>
      </c>
      <c r="E3407" t="s">
        <v>16285</v>
      </c>
      <c r="G3407">
        <f>HYPERLINK("https://www.senat.fr/senateur-3eme-republique/masson_de_mortefontaine_jean0227r3.html", "masson_de_mortefontaine_jean0227r3")</f>
        <v>0</v>
      </c>
      <c r="H3407">
        <f>HYPERLINK("https://www.wikidata.org/wiki/Q3173452", "Q3173452")</f>
        <v>0</v>
      </c>
    </row>
    <row r="3408" spans="1:8">
      <c r="A3408" t="s">
        <v>3414</v>
      </c>
      <c r="B3408" t="s">
        <v>7920</v>
      </c>
      <c r="C3408" t="s">
        <v>6864</v>
      </c>
      <c r="D3408" t="s">
        <v>14478</v>
      </c>
      <c r="E3408" s="2">
        <v>8479</v>
      </c>
      <c r="F3408">
        <f>HYPERLINK("https://www2.assemblee-nationale.fr/sycomore/fiche/(num_dept)/5081", "5081.0")</f>
        <v>0</v>
      </c>
      <c r="H3408">
        <f>HYPERLINK("https://www.wikidata.org/wiki/Q16026064", "Q16026064")</f>
        <v>0</v>
      </c>
    </row>
    <row r="3409" spans="1:8">
      <c r="A3409" t="s">
        <v>3415</v>
      </c>
      <c r="B3409" t="s">
        <v>7920</v>
      </c>
      <c r="C3409" t="s">
        <v>9851</v>
      </c>
      <c r="D3409" t="s">
        <v>14479</v>
      </c>
      <c r="E3409" s="2">
        <v>24262</v>
      </c>
      <c r="F3409">
        <f>HYPERLINK("https://www2.assemblee-nationale.fr/sycomore/fiche/(num_dept)/5082", "5082.0")</f>
        <v>0</v>
      </c>
      <c r="H3409">
        <f>HYPERLINK("https://www.wikidata.org/wiki/Q3188665", "Q3188665")</f>
        <v>0</v>
      </c>
    </row>
    <row r="3410" spans="1:8">
      <c r="A3410" t="s">
        <v>3416</v>
      </c>
      <c r="B3410" t="s">
        <v>7921</v>
      </c>
      <c r="C3410" t="s">
        <v>10221</v>
      </c>
      <c r="D3410" t="s">
        <v>14480</v>
      </c>
      <c r="E3410" s="2">
        <v>13915</v>
      </c>
      <c r="F3410">
        <f>HYPERLINK("https://www2.assemblee-nationale.fr/sycomore/fiche/(num_dept)/5072", "5072.0")</f>
        <v>0</v>
      </c>
      <c r="H3410">
        <f>HYPERLINK("https://www.wikidata.org/wiki/Q2871618", "Q2871618")</f>
        <v>0</v>
      </c>
    </row>
    <row r="3411" spans="1:8">
      <c r="A3411" t="s">
        <v>3417</v>
      </c>
      <c r="B3411" t="s">
        <v>7921</v>
      </c>
      <c r="C3411" t="s">
        <v>10763</v>
      </c>
      <c r="D3411" t="s">
        <v>14472</v>
      </c>
      <c r="E3411" s="2">
        <v>18990</v>
      </c>
      <c r="F3411">
        <f>HYPERLINK("https://www2.assemblee-nationale.fr/sycomore/fiche/(num_dept)/5071", "5071.0")</f>
        <v>0</v>
      </c>
      <c r="H3411">
        <f>HYPERLINK("https://www.wikidata.org/wiki/Q2835313", "Q2835313")</f>
        <v>0</v>
      </c>
    </row>
    <row r="3412" spans="1:8">
      <c r="A3412" t="s">
        <v>3418</v>
      </c>
      <c r="B3412" t="s">
        <v>7921</v>
      </c>
      <c r="C3412" t="s">
        <v>10764</v>
      </c>
      <c r="D3412" t="s">
        <v>14481</v>
      </c>
      <c r="E3412" s="2">
        <v>16432</v>
      </c>
      <c r="F3412">
        <f>HYPERLINK("https://www2.assemblee-nationale.fr/sycomore/fiche/(num_dept)/5073", "5073.0")</f>
        <v>0</v>
      </c>
      <c r="H3412">
        <f>HYPERLINK("https://www.wikidata.org/wiki/Q3588650", "Q3588650")</f>
        <v>0</v>
      </c>
    </row>
    <row r="3413" spans="1:8">
      <c r="A3413" t="s">
        <v>3419</v>
      </c>
      <c r="B3413" t="s">
        <v>7922</v>
      </c>
      <c r="C3413" t="s">
        <v>7314</v>
      </c>
      <c r="D3413" s="2">
        <v>1295</v>
      </c>
      <c r="E3413" s="2">
        <v>34420</v>
      </c>
      <c r="F3413">
        <f>HYPERLINK("https://www2.assemblee-nationale.fr/sycomore/fiche/(num_dept)/5090", "5090.0")</f>
        <v>0</v>
      </c>
      <c r="H3413">
        <f>HYPERLINK("https://www.wikidata.org/wiki/Q3159510", "Q3159510")</f>
        <v>0</v>
      </c>
    </row>
    <row r="3414" spans="1:8">
      <c r="A3414" t="s">
        <v>3420</v>
      </c>
      <c r="B3414" t="s">
        <v>7923</v>
      </c>
      <c r="C3414" t="s">
        <v>10539</v>
      </c>
      <c r="D3414" t="s">
        <v>14482</v>
      </c>
      <c r="E3414" t="s">
        <v>16286</v>
      </c>
      <c r="F3414">
        <f>HYPERLINK("https://www2.assemblee-nationale.fr/sycomore/fiche/(num_dept)/8195", "8195.0")</f>
        <v>0</v>
      </c>
      <c r="H3414">
        <f>HYPERLINK("https://www.wikidata.org/wiki/Q8311630", "Q8311630")</f>
        <v>0</v>
      </c>
    </row>
    <row r="3415" spans="1:8">
      <c r="A3415" t="s">
        <v>3421</v>
      </c>
      <c r="B3415" t="s">
        <v>7924</v>
      </c>
      <c r="C3415" t="s">
        <v>5058</v>
      </c>
      <c r="D3415" t="s">
        <v>14483</v>
      </c>
      <c r="E3415" s="2">
        <v>7382</v>
      </c>
      <c r="F3415">
        <f>HYPERLINK("https://www2.assemblee-nationale.fr/sycomore/fiche/(num_dept)/5091", "5091.0")</f>
        <v>0</v>
      </c>
      <c r="H3415">
        <f>HYPERLINK("https://www.wikidata.org/wiki/Q8342622", "Q8342622")</f>
        <v>0</v>
      </c>
    </row>
    <row r="3416" spans="1:8">
      <c r="A3416" t="s">
        <v>3422</v>
      </c>
      <c r="B3416" t="s">
        <v>7925</v>
      </c>
      <c r="C3416" t="s">
        <v>9564</v>
      </c>
      <c r="D3416" t="s">
        <v>14484</v>
      </c>
      <c r="E3416" t="s">
        <v>16287</v>
      </c>
      <c r="G3416">
        <f>HYPERLINK("https://www.senat.fr/senateur-3eme-republique/mathey_alfred1208r3.html", "mathey_alfred1208r3")</f>
        <v>0</v>
      </c>
      <c r="H3416">
        <f>HYPERLINK("https://www.wikidata.org/wiki/Q2835316", "Q2835316")</f>
        <v>0</v>
      </c>
    </row>
    <row r="3417" spans="1:8">
      <c r="A3417" t="s">
        <v>3423</v>
      </c>
      <c r="B3417" t="s">
        <v>7926</v>
      </c>
      <c r="C3417" t="s">
        <v>7754</v>
      </c>
      <c r="D3417" t="s">
        <v>14485</v>
      </c>
      <c r="E3417" s="2">
        <v>4443</v>
      </c>
      <c r="F3417">
        <f>HYPERLINK("https://www2.assemblee-nationale.fr/sycomore/fiche/(num_dept)/5096", "5096.0")</f>
        <v>0</v>
      </c>
      <c r="H3417">
        <f>HYPERLINK("https://www.wikidata.org/wiki/Q3262666", "Q3262666")</f>
        <v>0</v>
      </c>
    </row>
    <row r="3418" spans="1:8">
      <c r="A3418" t="s">
        <v>3424</v>
      </c>
      <c r="B3418" t="s">
        <v>7927</v>
      </c>
      <c r="C3418" t="s">
        <v>10765</v>
      </c>
      <c r="D3418" t="s">
        <v>14486</v>
      </c>
      <c r="F3418">
        <f>HYPERLINK("https://www2.assemblee-nationale.fr/sycomore/fiche/(num_dept)/8183", "8183.0")</f>
        <v>0</v>
      </c>
      <c r="H3418">
        <f>HYPERLINK("https://www.wikidata.org/wiki/Q3579957", "Q3579957")</f>
        <v>0</v>
      </c>
    </row>
    <row r="3419" spans="1:8">
      <c r="A3419" t="s">
        <v>3425</v>
      </c>
      <c r="B3419" t="s">
        <v>7927</v>
      </c>
      <c r="C3419" t="s">
        <v>10766</v>
      </c>
      <c r="D3419" t="s">
        <v>14487</v>
      </c>
      <c r="E3419" s="2">
        <v>20915</v>
      </c>
      <c r="F3419">
        <f>HYPERLINK("https://www2.assemblee-nationale.fr/sycomore/fiche/(num_dept)/5098", "5098.0")</f>
        <v>0</v>
      </c>
      <c r="H3419">
        <f>HYPERLINK("https://www.wikidata.org/wiki/Q2311355", "Q2311355")</f>
        <v>0</v>
      </c>
    </row>
    <row r="3420" spans="1:8">
      <c r="A3420" t="s">
        <v>3426</v>
      </c>
      <c r="B3420" t="s">
        <v>7928</v>
      </c>
      <c r="C3420" t="s">
        <v>10767</v>
      </c>
      <c r="D3420" t="s">
        <v>14488</v>
      </c>
      <c r="E3420" s="2">
        <v>19662</v>
      </c>
      <c r="F3420">
        <f>HYPERLINK("https://www2.assemblee-nationale.fr/sycomore/fiche/(num_dept)/5100", "5100.0")</f>
        <v>0</v>
      </c>
      <c r="H3420">
        <f>HYPERLINK("https://www.wikidata.org/wiki/Q2958995", "Q2958995")</f>
        <v>0</v>
      </c>
    </row>
    <row r="3421" spans="1:8">
      <c r="A3421" t="s">
        <v>3427</v>
      </c>
      <c r="B3421" t="s">
        <v>7928</v>
      </c>
      <c r="C3421" t="s">
        <v>9346</v>
      </c>
      <c r="D3421" t="s">
        <v>14489</v>
      </c>
      <c r="E3421" s="2">
        <v>9784</v>
      </c>
      <c r="F3421">
        <f>HYPERLINK("https://www2.assemblee-nationale.fr/sycomore/fiche/(num_dept)/5101", "5101.0")</f>
        <v>0</v>
      </c>
      <c r="H3421">
        <f>HYPERLINK("https://www.wikidata.org/wiki/Q16026066", "Q16026066")</f>
        <v>0</v>
      </c>
    </row>
    <row r="3422" spans="1:8">
      <c r="A3422" t="s">
        <v>3428</v>
      </c>
      <c r="B3422" t="s">
        <v>7928</v>
      </c>
      <c r="C3422" t="s">
        <v>10244</v>
      </c>
      <c r="D3422" t="s">
        <v>14490</v>
      </c>
      <c r="E3422" s="2">
        <v>6371</v>
      </c>
      <c r="F3422">
        <f>HYPERLINK("https://www2.assemblee-nationale.fr/sycomore/fiche/(num_dept)/5102", "5102.0")</f>
        <v>0</v>
      </c>
      <c r="H3422">
        <f>HYPERLINK("https://www.wikidata.org/wiki/Q16026067", "Q16026067")</f>
        <v>0</v>
      </c>
    </row>
    <row r="3423" spans="1:8">
      <c r="A3423" t="s">
        <v>3429</v>
      </c>
      <c r="B3423" t="s">
        <v>7929</v>
      </c>
      <c r="C3423" t="s">
        <v>9471</v>
      </c>
      <c r="D3423" t="s">
        <v>14491</v>
      </c>
      <c r="E3423" t="s">
        <v>14734</v>
      </c>
      <c r="F3423">
        <f>HYPERLINK("https://www2.assemblee-nationale.fr/sycomore/fiche/(num_dept)/8292", "8292.0")</f>
        <v>0</v>
      </c>
      <c r="H3423">
        <f>HYPERLINK("https://www.wikidata.org/wiki/Q18215255", "Q18215255")</f>
        <v>0</v>
      </c>
    </row>
    <row r="3424" spans="1:8">
      <c r="A3424" t="s">
        <v>3430</v>
      </c>
      <c r="B3424" t="s">
        <v>7929</v>
      </c>
      <c r="C3424" t="s">
        <v>10768</v>
      </c>
      <c r="D3424" t="s">
        <v>14492</v>
      </c>
      <c r="E3424" s="2">
        <v>4257</v>
      </c>
      <c r="F3424">
        <f>HYPERLINK("https://www2.assemblee-nationale.fr/sycomore/fiche/(num_dept)/5093", "5093.0")</f>
        <v>0</v>
      </c>
      <c r="H3424">
        <f>HYPERLINK("https://www.wikidata.org/wiki/Q16026065", "Q16026065")</f>
        <v>0</v>
      </c>
    </row>
    <row r="3425" spans="1:8">
      <c r="A3425" t="s">
        <v>3431</v>
      </c>
      <c r="B3425" t="s">
        <v>7929</v>
      </c>
      <c r="C3425" t="s">
        <v>9324</v>
      </c>
      <c r="D3425" t="s">
        <v>14493</v>
      </c>
      <c r="E3425" s="2">
        <v>2857</v>
      </c>
      <c r="F3425">
        <f>HYPERLINK("https://www2.assemblee-nationale.fr/sycomore/fiche/(num_dept)/5094", "5094.0")</f>
        <v>0</v>
      </c>
      <c r="H3425">
        <f>HYPERLINK("https://www.wikidata.org/wiki/Q13080888", "Q13080888")</f>
        <v>0</v>
      </c>
    </row>
    <row r="3426" spans="1:8">
      <c r="A3426" t="s">
        <v>3432</v>
      </c>
      <c r="B3426" t="s">
        <v>7930</v>
      </c>
      <c r="C3426" t="s">
        <v>10233</v>
      </c>
      <c r="D3426" t="s">
        <v>14494</v>
      </c>
      <c r="E3426" s="2">
        <v>7868</v>
      </c>
      <c r="F3426">
        <f>HYPERLINK("https://www2.assemblee-nationale.fr/sycomore/fiche/(num_dept)/5108", "5108.0")</f>
        <v>0</v>
      </c>
      <c r="H3426">
        <f>HYPERLINK("https://www.wikidata.org/wiki/Q543437", "Q543437")</f>
        <v>0</v>
      </c>
    </row>
    <row r="3427" spans="1:8">
      <c r="A3427" t="s">
        <v>3433</v>
      </c>
      <c r="B3427" t="s">
        <v>7931</v>
      </c>
      <c r="C3427" t="s">
        <v>8384</v>
      </c>
      <c r="D3427" t="s">
        <v>14495</v>
      </c>
      <c r="E3427" s="2">
        <v>9077</v>
      </c>
      <c r="F3427">
        <f>HYPERLINK("https://www2.assemblee-nationale.fr/sycomore/fiche/(num_dept)/5114", "5114.0")</f>
        <v>0</v>
      </c>
      <c r="H3427">
        <f>HYPERLINK("https://www.wikidata.org/wiki/Q16026068", "Q16026068")</f>
        <v>0</v>
      </c>
    </row>
    <row r="3428" spans="1:8">
      <c r="A3428" t="s">
        <v>3434</v>
      </c>
      <c r="B3428" t="s">
        <v>7932</v>
      </c>
      <c r="C3428" t="s">
        <v>10769</v>
      </c>
      <c r="D3428" t="s">
        <v>14496</v>
      </c>
      <c r="E3428" s="2">
        <v>5129</v>
      </c>
      <c r="F3428">
        <f>HYPERLINK("https://www2.assemblee-nationale.fr/sycomore/fiche/(num_dept)/8079", "8079.0")</f>
        <v>0</v>
      </c>
      <c r="H3428">
        <f>HYPERLINK("https://www.wikidata.org/wiki/Q3588653", "Q3588653")</f>
        <v>0</v>
      </c>
    </row>
    <row r="3429" spans="1:8">
      <c r="A3429" t="s">
        <v>3435</v>
      </c>
      <c r="B3429" t="s">
        <v>7932</v>
      </c>
      <c r="C3429" t="s">
        <v>10770</v>
      </c>
      <c r="D3429" t="s">
        <v>12641</v>
      </c>
      <c r="E3429" s="2">
        <v>16884</v>
      </c>
      <c r="F3429">
        <f>HYPERLINK("https://www2.assemblee-nationale.fr/sycomore/fiche/(num_dept)/5111", "5111.0")</f>
        <v>0</v>
      </c>
      <c r="G3429">
        <f>HYPERLINK("https://www.senat.fr/senateur-3eme-republique/mauger_hippolyte0446r3.html", "mauger_hippolyte0446r3")</f>
        <v>0</v>
      </c>
      <c r="H3429">
        <f>HYPERLINK("https://www.wikidata.org/wiki/Q3136085", "Q3136085")</f>
        <v>0</v>
      </c>
    </row>
    <row r="3430" spans="1:8">
      <c r="A3430" t="s">
        <v>3436</v>
      </c>
      <c r="B3430" t="s">
        <v>7932</v>
      </c>
      <c r="C3430" t="s">
        <v>8691</v>
      </c>
      <c r="D3430" t="s">
        <v>14497</v>
      </c>
      <c r="E3430" s="2">
        <v>21194</v>
      </c>
      <c r="F3430">
        <f>HYPERLINK("https://www2.assemblee-nationale.fr/sycomore/fiche/(num_dept)/5113", "5113.0")</f>
        <v>0</v>
      </c>
      <c r="H3430">
        <f>HYPERLINK("https://www.wikidata.org/wiki/Q3435878", "Q3435878")</f>
        <v>0</v>
      </c>
    </row>
    <row r="3431" spans="1:8">
      <c r="A3431" t="s">
        <v>3437</v>
      </c>
      <c r="B3431" t="s">
        <v>7933</v>
      </c>
      <c r="C3431" t="s">
        <v>9429</v>
      </c>
      <c r="D3431" t="s">
        <v>13479</v>
      </c>
      <c r="E3431" s="2">
        <v>5908</v>
      </c>
      <c r="F3431">
        <f>HYPERLINK("https://www2.assemblee-nationale.fr/sycomore/fiche/(num_dept)/8295", "8295.0")</f>
        <v>0</v>
      </c>
      <c r="G3431">
        <f>HYPERLINK("https://www.senat.fr/senateur-3eme-republique/mauguin_alexandre0837r3.html", "mauguin_alexandre0837r3")</f>
        <v>0</v>
      </c>
      <c r="H3431">
        <f>HYPERLINK("https://www.wikidata.org/wiki/Q16798518", "Q16798518")</f>
        <v>0</v>
      </c>
    </row>
    <row r="3432" spans="1:8">
      <c r="A3432" t="s">
        <v>3438</v>
      </c>
      <c r="B3432" t="s">
        <v>7934</v>
      </c>
      <c r="C3432" t="s">
        <v>9621</v>
      </c>
      <c r="D3432" t="s">
        <v>14498</v>
      </c>
      <c r="E3432" s="2">
        <v>5227</v>
      </c>
      <c r="F3432">
        <f>HYPERLINK("https://www2.assemblee-nationale.fr/sycomore/fiche/(num_dept)/5116", "5116.0")</f>
        <v>0</v>
      </c>
      <c r="G3432">
        <f>HYPERLINK("https://www.senat.fr/senateur-3eme-republique/maujan_adolphe1560r3.html", "maujan_adolphe1560r3")</f>
        <v>0</v>
      </c>
      <c r="H3432">
        <f>HYPERLINK("https://www.wikidata.org/wiki/Q2824874", "Q2824874")</f>
        <v>0</v>
      </c>
    </row>
    <row r="3433" spans="1:8">
      <c r="A3433" t="s">
        <v>3439</v>
      </c>
      <c r="B3433" t="s">
        <v>7935</v>
      </c>
      <c r="C3433" t="s">
        <v>9430</v>
      </c>
      <c r="D3433" t="s">
        <v>14499</v>
      </c>
      <c r="E3433" s="2">
        <v>16830</v>
      </c>
      <c r="F3433">
        <f>HYPERLINK("https://www2.assemblee-nationale.fr/sycomore/fiche/(num_dept)/5118", "5118.0")</f>
        <v>0</v>
      </c>
      <c r="G3433">
        <f>HYPERLINK("https://www.senat.fr/senateur-3eme-republique/maulion_paul0899r3.html", "maulion_paul0899r3")</f>
        <v>0</v>
      </c>
      <c r="H3433">
        <f>HYPERLINK("https://www.wikidata.org/wiki/Q3371810", "Q3371810")</f>
        <v>0</v>
      </c>
    </row>
    <row r="3434" spans="1:8">
      <c r="A3434" t="s">
        <v>3440</v>
      </c>
      <c r="B3434" t="s">
        <v>7936</v>
      </c>
      <c r="C3434" t="s">
        <v>10771</v>
      </c>
      <c r="D3434" t="s">
        <v>14500</v>
      </c>
      <c r="E3434" t="s">
        <v>16288</v>
      </c>
      <c r="F3434">
        <f>HYPERLINK("https://www2.assemblee-nationale.fr/sycomore/fiche/(num_dept)/5120", "5120.0")</f>
        <v>0</v>
      </c>
      <c r="H3434">
        <f>HYPERLINK("https://www.wikidata.org/wiki/Q8306404", "Q8306404")</f>
        <v>0</v>
      </c>
    </row>
    <row r="3435" spans="1:8">
      <c r="A3435" t="s">
        <v>3441</v>
      </c>
      <c r="B3435" t="s">
        <v>7936</v>
      </c>
      <c r="C3435" t="s">
        <v>6895</v>
      </c>
      <c r="D3435" t="s">
        <v>14501</v>
      </c>
      <c r="E3435" s="2">
        <v>9502</v>
      </c>
      <c r="F3435">
        <f>HYPERLINK("https://www2.assemblee-nationale.fr/sycomore/fiche/(num_dept)/5119", "5119.0")</f>
        <v>0</v>
      </c>
      <c r="H3435">
        <f>HYPERLINK("https://www.wikidata.org/wiki/Q8306400", "Q8306400")</f>
        <v>0</v>
      </c>
    </row>
    <row r="3436" spans="1:8">
      <c r="A3436" t="s">
        <v>3442</v>
      </c>
      <c r="B3436" t="s">
        <v>7936</v>
      </c>
      <c r="C3436" t="s">
        <v>7942</v>
      </c>
      <c r="D3436" t="s">
        <v>14502</v>
      </c>
      <c r="E3436" s="2">
        <v>9268</v>
      </c>
      <c r="F3436">
        <f>HYPERLINK("https://www2.assemblee-nationale.fr/sycomore/fiche/(num_dept)/5121", "5121.0")</f>
        <v>0</v>
      </c>
      <c r="H3436">
        <f>HYPERLINK("https://www.wikidata.org/wiki/Q3301152", "Q3301152")</f>
        <v>0</v>
      </c>
    </row>
    <row r="3437" spans="1:8">
      <c r="A3437" t="s">
        <v>3443</v>
      </c>
      <c r="B3437" t="s">
        <v>7937</v>
      </c>
      <c r="C3437" t="s">
        <v>9324</v>
      </c>
      <c r="D3437" t="s">
        <v>14503</v>
      </c>
      <c r="E3437" s="2">
        <v>26236</v>
      </c>
      <c r="F3437">
        <f>HYPERLINK("https://www2.assemblee-nationale.fr/sycomore/fiche/(num_dept)/5122", "5122.0")</f>
        <v>0</v>
      </c>
      <c r="G3437">
        <f>HYPERLINK("https://www.senat.fr/senateur-3eme-republique/maupoil_henri0356r4.html", "maupoil_henri0356r4")</f>
        <v>0</v>
      </c>
      <c r="H3437">
        <f>HYPERLINK("https://www.wikidata.org/wiki/Q3131615", "Q3131615")</f>
        <v>0</v>
      </c>
    </row>
    <row r="3438" spans="1:8">
      <c r="A3438" t="s">
        <v>3444</v>
      </c>
      <c r="B3438" t="s">
        <v>7938</v>
      </c>
      <c r="C3438" t="s">
        <v>9533</v>
      </c>
      <c r="D3438" t="s">
        <v>14504</v>
      </c>
      <c r="E3438" s="2">
        <v>6156</v>
      </c>
      <c r="F3438">
        <f>HYPERLINK("https://www2.assemblee-nationale.fr/sycomore/fiche/(num_dept)/5123", "5123.0")</f>
        <v>0</v>
      </c>
      <c r="H3438">
        <f>HYPERLINK("https://www.wikidata.org/wiki/Q8309906", "Q8309906")</f>
        <v>0</v>
      </c>
    </row>
    <row r="3439" spans="1:8">
      <c r="A3439" t="s">
        <v>3445</v>
      </c>
      <c r="B3439" t="s">
        <v>7939</v>
      </c>
      <c r="C3439" t="s">
        <v>10026</v>
      </c>
      <c r="D3439" t="s">
        <v>14505</v>
      </c>
      <c r="E3439" s="2">
        <v>7917</v>
      </c>
      <c r="G3439">
        <f>HYPERLINK("https://www.senat.fr/senateur-3eme-republique/maureau_achille1704r3.html", "maureau_achille1704r3")</f>
        <v>0</v>
      </c>
      <c r="H3439">
        <f>HYPERLINK("https://www.wikidata.org/wiki/Q2823080", "Q2823080")</f>
        <v>0</v>
      </c>
    </row>
    <row r="3440" spans="1:8">
      <c r="A3440" t="s">
        <v>3446</v>
      </c>
      <c r="B3440" t="s">
        <v>7940</v>
      </c>
      <c r="C3440" t="s">
        <v>10772</v>
      </c>
      <c r="D3440" t="s">
        <v>14506</v>
      </c>
      <c r="E3440" t="s">
        <v>16289</v>
      </c>
      <c r="F3440">
        <f>HYPERLINK("https://www2.assemblee-nationale.fr/sycomore/fiche/(num_dept)/8005", "8005.0")</f>
        <v>0</v>
      </c>
      <c r="H3440">
        <f>HYPERLINK("https://www.wikidata.org/wiki/Q15972153", "Q15972153")</f>
        <v>0</v>
      </c>
    </row>
    <row r="3441" spans="1:8">
      <c r="A3441" t="s">
        <v>3447</v>
      </c>
      <c r="B3441" t="s">
        <v>7940</v>
      </c>
      <c r="C3441" t="s">
        <v>9324</v>
      </c>
      <c r="D3441" t="s">
        <v>14507</v>
      </c>
      <c r="E3441" s="2">
        <v>12877</v>
      </c>
      <c r="F3441">
        <f>HYPERLINK("https://www2.assemblee-nationale.fr/sycomore/fiche/(num_dept)/5124", "5124.0")</f>
        <v>0</v>
      </c>
      <c r="H3441">
        <f>HYPERLINK("https://www.wikidata.org/wiki/Q1248097", "Q1248097")</f>
        <v>0</v>
      </c>
    </row>
    <row r="3442" spans="1:8">
      <c r="A3442" t="s">
        <v>3448</v>
      </c>
      <c r="B3442" t="s">
        <v>7941</v>
      </c>
      <c r="C3442" t="s">
        <v>10773</v>
      </c>
      <c r="D3442" t="s">
        <v>13247</v>
      </c>
      <c r="E3442" s="2">
        <v>7282</v>
      </c>
      <c r="F3442">
        <f>HYPERLINK("https://www2.assemblee-nationale.fr/sycomore/fiche/(num_dept)/2933", "2933.0")</f>
        <v>0</v>
      </c>
      <c r="H3442">
        <f>HYPERLINK("https://www.wikidata.org/wiki/Q3300286", "Q3300286")</f>
        <v>0</v>
      </c>
    </row>
    <row r="3443" spans="1:8">
      <c r="A3443" t="s">
        <v>3449</v>
      </c>
      <c r="B3443" t="s">
        <v>7942</v>
      </c>
      <c r="C3443" t="s">
        <v>10774</v>
      </c>
      <c r="D3443" t="s">
        <v>13525</v>
      </c>
      <c r="E3443" s="2">
        <v>11046</v>
      </c>
      <c r="F3443">
        <f>HYPERLINK("https://www2.assemblee-nationale.fr/sycomore/fiche/(num_dept)/8006", "8006.0")</f>
        <v>0</v>
      </c>
      <c r="H3443">
        <f>HYPERLINK("https://www.wikidata.org/wiki/Q16026070", "Q16026070")</f>
        <v>0</v>
      </c>
    </row>
    <row r="3444" spans="1:8">
      <c r="A3444" t="s">
        <v>3450</v>
      </c>
      <c r="B3444" t="s">
        <v>7943</v>
      </c>
      <c r="C3444" t="s">
        <v>7001</v>
      </c>
      <c r="D3444" t="s">
        <v>14508</v>
      </c>
      <c r="E3444" s="2">
        <v>22997</v>
      </c>
      <c r="G3444">
        <f>HYPERLINK("https://www.senat.fr/senateur-3eme-republique/maurice_georges0465r4.html", "maurice_georges0465r4")</f>
        <v>0</v>
      </c>
      <c r="H3444">
        <f>HYPERLINK("https://www.wikidata.org/wiki/Q3103176", "Q3103176")</f>
        <v>0</v>
      </c>
    </row>
    <row r="3445" spans="1:8">
      <c r="A3445" t="s">
        <v>3451</v>
      </c>
      <c r="B3445" t="s">
        <v>7944</v>
      </c>
      <c r="C3445" t="s">
        <v>7754</v>
      </c>
      <c r="D3445" t="s">
        <v>14509</v>
      </c>
      <c r="G3445">
        <f>HYPERLINK("https://www.senat.fr/senateur-3eme-republique/maurin_louis1361r3.html", "maurin_louis1361r3")</f>
        <v>0</v>
      </c>
      <c r="H3445">
        <f>HYPERLINK("https://www.wikidata.org/wiki/Q16060769", "Q16060769")</f>
        <v>0</v>
      </c>
    </row>
    <row r="3446" spans="1:8">
      <c r="A3446" t="s">
        <v>3452</v>
      </c>
      <c r="B3446" t="s">
        <v>7944</v>
      </c>
      <c r="C3446" t="s">
        <v>7754</v>
      </c>
      <c r="D3446" t="s">
        <v>14510</v>
      </c>
      <c r="E3446" s="2">
        <v>20612</v>
      </c>
      <c r="H3446">
        <f>HYPERLINK("https://www.wikidata.org/wiki/Q1871858", "Q1871858")</f>
        <v>0</v>
      </c>
    </row>
    <row r="3447" spans="1:8">
      <c r="A3447" t="s">
        <v>3453</v>
      </c>
      <c r="B3447" t="s">
        <v>7945</v>
      </c>
      <c r="C3447" t="s">
        <v>7001</v>
      </c>
      <c r="D3447" t="s">
        <v>14511</v>
      </c>
      <c r="E3447" s="2">
        <v>24788</v>
      </c>
      <c r="F3447">
        <f>HYPERLINK("https://www2.assemblee-nationale.fr/sycomore/fiche/(num_dept)/5129", "5129.0")</f>
        <v>0</v>
      </c>
      <c r="H3447">
        <f>HYPERLINK("https://www.wikidata.org/wiki/Q3103178", "Q3103178")</f>
        <v>0</v>
      </c>
    </row>
    <row r="3448" spans="1:8">
      <c r="A3448" t="s">
        <v>3454</v>
      </c>
      <c r="B3448" t="s">
        <v>7946</v>
      </c>
      <c r="C3448" t="s">
        <v>10775</v>
      </c>
      <c r="D3448" t="s">
        <v>14512</v>
      </c>
      <c r="E3448" s="2">
        <v>22361</v>
      </c>
      <c r="F3448">
        <f>HYPERLINK("https://www2.assemblee-nationale.fr/sycomore/fiche/(num_dept)/5128", "5128.0")</f>
        <v>0</v>
      </c>
      <c r="H3448">
        <f>HYPERLINK("https://www.wikidata.org/wiki/Q16026071", "Q16026071")</f>
        <v>0</v>
      </c>
    </row>
    <row r="3449" spans="1:8">
      <c r="A3449" t="s">
        <v>3455</v>
      </c>
      <c r="B3449" t="s">
        <v>7947</v>
      </c>
      <c r="C3449" t="s">
        <v>10776</v>
      </c>
      <c r="D3449" t="s">
        <v>14513</v>
      </c>
      <c r="E3449" s="2">
        <v>16860</v>
      </c>
      <c r="F3449">
        <f>HYPERLINK("https://www2.assemblee-nationale.fr/sycomore/fiche/(num_dept)/5132", "5132.0")</f>
        <v>0</v>
      </c>
      <c r="H3449">
        <f>HYPERLINK("https://www.wikidata.org/wiki/Q16026072", "Q16026072")</f>
        <v>0</v>
      </c>
    </row>
    <row r="3450" spans="1:8">
      <c r="A3450" t="s">
        <v>3456</v>
      </c>
      <c r="B3450" t="s">
        <v>7948</v>
      </c>
      <c r="C3450" t="s">
        <v>9430</v>
      </c>
      <c r="D3450" t="s">
        <v>14514</v>
      </c>
      <c r="E3450" s="2">
        <v>9842</v>
      </c>
      <c r="F3450">
        <f>HYPERLINK("https://www2.assemblee-nationale.fr/sycomore/fiche/(num_dept)/5135", "5135.0")</f>
        <v>0</v>
      </c>
      <c r="H3450">
        <f>HYPERLINK("https://www.wikidata.org/wiki/Q136434124", "Q136434124")</f>
        <v>0</v>
      </c>
    </row>
    <row r="3451" spans="1:8">
      <c r="A3451" t="s">
        <v>3457</v>
      </c>
      <c r="B3451" t="s">
        <v>7949</v>
      </c>
      <c r="C3451" t="s">
        <v>10777</v>
      </c>
      <c r="D3451" t="s">
        <v>14515</v>
      </c>
      <c r="E3451" s="2">
        <v>72</v>
      </c>
      <c r="F3451">
        <f>HYPERLINK("https://www2.assemblee-nationale.fr/sycomore/fiche/(num_dept)/8244", "8244.0")</f>
        <v>0</v>
      </c>
      <c r="H3451">
        <f>HYPERLINK("https://www.wikidata.org/wiki/Q8303863", "Q8303863")</f>
        <v>0</v>
      </c>
    </row>
    <row r="3452" spans="1:8">
      <c r="A3452" t="s">
        <v>3458</v>
      </c>
      <c r="B3452" t="s">
        <v>7950</v>
      </c>
      <c r="C3452" t="s">
        <v>10778</v>
      </c>
      <c r="D3452" t="s">
        <v>14516</v>
      </c>
      <c r="E3452" s="2">
        <v>5868</v>
      </c>
      <c r="F3452">
        <f>HYPERLINK("https://www2.assemblee-nationale.fr/sycomore/fiche/(num_dept)/5140", "5140.0")</f>
        <v>0</v>
      </c>
      <c r="H3452">
        <f>HYPERLINK("https://www.wikidata.org/wiki/Q16026075", "Q16026075")</f>
        <v>0</v>
      </c>
    </row>
    <row r="3453" spans="1:8">
      <c r="A3453" t="s">
        <v>3459</v>
      </c>
      <c r="B3453" t="s">
        <v>7951</v>
      </c>
      <c r="C3453" t="s">
        <v>10196</v>
      </c>
      <c r="D3453" t="s">
        <v>14517</v>
      </c>
      <c r="E3453" t="s">
        <v>16290</v>
      </c>
      <c r="G3453">
        <f>HYPERLINK("https://www.senat.fr/senateur-3eme-republique/mayran_casimir0282r3.html", "mayran_casimir0282r3")</f>
        <v>0</v>
      </c>
      <c r="H3453">
        <f>HYPERLINK("https://www.wikidata.org/wiki/Q20027647", "Q20027647")</f>
        <v>0</v>
      </c>
    </row>
    <row r="3454" spans="1:8">
      <c r="A3454" t="s">
        <v>3460</v>
      </c>
      <c r="B3454" t="s">
        <v>7952</v>
      </c>
      <c r="C3454" t="s">
        <v>9779</v>
      </c>
      <c r="D3454" t="s">
        <v>14518</v>
      </c>
      <c r="E3454" s="2">
        <v>15616</v>
      </c>
      <c r="F3454">
        <f>HYPERLINK("https://www2.assemblee-nationale.fr/sycomore/fiche/(num_dept)/5139", "5139.0")</f>
        <v>0</v>
      </c>
      <c r="H3454">
        <f>HYPERLINK("https://www.wikidata.org/wiki/Q16026073", "Q16026073")</f>
        <v>0</v>
      </c>
    </row>
    <row r="3455" spans="1:8">
      <c r="A3455" t="s">
        <v>3461</v>
      </c>
      <c r="B3455" t="s">
        <v>7953</v>
      </c>
      <c r="C3455" t="s">
        <v>10779</v>
      </c>
      <c r="D3455" t="s">
        <v>14519</v>
      </c>
      <c r="E3455" s="2">
        <v>20796</v>
      </c>
      <c r="F3455">
        <f>HYPERLINK("https://www2.assemblee-nationale.fr/sycomore/fiche/(num_dept)/5142", "5142.0")</f>
        <v>0</v>
      </c>
      <c r="H3455">
        <f>HYPERLINK("https://www.wikidata.org/wiki/Q16026077", "Q16026077")</f>
        <v>0</v>
      </c>
    </row>
    <row r="3456" spans="1:8">
      <c r="A3456" t="s">
        <v>3462</v>
      </c>
      <c r="B3456" t="s">
        <v>7954</v>
      </c>
      <c r="C3456" t="s">
        <v>9851</v>
      </c>
      <c r="D3456" t="s">
        <v>14520</v>
      </c>
      <c r="E3456" t="s">
        <v>16291</v>
      </c>
      <c r="F3456">
        <f>HYPERLINK("https://www2.assemblee-nationale.fr/sycomore/fiche/(num_dept)/8263", "8263.0")</f>
        <v>0</v>
      </c>
      <c r="G3456">
        <f>HYPERLINK("https://www.senat.fr/senateur-3eme-republique/maze_hippolyte1652r3.html", "maze_hippolyte1652r3")</f>
        <v>0</v>
      </c>
      <c r="H3456">
        <f>HYPERLINK("https://www.wikidata.org/wiki/Q3136091", "Q3136091")</f>
        <v>0</v>
      </c>
    </row>
    <row r="3457" spans="1:8">
      <c r="A3457" t="s">
        <v>3463</v>
      </c>
      <c r="B3457" t="s">
        <v>7955</v>
      </c>
      <c r="C3457" t="s">
        <v>9355</v>
      </c>
      <c r="D3457" t="s">
        <v>14521</v>
      </c>
      <c r="E3457" s="2">
        <v>1866</v>
      </c>
      <c r="G3457">
        <f>HYPERLINK("https://www.senat.fr/senateur-3eme-republique/mazeau_charles0538r3.html", "mazeau_charles0538r3")</f>
        <v>0</v>
      </c>
      <c r="H3457">
        <f>HYPERLINK("https://www.wikidata.org/wiki/Q928664", "Q928664")</f>
        <v>0</v>
      </c>
    </row>
    <row r="3458" spans="1:8">
      <c r="A3458" t="s">
        <v>3464</v>
      </c>
      <c r="B3458" t="s">
        <v>7956</v>
      </c>
      <c r="C3458" t="s">
        <v>7001</v>
      </c>
      <c r="D3458" t="s">
        <v>14365</v>
      </c>
      <c r="E3458" s="2">
        <v>24913</v>
      </c>
      <c r="F3458">
        <f>HYPERLINK("https://www2.assemblee-nationale.fr/sycomore/fiche/(num_dept)/5146", "5146.0")</f>
        <v>0</v>
      </c>
      <c r="H3458">
        <f>HYPERLINK("https://www.wikidata.org/wiki/Q3103182", "Q3103182")</f>
        <v>0</v>
      </c>
    </row>
    <row r="3459" spans="1:8">
      <c r="A3459" t="s">
        <v>3465</v>
      </c>
      <c r="B3459" t="s">
        <v>7957</v>
      </c>
      <c r="C3459" t="s">
        <v>10780</v>
      </c>
      <c r="D3459" t="s">
        <v>11773</v>
      </c>
      <c r="E3459" s="2">
        <v>3903</v>
      </c>
      <c r="F3459">
        <f>HYPERLINK("https://www2.assemblee-nationale.fr/sycomore/fiche/(num_dept)/8111", "8111.0")</f>
        <v>0</v>
      </c>
      <c r="H3459">
        <f>HYPERLINK("https://www.wikidata.org/wiki/Q16026079", "Q16026079")</f>
        <v>0</v>
      </c>
    </row>
    <row r="3460" spans="1:8">
      <c r="A3460" t="s">
        <v>3466</v>
      </c>
      <c r="B3460" t="s">
        <v>7958</v>
      </c>
      <c r="C3460" t="s">
        <v>8384</v>
      </c>
      <c r="D3460" t="s">
        <v>14522</v>
      </c>
      <c r="E3460" s="2">
        <v>10484</v>
      </c>
      <c r="G3460">
        <f>HYPERLINK("https://www.senat.fr/senateur-3eme-republique/maziere_pierre0644r3.html", "maziere_pierre0644r3")</f>
        <v>0</v>
      </c>
      <c r="H3460">
        <f>HYPERLINK("https://www.wikidata.org/wiki/Q3386232", "Q3386232")</f>
        <v>0</v>
      </c>
    </row>
    <row r="3461" spans="1:8">
      <c r="A3461" t="s">
        <v>3467</v>
      </c>
      <c r="B3461" t="s">
        <v>7959</v>
      </c>
      <c r="C3461" t="s">
        <v>8384</v>
      </c>
      <c r="D3461" t="s">
        <v>14522</v>
      </c>
      <c r="E3461" s="2">
        <v>10484</v>
      </c>
      <c r="F3461">
        <f>HYPERLINK("https://www2.assemblee-nationale.fr/sycomore/fiche/(num_dept)/5148", "5148.0")</f>
        <v>0</v>
      </c>
      <c r="H3461">
        <f>HYPERLINK("https://www.wikidata.org/wiki/Q3386232", "Q3386232")</f>
        <v>0</v>
      </c>
    </row>
    <row r="3462" spans="1:8">
      <c r="A3462" t="s">
        <v>3468</v>
      </c>
      <c r="B3462" t="s">
        <v>7960</v>
      </c>
      <c r="C3462" t="s">
        <v>9602</v>
      </c>
      <c r="D3462" t="s">
        <v>14523</v>
      </c>
      <c r="E3462" s="2">
        <v>17731</v>
      </c>
      <c r="G3462">
        <f>HYPERLINK("https://www.senat.fr/senateur-3eme-republique/mazurier_xavier1780r3.html", "mazurier_xavier1780r3")</f>
        <v>0</v>
      </c>
      <c r="H3462">
        <f>HYPERLINK("https://www.wikidata.org/wiki/Q3570739", "Q3570739")</f>
        <v>0</v>
      </c>
    </row>
    <row r="3463" spans="1:8">
      <c r="A3463" t="s">
        <v>3469</v>
      </c>
      <c r="B3463" t="s">
        <v>7961</v>
      </c>
      <c r="C3463" t="s">
        <v>10781</v>
      </c>
      <c r="D3463" t="s">
        <v>14524</v>
      </c>
      <c r="E3463" s="2">
        <v>16906</v>
      </c>
      <c r="F3463">
        <f>HYPERLINK("https://www2.assemblee-nationale.fr/sycomore/fiche/(num_dept)/5143", "5143.0")</f>
        <v>0</v>
      </c>
      <c r="H3463">
        <f>HYPERLINK("https://www.wikidata.org/wiki/Q3386234", "Q3386234")</f>
        <v>0</v>
      </c>
    </row>
    <row r="3464" spans="1:8">
      <c r="A3464" t="s">
        <v>3470</v>
      </c>
      <c r="B3464" t="s">
        <v>7962</v>
      </c>
      <c r="C3464" t="s">
        <v>10782</v>
      </c>
      <c r="D3464" t="s">
        <v>14525</v>
      </c>
      <c r="E3464" s="2">
        <v>15205</v>
      </c>
      <c r="F3464">
        <f>HYPERLINK("https://www2.assemblee-nationale.fr/sycomore/fiche/(num_dept)/4877", "4877.0")</f>
        <v>0</v>
      </c>
      <c r="H3464">
        <f>HYPERLINK("https://www.wikidata.org/wiki/Q2835322", "Q2835322")</f>
        <v>0</v>
      </c>
    </row>
    <row r="3465" spans="1:8">
      <c r="A3465" t="s">
        <v>3471</v>
      </c>
      <c r="B3465" t="s">
        <v>7963</v>
      </c>
      <c r="C3465" t="s">
        <v>9324</v>
      </c>
      <c r="D3465" t="s">
        <v>14526</v>
      </c>
      <c r="E3465" s="2">
        <v>5328</v>
      </c>
      <c r="H3465">
        <f>HYPERLINK("https://www.wikidata.org/wiki/Q3131623", "Q3131623")</f>
        <v>0</v>
      </c>
    </row>
    <row r="3466" spans="1:8">
      <c r="A3466" t="s">
        <v>3472</v>
      </c>
      <c r="B3466" t="s">
        <v>7963</v>
      </c>
      <c r="C3466" t="s">
        <v>10783</v>
      </c>
      <c r="D3466" t="s">
        <v>14527</v>
      </c>
      <c r="E3466" s="2">
        <v>17152</v>
      </c>
      <c r="F3466">
        <f>HYPERLINK("https://www2.assemblee-nationale.fr/sycomore/fiche/(num_dept)/4913", "4913.0")</f>
        <v>0</v>
      </c>
      <c r="H3466">
        <f>HYPERLINK("https://www.wikidata.org/wiki/Q16026028", "Q16026028")</f>
        <v>0</v>
      </c>
    </row>
    <row r="3467" spans="1:8">
      <c r="A3467" t="s">
        <v>3473</v>
      </c>
      <c r="B3467" t="s">
        <v>7964</v>
      </c>
      <c r="C3467" t="s">
        <v>9324</v>
      </c>
      <c r="D3467" t="s">
        <v>14528</v>
      </c>
      <c r="E3467" s="2">
        <v>24466</v>
      </c>
      <c r="F3467">
        <f>HYPERLINK("https://www2.assemblee-nationale.fr/sycomore/fiche/(num_dept)/5154", "5154.0")</f>
        <v>0</v>
      </c>
      <c r="H3467">
        <f>HYPERLINK("https://www.wikidata.org/wiki/Q3131626", "Q3131626")</f>
        <v>0</v>
      </c>
    </row>
    <row r="3468" spans="1:8">
      <c r="A3468" t="s">
        <v>3474</v>
      </c>
      <c r="B3468" t="s">
        <v>7965</v>
      </c>
      <c r="C3468" t="s">
        <v>7342</v>
      </c>
      <c r="D3468" t="s">
        <v>14529</v>
      </c>
      <c r="E3468" s="2">
        <v>24094</v>
      </c>
      <c r="G3468">
        <f>HYPERLINK("https://www.senat.fr/senateur-3eme-republique/medecin_jean0127r3.html", "medecin_jean0127r3")</f>
        <v>0</v>
      </c>
      <c r="H3468">
        <f>HYPERLINK("https://www.wikidata.org/wiki/Q3173654", "Q3173654")</f>
        <v>0</v>
      </c>
    </row>
    <row r="3469" spans="1:8">
      <c r="A3469" t="s">
        <v>3475</v>
      </c>
      <c r="B3469" t="s">
        <v>7966</v>
      </c>
      <c r="C3469" t="s">
        <v>10784</v>
      </c>
      <c r="D3469" t="s">
        <v>14530</v>
      </c>
      <c r="E3469" s="2">
        <v>215</v>
      </c>
      <c r="F3469">
        <f>HYPERLINK("https://www2.assemblee-nationale.fr/sycomore/fiche/(num_dept)/5164", "5164.0")</f>
        <v>0</v>
      </c>
      <c r="H3469">
        <f>HYPERLINK("https://www.wikidata.org/wiki/Q16026082", "Q16026082")</f>
        <v>0</v>
      </c>
    </row>
    <row r="3470" spans="1:8">
      <c r="A3470" t="s">
        <v>3476</v>
      </c>
      <c r="B3470" t="s">
        <v>7967</v>
      </c>
      <c r="C3470" t="s">
        <v>8384</v>
      </c>
      <c r="D3470" t="s">
        <v>14531</v>
      </c>
      <c r="E3470" t="s">
        <v>16292</v>
      </c>
      <c r="G3470">
        <f>HYPERLINK("https://www.senat.fr/senateur-3eme-republique/meinadier_pierre0819r3.html", "meinadier_pierre0819r3")</f>
        <v>0</v>
      </c>
      <c r="H3470">
        <f>HYPERLINK("https://www.wikidata.org/wiki/Q2093687", "Q2093687")</f>
        <v>0</v>
      </c>
    </row>
    <row r="3471" spans="1:8">
      <c r="A3471" t="s">
        <v>3477</v>
      </c>
      <c r="B3471" t="s">
        <v>7968</v>
      </c>
      <c r="C3471" t="s">
        <v>7754</v>
      </c>
      <c r="D3471" t="s">
        <v>14532</v>
      </c>
      <c r="E3471" s="2">
        <v>20102</v>
      </c>
      <c r="G3471">
        <f>HYPERLINK("https://www.senat.fr/senateur-3eme-republique/mejan_louis0834r3.html", "mejan_louis0834r3")</f>
        <v>0</v>
      </c>
      <c r="H3471">
        <f>HYPERLINK("https://www.wikidata.org/wiki/Q1871880", "Q1871880")</f>
        <v>0</v>
      </c>
    </row>
    <row r="3472" spans="1:8">
      <c r="A3472" t="s">
        <v>3478</v>
      </c>
      <c r="B3472" t="s">
        <v>7969</v>
      </c>
      <c r="C3472" t="s">
        <v>9471</v>
      </c>
      <c r="D3472" t="s">
        <v>14533</v>
      </c>
      <c r="E3472" s="2">
        <v>9487</v>
      </c>
      <c r="G3472">
        <f>HYPERLINK("https://www.senat.fr/senateur-3eme-republique/meline_jules1799r3.html", "meline_jules1799r3")</f>
        <v>0</v>
      </c>
      <c r="H3472">
        <f>HYPERLINK("https://www.wikidata.org/wiki/Q459914", "Q459914")</f>
        <v>0</v>
      </c>
    </row>
    <row r="3473" spans="1:8">
      <c r="A3473" t="s">
        <v>3479</v>
      </c>
      <c r="B3473" t="s">
        <v>7970</v>
      </c>
      <c r="C3473" t="s">
        <v>10785</v>
      </c>
      <c r="D3473" t="s">
        <v>14534</v>
      </c>
      <c r="E3473" s="2">
        <v>22303</v>
      </c>
      <c r="F3473">
        <f>HYPERLINK("https://www2.assemblee-nationale.fr/sycomore/fiche/(num_dept)/5169", "5169.0")</f>
        <v>0</v>
      </c>
      <c r="H3473">
        <f>HYPERLINK("https://www.wikidata.org/wiki/Q2848284", "Q2848284")</f>
        <v>0</v>
      </c>
    </row>
    <row r="3474" spans="1:8">
      <c r="A3474" t="s">
        <v>3480</v>
      </c>
      <c r="B3474" t="s">
        <v>7971</v>
      </c>
      <c r="C3474" t="s">
        <v>10786</v>
      </c>
      <c r="D3474" t="s">
        <v>13135</v>
      </c>
      <c r="E3474" s="2">
        <v>3363</v>
      </c>
      <c r="F3474">
        <f>HYPERLINK("https://www2.assemblee-nationale.fr/sycomore/fiche/(num_dept)/5171", "5171.0")</f>
        <v>0</v>
      </c>
      <c r="H3474">
        <f>HYPERLINK("https://www.wikidata.org/wiki/Q3270527", "Q3270527")</f>
        <v>0</v>
      </c>
    </row>
    <row r="3475" spans="1:8">
      <c r="A3475" t="s">
        <v>3481</v>
      </c>
      <c r="B3475" t="s">
        <v>7972</v>
      </c>
      <c r="C3475" t="s">
        <v>10787</v>
      </c>
      <c r="D3475" t="s">
        <v>14535</v>
      </c>
      <c r="E3475" s="2">
        <v>5301</v>
      </c>
      <c r="F3475">
        <f>HYPERLINK("https://www2.assemblee-nationale.fr/sycomore/fiche/(num_dept)/5172", "5172.0")</f>
        <v>0</v>
      </c>
      <c r="H3475">
        <f>HYPERLINK("https://www.wikidata.org/wiki/Q3078589", "Q3078589")</f>
        <v>0</v>
      </c>
    </row>
    <row r="3476" spans="1:8">
      <c r="A3476" t="s">
        <v>3482</v>
      </c>
      <c r="B3476" t="s">
        <v>7973</v>
      </c>
      <c r="C3476" t="s">
        <v>10788</v>
      </c>
      <c r="D3476" t="s">
        <v>14536</v>
      </c>
      <c r="E3476" s="2">
        <v>24502</v>
      </c>
      <c r="F3476">
        <f>HYPERLINK("https://www2.assemblee-nationale.fr/sycomore/fiche/(num_dept)/5173", "5173.0")</f>
        <v>0</v>
      </c>
      <c r="H3476">
        <f>HYPERLINK("https://www.wikidata.org/wiki/Q3122000", "Q3122000")</f>
        <v>0</v>
      </c>
    </row>
    <row r="3477" spans="1:8">
      <c r="A3477" t="s">
        <v>3483</v>
      </c>
      <c r="B3477" t="s">
        <v>7974</v>
      </c>
      <c r="C3477" t="s">
        <v>8384</v>
      </c>
      <c r="D3477" s="2">
        <v>2568</v>
      </c>
      <c r="E3477" s="2">
        <v>30242</v>
      </c>
      <c r="H3477">
        <f>HYPERLINK("https://www.wikidata.org/wiki/Q314265", "Q314265")</f>
        <v>0</v>
      </c>
    </row>
    <row r="3478" spans="1:8">
      <c r="A3478" t="s">
        <v>3484</v>
      </c>
      <c r="B3478" t="s">
        <v>7975</v>
      </c>
      <c r="C3478" t="s">
        <v>10789</v>
      </c>
      <c r="D3478" t="s">
        <v>12576</v>
      </c>
      <c r="E3478" s="2">
        <v>12728</v>
      </c>
      <c r="F3478">
        <f>HYPERLINK("https://www2.assemblee-nationale.fr/sycomore/fiche/(num_dept)/5179", "5179.0")</f>
        <v>0</v>
      </c>
      <c r="G3478">
        <f>HYPERLINK("https://www.senat.fr/senateur-3eme-republique/menier_gaston1610r3.html", "menier_gaston1610r3")</f>
        <v>0</v>
      </c>
      <c r="H3478">
        <f>HYPERLINK("https://www.wikidata.org/wiki/Q3099085", "Q3099085")</f>
        <v>0</v>
      </c>
    </row>
    <row r="3479" spans="1:8">
      <c r="A3479" t="s">
        <v>3485</v>
      </c>
      <c r="B3479" t="s">
        <v>7975</v>
      </c>
      <c r="C3479" t="s">
        <v>7001</v>
      </c>
      <c r="D3479" t="s">
        <v>12485</v>
      </c>
      <c r="E3479" s="2">
        <v>24755</v>
      </c>
      <c r="F3479">
        <f>HYPERLINK("https://www2.assemblee-nationale.fr/sycomore/fiche/(num_dept)/5180", "5180.0")</f>
        <v>0</v>
      </c>
      <c r="H3479">
        <f>HYPERLINK("https://www.wikidata.org/wiki/Q3103250", "Q3103250")</f>
        <v>0</v>
      </c>
    </row>
    <row r="3480" spans="1:8">
      <c r="A3480" t="s">
        <v>3486</v>
      </c>
      <c r="B3480" t="s">
        <v>7976</v>
      </c>
      <c r="C3480" t="s">
        <v>10790</v>
      </c>
      <c r="D3480" t="s">
        <v>14537</v>
      </c>
      <c r="E3480" s="2">
        <v>12397</v>
      </c>
      <c r="F3480">
        <f>HYPERLINK("https://www2.assemblee-nationale.fr/sycomore/fiche/(num_dept)/8008", "8008.0")</f>
        <v>0</v>
      </c>
      <c r="H3480">
        <f>HYPERLINK("https://www.wikidata.org/wiki/Q15971988", "Q15971988")</f>
        <v>0</v>
      </c>
    </row>
    <row r="3481" spans="1:8">
      <c r="A3481" t="s">
        <v>3487</v>
      </c>
      <c r="B3481" t="s">
        <v>7977</v>
      </c>
      <c r="C3481" t="s">
        <v>10791</v>
      </c>
      <c r="D3481" t="s">
        <v>14538</v>
      </c>
      <c r="E3481" s="2">
        <v>19304</v>
      </c>
      <c r="F3481">
        <f>HYPERLINK("https://www2.assemblee-nationale.fr/sycomore/fiche/(num_dept)/5184", "5184.0")</f>
        <v>0</v>
      </c>
      <c r="H3481">
        <f>HYPERLINK("https://www.wikidata.org/wiki/Q16026084", "Q16026084")</f>
        <v>0</v>
      </c>
    </row>
    <row r="3482" spans="1:8">
      <c r="A3482" t="s">
        <v>3488</v>
      </c>
      <c r="B3482" t="s">
        <v>7978</v>
      </c>
      <c r="C3482" t="s">
        <v>10792</v>
      </c>
      <c r="D3482" t="s">
        <v>14539</v>
      </c>
      <c r="E3482" t="s">
        <v>16293</v>
      </c>
      <c r="F3482">
        <f>HYPERLINK("https://www2.assemblee-nationale.fr/sycomore/fiche/(num_dept)/5189", "5189.0")</f>
        <v>0</v>
      </c>
      <c r="G3482">
        <f>HYPERLINK("https://www.senat.fr/senateur-3eme-republique/mercier_jean0006r3.html", "mercier_jean0006r3")</f>
        <v>0</v>
      </c>
      <c r="H3482">
        <f>HYPERLINK("https://www.wikidata.org/wiki/Q3173488", "Q3173488")</f>
        <v>0</v>
      </c>
    </row>
    <row r="3483" spans="1:8">
      <c r="A3483" t="s">
        <v>3489</v>
      </c>
      <c r="B3483" t="s">
        <v>7978</v>
      </c>
      <c r="C3483" t="s">
        <v>9337</v>
      </c>
      <c r="D3483" t="s">
        <v>14540</v>
      </c>
      <c r="E3483" s="2">
        <v>7733</v>
      </c>
      <c r="G3483">
        <f>HYPERLINK("https://www.senat.fr/senateur-3eme-republique/mercier_auguste1293r3.html", "mercier_auguste1293r3")</f>
        <v>0</v>
      </c>
      <c r="H3483">
        <f>HYPERLINK("https://www.wikidata.org/wiki/Q766801", "Q766801")</f>
        <v>0</v>
      </c>
    </row>
    <row r="3484" spans="1:8">
      <c r="A3484" t="s">
        <v>3490</v>
      </c>
      <c r="B3484" t="s">
        <v>7978</v>
      </c>
      <c r="C3484" t="s">
        <v>9471</v>
      </c>
      <c r="D3484" t="s">
        <v>14541</v>
      </c>
      <c r="E3484" s="2">
        <v>8510</v>
      </c>
      <c r="F3484">
        <f>HYPERLINK("https://www2.assemblee-nationale.fr/sycomore/fiche/(num_dept)/5196", "5196.0")</f>
        <v>0</v>
      </c>
      <c r="G3484">
        <f>HYPERLINK("https://www.senat.fr/senateur-3eme-republique/mercier_jules1308r3.html", "mercier_jules1308r3")</f>
        <v>0</v>
      </c>
      <c r="H3484">
        <f>HYPERLINK("https://www.wikidata.org/wiki/Q3188780", "Q3188780")</f>
        <v>0</v>
      </c>
    </row>
    <row r="3485" spans="1:8">
      <c r="A3485" t="s">
        <v>3491</v>
      </c>
      <c r="B3485" t="s">
        <v>7978</v>
      </c>
      <c r="C3485" t="s">
        <v>9373</v>
      </c>
      <c r="D3485" t="s">
        <v>14542</v>
      </c>
      <c r="E3485" t="s">
        <v>16294</v>
      </c>
      <c r="F3485">
        <f>HYPERLINK("https://www2.assemblee-nationale.fr/sycomore/fiche/(num_dept)/5195", "5195.0")</f>
        <v>0</v>
      </c>
      <c r="H3485">
        <f>HYPERLINK("https://www.wikidata.org/wiki/Q16026086", "Q16026086")</f>
        <v>0</v>
      </c>
    </row>
    <row r="3486" spans="1:8">
      <c r="A3486" t="s">
        <v>3492</v>
      </c>
      <c r="B3486" t="s">
        <v>7978</v>
      </c>
      <c r="C3486" t="s">
        <v>9430</v>
      </c>
      <c r="D3486" t="s">
        <v>14543</v>
      </c>
      <c r="E3486" s="2">
        <v>13954</v>
      </c>
      <c r="F3486">
        <f>HYPERLINK("https://www2.assemblee-nationale.fr/sycomore/fiche/(num_dept)/5199", "5199.0")</f>
        <v>0</v>
      </c>
      <c r="H3486">
        <f>HYPERLINK("https://www.wikidata.org/wiki/Q16026087", "Q16026087")</f>
        <v>0</v>
      </c>
    </row>
    <row r="3487" spans="1:8">
      <c r="A3487" t="s">
        <v>3493</v>
      </c>
      <c r="B3487" t="s">
        <v>7979</v>
      </c>
      <c r="C3487" t="s">
        <v>9438</v>
      </c>
      <c r="D3487" t="s">
        <v>14544</v>
      </c>
      <c r="E3487" s="2">
        <v>7323</v>
      </c>
      <c r="G3487">
        <f>HYPERLINK("https://www.senat.fr/senateur-3eme-republique/meric_victor1732r3.html", "meric_victor1732r3")</f>
        <v>0</v>
      </c>
      <c r="H3487">
        <f>HYPERLINK("https://www.wikidata.org/wiki/Q3557471", "Q3557471")</f>
        <v>0</v>
      </c>
    </row>
    <row r="3488" spans="1:8">
      <c r="A3488" t="s">
        <v>3494</v>
      </c>
      <c r="B3488" t="s">
        <v>7980</v>
      </c>
      <c r="C3488" t="s">
        <v>9858</v>
      </c>
      <c r="D3488" t="s">
        <v>14545</v>
      </c>
      <c r="E3488" s="2">
        <v>14047</v>
      </c>
      <c r="F3488">
        <f>HYPERLINK("https://www2.assemblee-nationale.fr/sycomore/fiche/(num_dept)/5202", "5202.0")</f>
        <v>0</v>
      </c>
      <c r="H3488">
        <f>HYPERLINK("https://www.wikidata.org/wiki/Q3081593", "Q3081593")</f>
        <v>0</v>
      </c>
    </row>
    <row r="3489" spans="1:8">
      <c r="A3489" t="s">
        <v>3495</v>
      </c>
      <c r="B3489" t="s">
        <v>7981</v>
      </c>
      <c r="C3489" t="s">
        <v>8384</v>
      </c>
      <c r="D3489" t="s">
        <v>14546</v>
      </c>
      <c r="E3489" s="2">
        <v>13118</v>
      </c>
      <c r="F3489">
        <f>HYPERLINK("https://www2.assemblee-nationale.fr/sycomore/fiche/(num_dept)/5205", "5205.0")</f>
        <v>0</v>
      </c>
      <c r="H3489">
        <f>HYPERLINK("https://www.wikidata.org/wiki/Q16026089", "Q16026089")</f>
        <v>0</v>
      </c>
    </row>
    <row r="3490" spans="1:8">
      <c r="A3490" t="s">
        <v>3496</v>
      </c>
      <c r="B3490" t="s">
        <v>7981</v>
      </c>
      <c r="C3490" t="s">
        <v>9944</v>
      </c>
      <c r="D3490" t="s">
        <v>14547</v>
      </c>
      <c r="E3490" s="2">
        <v>19582</v>
      </c>
      <c r="F3490">
        <f>HYPERLINK("https://www2.assemblee-nationale.fr/sycomore/fiche/(num_dept)/5204", "5204.0")</f>
        <v>0</v>
      </c>
      <c r="H3490">
        <f>HYPERLINK("https://www.wikidata.org/wiki/Q8304203", "Q8304203")</f>
        <v>0</v>
      </c>
    </row>
    <row r="3491" spans="1:8">
      <c r="A3491" t="s">
        <v>3497</v>
      </c>
      <c r="B3491" t="s">
        <v>7981</v>
      </c>
      <c r="C3491" t="s">
        <v>9621</v>
      </c>
      <c r="D3491" t="s">
        <v>14548</v>
      </c>
      <c r="E3491" s="2">
        <v>10989</v>
      </c>
      <c r="F3491">
        <f>HYPERLINK("https://www2.assemblee-nationale.fr/sycomore/fiche/(num_dept)/5203", "5203.0")</f>
        <v>0</v>
      </c>
      <c r="H3491">
        <f>HYPERLINK("https://www.wikidata.org/wiki/Q16026088", "Q16026088")</f>
        <v>0</v>
      </c>
    </row>
    <row r="3492" spans="1:8">
      <c r="A3492" t="s">
        <v>3498</v>
      </c>
      <c r="B3492" t="s">
        <v>7982</v>
      </c>
      <c r="C3492" t="s">
        <v>10793</v>
      </c>
      <c r="D3492" t="s">
        <v>14549</v>
      </c>
      <c r="E3492" s="2">
        <v>7884</v>
      </c>
      <c r="F3492">
        <f>HYPERLINK("https://www2.assemblee-nationale.fr/sycomore/fiche/(num_dept)/8009", "8009.0")</f>
        <v>0</v>
      </c>
      <c r="G3492">
        <f>HYPERLINK("https://www.senat.fr/senateur-3eme-republique/merlet_jules1074r3.html", "merlet_jules1074r3")</f>
        <v>0</v>
      </c>
      <c r="H3492">
        <f>HYPERLINK("https://www.wikidata.org/wiki/Q3188781", "Q3188781")</f>
        <v>0</v>
      </c>
    </row>
    <row r="3493" spans="1:8">
      <c r="A3493" t="s">
        <v>3499</v>
      </c>
      <c r="B3493" t="s">
        <v>7983</v>
      </c>
      <c r="C3493" t="s">
        <v>9355</v>
      </c>
      <c r="D3493" t="s">
        <v>14550</v>
      </c>
      <c r="E3493" t="s">
        <v>16295</v>
      </c>
      <c r="G3493">
        <f>HYPERLINK("https://www.senat.fr/senateur-3eme-republique/merlin_charles1398r3.html", "merlin_charles1398r3")</f>
        <v>0</v>
      </c>
      <c r="H3493">
        <f>HYPERLINK("https://www.wikidata.org/wiki/Q2959800", "Q2959800")</f>
        <v>0</v>
      </c>
    </row>
    <row r="3494" spans="1:8">
      <c r="A3494" t="s">
        <v>3500</v>
      </c>
      <c r="B3494" t="s">
        <v>7983</v>
      </c>
      <c r="C3494" t="s">
        <v>7233</v>
      </c>
      <c r="D3494" t="s">
        <v>13523</v>
      </c>
      <c r="E3494" s="2">
        <v>15685</v>
      </c>
      <c r="G3494">
        <f>HYPERLINK("https://www.senat.fr/senateur-3eme-republique/merlin_henry0645r3.html", "merlin_henry0645r3")</f>
        <v>0</v>
      </c>
      <c r="H3494">
        <f>HYPERLINK("https://www.wikidata.org/wiki/Q3132957", "Q3132957")</f>
        <v>0</v>
      </c>
    </row>
    <row r="3495" spans="1:8">
      <c r="A3495" t="s">
        <v>3501</v>
      </c>
      <c r="B3495" t="s">
        <v>7984</v>
      </c>
      <c r="C3495" t="s">
        <v>9918</v>
      </c>
      <c r="D3495" t="s">
        <v>14551</v>
      </c>
      <c r="E3495" s="2">
        <v>13879</v>
      </c>
      <c r="F3495">
        <f>HYPERLINK("https://www2.assemblee-nationale.fr/sycomore/fiche/(num_dept)/5208", "5208.0")</f>
        <v>0</v>
      </c>
      <c r="G3495">
        <f>HYPERLINK("https://www.senat.fr/senateur-3eme-republique/merlin_fernand1341r3.html", "merlin_fernand1341r3")</f>
        <v>0</v>
      </c>
      <c r="H3495">
        <f>HYPERLINK("https://www.wikidata.org/wiki/Q3069270", "Q3069270")</f>
        <v>0</v>
      </c>
    </row>
    <row r="3496" spans="1:8">
      <c r="A3496" t="s">
        <v>3502</v>
      </c>
      <c r="B3496" t="s">
        <v>7985</v>
      </c>
      <c r="C3496" t="s">
        <v>8384</v>
      </c>
      <c r="D3496" t="s">
        <v>14552</v>
      </c>
      <c r="E3496" s="2">
        <v>3554</v>
      </c>
      <c r="F3496">
        <f>HYPERLINK("https://www2.assemblee-nationale.fr/sycomore/fiche/(num_dept)/5209", "5209.0")</f>
        <v>0</v>
      </c>
      <c r="H3496">
        <f>HYPERLINK("https://www.wikidata.org/wiki/Q3386255", "Q3386255")</f>
        <v>0</v>
      </c>
    </row>
    <row r="3497" spans="1:8">
      <c r="A3497" t="s">
        <v>3503</v>
      </c>
      <c r="B3497" t="s">
        <v>7986</v>
      </c>
      <c r="C3497" t="s">
        <v>10794</v>
      </c>
      <c r="D3497" t="s">
        <v>13827</v>
      </c>
      <c r="E3497" s="2">
        <v>24695</v>
      </c>
      <c r="F3497">
        <f>HYPERLINK("https://www2.assemblee-nationale.fr/sycomore/fiche/(num_dept)/5211", "5211.0")</f>
        <v>0</v>
      </c>
      <c r="H3497">
        <f>HYPERLINK("https://www.wikidata.org/wiki/Q16026090", "Q16026090")</f>
        <v>0</v>
      </c>
    </row>
    <row r="3498" spans="1:8">
      <c r="A3498" t="s">
        <v>3504</v>
      </c>
      <c r="B3498" t="s">
        <v>7987</v>
      </c>
      <c r="C3498" t="s">
        <v>9362</v>
      </c>
      <c r="D3498" t="s">
        <v>14553</v>
      </c>
      <c r="E3498" s="2">
        <v>5771</v>
      </c>
      <c r="F3498">
        <f>HYPERLINK("https://www2.assemblee-nationale.fr/sycomore/fiche/(num_dept)/5213", "5213.0")</f>
        <v>0</v>
      </c>
      <c r="H3498">
        <f>HYPERLINK("https://www.wikidata.org/wiki/Q16026091", "Q16026091")</f>
        <v>0</v>
      </c>
    </row>
    <row r="3499" spans="1:8">
      <c r="A3499" t="s">
        <v>3505</v>
      </c>
      <c r="B3499" t="s">
        <v>7988</v>
      </c>
      <c r="C3499" t="s">
        <v>6888</v>
      </c>
      <c r="D3499" t="s">
        <v>14554</v>
      </c>
      <c r="E3499" s="2">
        <v>5300</v>
      </c>
      <c r="F3499">
        <f>HYPERLINK("https://www2.assemblee-nationale.fr/sycomore/fiche/(num_dept)/5215", "5215.0")</f>
        <v>0</v>
      </c>
      <c r="H3499">
        <f>HYPERLINK("https://www.wikidata.org/wiki/Q16026092", "Q16026092")</f>
        <v>0</v>
      </c>
    </row>
    <row r="3500" spans="1:8">
      <c r="A3500" t="s">
        <v>3506</v>
      </c>
      <c r="B3500" t="s">
        <v>7989</v>
      </c>
      <c r="C3500" t="s">
        <v>10795</v>
      </c>
      <c r="D3500" t="s">
        <v>14555</v>
      </c>
      <c r="E3500" s="2">
        <v>3687</v>
      </c>
      <c r="F3500">
        <f>HYPERLINK("https://www2.assemblee-nationale.fr/sycomore/fiche/(num_dept)/5216", "5216.0")</f>
        <v>0</v>
      </c>
      <c r="H3500">
        <f>HYPERLINK("https://www.wikidata.org/wiki/Q3580088", "Q3580088")</f>
        <v>0</v>
      </c>
    </row>
    <row r="3501" spans="1:8">
      <c r="A3501" t="s">
        <v>3507</v>
      </c>
      <c r="B3501" t="s">
        <v>7990</v>
      </c>
      <c r="C3501" t="s">
        <v>10796</v>
      </c>
      <c r="D3501" t="s">
        <v>14556</v>
      </c>
      <c r="E3501" s="2">
        <v>8283</v>
      </c>
      <c r="F3501">
        <f>HYPERLINK("https://www2.assemblee-nationale.fr/sycomore/fiche/(num_dept)/5218", "5218.0")</f>
        <v>0</v>
      </c>
      <c r="H3501">
        <f>HYPERLINK("https://www.wikidata.org/wiki/Q8343479", "Q8343479")</f>
        <v>0</v>
      </c>
    </row>
    <row r="3502" spans="1:8">
      <c r="A3502" t="s">
        <v>3508</v>
      </c>
      <c r="B3502" t="s">
        <v>7991</v>
      </c>
      <c r="C3502" t="s">
        <v>9621</v>
      </c>
      <c r="D3502" t="s">
        <v>14557</v>
      </c>
      <c r="E3502" s="2">
        <v>13028</v>
      </c>
      <c r="F3502">
        <f>HYPERLINK("https://www2.assemblee-nationale.fr/sycomore/fiche/(num_dept)/5219", "5219.0")</f>
        <v>0</v>
      </c>
      <c r="G3502">
        <f>HYPERLINK("https://www.senat.fr/senateur-3eme-republique/messimy_adolphe0021r3.html", "messimy_adolphe0021r3")</f>
        <v>0</v>
      </c>
      <c r="H3502">
        <f>HYPERLINK("https://www.wikidata.org/wiki/Q365771", "Q365771")</f>
        <v>0</v>
      </c>
    </row>
    <row r="3503" spans="1:8">
      <c r="A3503" t="s">
        <v>3509</v>
      </c>
      <c r="B3503" t="s">
        <v>7992</v>
      </c>
      <c r="C3503" t="s">
        <v>9332</v>
      </c>
      <c r="D3503" t="s">
        <v>14558</v>
      </c>
      <c r="E3503" s="2">
        <v>5297</v>
      </c>
      <c r="F3503">
        <f>HYPERLINK("https://www2.assemblee-nationale.fr/sycomore/fiche/(num_dept)/5221", "5221.0")</f>
        <v>0</v>
      </c>
      <c r="G3503">
        <f>HYPERLINK("https://www.senat.fr/senateur-3eme-republique/messner_ernest0552r3.html", "messner_ernest0552r3")</f>
        <v>0</v>
      </c>
      <c r="H3503">
        <f>HYPERLINK("https://www.wikidata.org/wiki/Q3057085", "Q3057085")</f>
        <v>0</v>
      </c>
    </row>
    <row r="3504" spans="1:8">
      <c r="A3504" t="s">
        <v>3510</v>
      </c>
      <c r="B3504" t="s">
        <v>7993</v>
      </c>
      <c r="C3504" t="s">
        <v>9634</v>
      </c>
      <c r="D3504" t="s">
        <v>14559</v>
      </c>
      <c r="E3504" t="s">
        <v>16296</v>
      </c>
      <c r="F3504">
        <f>HYPERLINK("https://www2.assemblee-nationale.fr/sycomore/fiche/(num_dept)/8085", "8085.0")</f>
        <v>0</v>
      </c>
      <c r="G3504">
        <f>HYPERLINK("https://www.senat.fr/senateur-3eme-republique/mestreau_frederic0404r3.html", "mestreau_frederic0404r3")</f>
        <v>0</v>
      </c>
      <c r="H3504">
        <f>HYPERLINK("https://www.wikidata.org/wiki/Q3090039", "Q3090039")</f>
        <v>0</v>
      </c>
    </row>
    <row r="3505" spans="1:8">
      <c r="A3505" t="s">
        <v>3511</v>
      </c>
      <c r="B3505" t="s">
        <v>7994</v>
      </c>
      <c r="C3505" t="s">
        <v>9503</v>
      </c>
      <c r="D3505" t="s">
        <v>14560</v>
      </c>
      <c r="E3505" s="2">
        <v>9363</v>
      </c>
      <c r="F3505">
        <f>HYPERLINK("https://www2.assemblee-nationale.fr/sycomore/fiche/(num_dept)/5223", "5223.0")</f>
        <v>0</v>
      </c>
      <c r="H3505">
        <f>HYPERLINK("https://www.wikidata.org/wiki/Q3121269", "Q3121269")</f>
        <v>0</v>
      </c>
    </row>
    <row r="3506" spans="1:8">
      <c r="A3506" t="s">
        <v>3512</v>
      </c>
      <c r="B3506" t="s">
        <v>7995</v>
      </c>
      <c r="C3506" t="s">
        <v>9355</v>
      </c>
      <c r="D3506" t="s">
        <v>14561</v>
      </c>
      <c r="E3506" s="2">
        <v>20458</v>
      </c>
      <c r="F3506">
        <f>HYPERLINK("https://www2.assemblee-nationale.fr/sycomore/fiche/(num_dept)/5237", "5237.0")</f>
        <v>0</v>
      </c>
      <c r="G3506">
        <f>HYPERLINK("https://www.senat.fr/senateur-3eme-republique/meunier_surcouf_charles0593r3.html", "meunier_surcouf_charles0593r3")</f>
        <v>0</v>
      </c>
      <c r="H3506">
        <f>HYPERLINK("https://www.wikidata.org/wiki/Q2959806", "Q2959806")</f>
        <v>0</v>
      </c>
    </row>
    <row r="3507" spans="1:8">
      <c r="A3507" t="s">
        <v>3513</v>
      </c>
      <c r="B3507" t="s">
        <v>7996</v>
      </c>
      <c r="C3507" t="s">
        <v>10797</v>
      </c>
      <c r="D3507" t="s">
        <v>14562</v>
      </c>
      <c r="E3507" s="2">
        <v>15270</v>
      </c>
      <c r="F3507">
        <f>HYPERLINK("https://www2.assemblee-nationale.fr/sycomore/fiche/(num_dept)/5232", "5232.0")</f>
        <v>0</v>
      </c>
      <c r="G3507">
        <f>HYPERLINK("https://www.senat.fr/senateur-3eme-republique/meunier_albert0164r3.html", "meunier_albert0164r3")</f>
        <v>0</v>
      </c>
      <c r="H3507">
        <f>HYPERLINK("https://www.wikidata.org/wiki/Q16026095", "Q16026095")</f>
        <v>0</v>
      </c>
    </row>
    <row r="3508" spans="1:8">
      <c r="A3508" t="s">
        <v>3514</v>
      </c>
      <c r="B3508" t="s">
        <v>7996</v>
      </c>
      <c r="C3508" t="s">
        <v>9430</v>
      </c>
      <c r="D3508" t="s">
        <v>14563</v>
      </c>
      <c r="E3508" s="2">
        <v>8173</v>
      </c>
      <c r="F3508">
        <f>HYPERLINK("https://www2.assemblee-nationale.fr/sycomore/fiche/(num_dept)/5235", "5235.0")</f>
        <v>0</v>
      </c>
      <c r="H3508">
        <f>HYPERLINK("https://www.wikidata.org/wiki/Q13089612", "Q13089612")</f>
        <v>0</v>
      </c>
    </row>
    <row r="3509" spans="1:8">
      <c r="A3509" t="s">
        <v>3515</v>
      </c>
      <c r="B3509" t="s">
        <v>7997</v>
      </c>
      <c r="C3509" t="s">
        <v>9324</v>
      </c>
      <c r="D3509" t="s">
        <v>14564</v>
      </c>
      <c r="E3509" s="2">
        <v>5597</v>
      </c>
      <c r="F3509">
        <f>HYPERLINK("https://www2.assemblee-nationale.fr/sycomore/fiche/(num_dept)/5240", "5240.0")</f>
        <v>0</v>
      </c>
      <c r="H3509">
        <f>HYPERLINK("https://www.wikidata.org/wiki/Q8313471", "Q8313471")</f>
        <v>0</v>
      </c>
    </row>
    <row r="3510" spans="1:8">
      <c r="A3510" t="s">
        <v>3516</v>
      </c>
      <c r="B3510" t="s">
        <v>7997</v>
      </c>
      <c r="C3510" t="s">
        <v>7754</v>
      </c>
      <c r="D3510" t="s">
        <v>14565</v>
      </c>
      <c r="E3510" s="2">
        <v>14342</v>
      </c>
      <c r="F3510">
        <f>HYPERLINK("https://www2.assemblee-nationale.fr/sycomore/fiche/(num_dept)/5242", "5242.0")</f>
        <v>0</v>
      </c>
      <c r="H3510">
        <f>HYPERLINK("https://www.wikidata.org/wiki/Q1871865", "Q1871865")</f>
        <v>0</v>
      </c>
    </row>
    <row r="3511" spans="1:8">
      <c r="A3511" t="s">
        <v>3517</v>
      </c>
      <c r="B3511" t="s">
        <v>7997</v>
      </c>
      <c r="C3511" t="s">
        <v>7782</v>
      </c>
      <c r="D3511" t="s">
        <v>14566</v>
      </c>
      <c r="E3511" s="2">
        <v>17554</v>
      </c>
      <c r="F3511">
        <f>HYPERLINK("https://www2.assemblee-nationale.fr/sycomore/fiche/(num_dept)/5241", "5241.0")</f>
        <v>0</v>
      </c>
      <c r="H3511">
        <f>HYPERLINK("https://www.wikidata.org/wiki/Q1879449", "Q1879449")</f>
        <v>0</v>
      </c>
    </row>
    <row r="3512" spans="1:8">
      <c r="A3512" t="s">
        <v>3518</v>
      </c>
      <c r="B3512" t="s">
        <v>7998</v>
      </c>
      <c r="C3512" t="s">
        <v>9564</v>
      </c>
      <c r="D3512" t="s">
        <v>14567</v>
      </c>
      <c r="E3512" s="2">
        <v>5762</v>
      </c>
      <c r="G3512">
        <f>HYPERLINK("https://www.senat.fr/senateur-3eme-republique/mezieres_alfred0932r3.html", "mezieres_alfred0932r3")</f>
        <v>0</v>
      </c>
      <c r="H3512">
        <f>HYPERLINK("https://www.wikidata.org/wiki/Q2835365", "Q2835365")</f>
        <v>0</v>
      </c>
    </row>
    <row r="3513" spans="1:8">
      <c r="A3513" t="s">
        <v>3519</v>
      </c>
      <c r="B3513" t="s">
        <v>7999</v>
      </c>
      <c r="C3513" t="s">
        <v>6864</v>
      </c>
      <c r="D3513" t="s">
        <v>14568</v>
      </c>
      <c r="E3513" t="s">
        <v>16297</v>
      </c>
      <c r="G3513">
        <f>HYPERLINK("https://www.senat.fr/senateur-3eme-republique/michal_ladichere_francois1183r3.html", "michal_ladichere_francois1183r3")</f>
        <v>0</v>
      </c>
      <c r="H3513">
        <f>HYPERLINK("https://www.wikidata.org/wiki/Q3085355", "Q3085355")</f>
        <v>0</v>
      </c>
    </row>
    <row r="3514" spans="1:8">
      <c r="A3514" t="s">
        <v>3520</v>
      </c>
      <c r="B3514" t="s">
        <v>8000</v>
      </c>
      <c r="C3514" t="s">
        <v>10798</v>
      </c>
      <c r="D3514" s="2">
        <v>3564</v>
      </c>
      <c r="E3514" s="2">
        <v>28064</v>
      </c>
      <c r="F3514">
        <f>HYPERLINK("https://www2.assemblee-nationale.fr/sycomore/fiche/(num_dept)/5250", "5250.0")</f>
        <v>0</v>
      </c>
      <c r="H3514">
        <f>HYPERLINK("https://www.wikidata.org/wiki/Q3173507", "Q3173507")</f>
        <v>0</v>
      </c>
    </row>
    <row r="3515" spans="1:8">
      <c r="A3515" t="s">
        <v>3521</v>
      </c>
      <c r="B3515" t="s">
        <v>8001</v>
      </c>
      <c r="C3515" t="s">
        <v>9397</v>
      </c>
      <c r="D3515" t="s">
        <v>14569</v>
      </c>
      <c r="E3515" s="2">
        <v>5611</v>
      </c>
      <c r="F3515">
        <f>HYPERLINK("https://www2.assemblee-nationale.fr/sycomore/fiche/(num_dept)/5251", "5251.0")</f>
        <v>0</v>
      </c>
      <c r="H3515">
        <f>HYPERLINK("https://www.wikidata.org/wiki/Q16026097", "Q16026097")</f>
        <v>0</v>
      </c>
    </row>
    <row r="3516" spans="1:8">
      <c r="A3516" t="s">
        <v>3522</v>
      </c>
      <c r="B3516" t="s">
        <v>8002</v>
      </c>
      <c r="C3516" t="s">
        <v>9324</v>
      </c>
      <c r="D3516" t="s">
        <v>14570</v>
      </c>
      <c r="E3516" s="2">
        <v>12406</v>
      </c>
      <c r="G3516">
        <f>HYPERLINK("https://www.senat.fr/senateur-3eme-republique/michaut_henri0948r3.html", "michaut_henri0948r3")</f>
        <v>0</v>
      </c>
      <c r="H3516">
        <f>HYPERLINK("https://www.wikidata.org/wiki/Q2381344", "Q2381344")</f>
        <v>0</v>
      </c>
    </row>
    <row r="3517" spans="1:8">
      <c r="A3517" t="s">
        <v>3523</v>
      </c>
      <c r="B3517" t="s">
        <v>8003</v>
      </c>
      <c r="C3517" t="s">
        <v>7262</v>
      </c>
      <c r="D3517" t="s">
        <v>14571</v>
      </c>
      <c r="E3517" t="s">
        <v>16298</v>
      </c>
      <c r="G3517">
        <f>HYPERLINK("https://www.senat.fr/senateur-3eme-republique/michaux_hubert0698r3.html", "michaux_hubert0698r3")</f>
        <v>0</v>
      </c>
      <c r="H3517">
        <f>HYPERLINK("https://www.wikidata.org/wiki/Q20027694", "Q20027694")</f>
        <v>0</v>
      </c>
    </row>
    <row r="3518" spans="1:8">
      <c r="A3518" t="s">
        <v>3524</v>
      </c>
      <c r="B3518" t="s">
        <v>8004</v>
      </c>
      <c r="C3518" t="s">
        <v>10799</v>
      </c>
      <c r="D3518" t="s">
        <v>14572</v>
      </c>
      <c r="E3518" s="2">
        <v>11128</v>
      </c>
      <c r="G3518">
        <f>HYPERLINK("https://www.senat.fr/senateur-3eme-republique/michel_henri0069r3.html", "michel_henri0069r3")</f>
        <v>0</v>
      </c>
      <c r="H3518">
        <f>HYPERLINK("https://www.wikidata.org/wiki/Q3131640", "Q3131640")</f>
        <v>0</v>
      </c>
    </row>
    <row r="3519" spans="1:8">
      <c r="A3519" t="s">
        <v>3525</v>
      </c>
      <c r="B3519" t="s">
        <v>8005</v>
      </c>
      <c r="C3519" t="s">
        <v>9373</v>
      </c>
      <c r="D3519" t="s">
        <v>14573</v>
      </c>
      <c r="E3519" t="s">
        <v>16299</v>
      </c>
      <c r="G3519">
        <f>HYPERLINK("https://www.senat.fr/senateur-3eme-republique/michel_joseph0056r3.html", "michel_joseph0056r3")</f>
        <v>0</v>
      </c>
      <c r="H3519">
        <f>HYPERLINK("https://www.wikidata.org/wiki/Q3185366", "Q3185366")</f>
        <v>0</v>
      </c>
    </row>
    <row r="3520" spans="1:8">
      <c r="A3520" t="s">
        <v>3526</v>
      </c>
      <c r="B3520" t="s">
        <v>8006</v>
      </c>
      <c r="C3520" t="s">
        <v>10800</v>
      </c>
      <c r="D3520" t="s">
        <v>14574</v>
      </c>
      <c r="E3520" t="s">
        <v>16300</v>
      </c>
      <c r="F3520">
        <f>HYPERLINK("https://www2.assemblee-nationale.fr/sycomore/fiche/(num_dept)/6178", "6178.0")</f>
        <v>0</v>
      </c>
      <c r="H3520">
        <f>HYPERLINK("https://www.wikidata.org/wiki/Q8326959", "Q8326959")</f>
        <v>0</v>
      </c>
    </row>
    <row r="3521" spans="1:8">
      <c r="A3521" t="s">
        <v>3527</v>
      </c>
      <c r="B3521" t="s">
        <v>8006</v>
      </c>
      <c r="C3521" t="s">
        <v>10801</v>
      </c>
      <c r="D3521" t="s">
        <v>14575</v>
      </c>
      <c r="E3521" s="2">
        <v>11947</v>
      </c>
      <c r="F3521">
        <f>HYPERLINK("https://www2.assemblee-nationale.fr/sycomore/fiche/(num_dept)/5255", "5255.0")</f>
        <v>0</v>
      </c>
      <c r="H3521">
        <f>HYPERLINK("https://www.wikidata.org/wiki/Q16026098", "Q16026098")</f>
        <v>0</v>
      </c>
    </row>
    <row r="3522" spans="1:8">
      <c r="A3522" t="s">
        <v>3528</v>
      </c>
      <c r="B3522" t="s">
        <v>8006</v>
      </c>
      <c r="C3522" t="s">
        <v>9564</v>
      </c>
      <c r="D3522" t="s">
        <v>11941</v>
      </c>
      <c r="E3522" t="s">
        <v>16301</v>
      </c>
      <c r="F3522">
        <f>HYPERLINK("https://www2.assemblee-nationale.fr/sycomore/fiche/(num_dept)/5256", "5256.0")</f>
        <v>0</v>
      </c>
      <c r="H3522">
        <f>HYPERLINK("https://www.wikidata.org/wiki/Q2835332", "Q2835332")</f>
        <v>0</v>
      </c>
    </row>
    <row r="3523" spans="1:8">
      <c r="A3523" t="s">
        <v>3529</v>
      </c>
      <c r="B3523" t="s">
        <v>8006</v>
      </c>
      <c r="C3523" t="s">
        <v>9324</v>
      </c>
      <c r="D3523" t="s">
        <v>14572</v>
      </c>
      <c r="E3523" s="2">
        <v>11128</v>
      </c>
      <c r="F3523">
        <f>HYPERLINK("https://www2.assemblee-nationale.fr/sycomore/fiche/(num_dept)/5260", "5260.0")</f>
        <v>0</v>
      </c>
      <c r="H3523">
        <f>HYPERLINK("https://www.wikidata.org/wiki/Q3131640", "Q3131640")</f>
        <v>0</v>
      </c>
    </row>
    <row r="3524" spans="1:8">
      <c r="A3524" t="s">
        <v>3530</v>
      </c>
      <c r="B3524" t="s">
        <v>8005</v>
      </c>
      <c r="C3524" t="s">
        <v>7754</v>
      </c>
      <c r="D3524" t="s">
        <v>14576</v>
      </c>
      <c r="E3524" s="2">
        <v>13454</v>
      </c>
      <c r="G3524">
        <f>HYPERLINK("https://www.senat.fr/senateur-3eme-republique/michel_louis0933r3.html", "michel_louis0933r3")</f>
        <v>0</v>
      </c>
      <c r="H3524">
        <f>HYPERLINK("https://www.wikidata.org/wiki/Q3262697", "Q3262697")</f>
        <v>0</v>
      </c>
    </row>
    <row r="3525" spans="1:8">
      <c r="A3525" t="s">
        <v>3531</v>
      </c>
      <c r="B3525" t="s">
        <v>8005</v>
      </c>
      <c r="C3525" t="s">
        <v>10070</v>
      </c>
      <c r="D3525" t="s">
        <v>14577</v>
      </c>
      <c r="E3525" s="2">
        <v>18095</v>
      </c>
      <c r="G3525">
        <f>HYPERLINK("https://www.senat.fr/senateur-3eme-republique/michel_marcel0657r3.html", "michel_marcel0657r3")</f>
        <v>0</v>
      </c>
      <c r="H3525">
        <f>HYPERLINK("https://www.wikidata.org/wiki/Q3289228", "Q3289228")</f>
        <v>0</v>
      </c>
    </row>
    <row r="3526" spans="1:8">
      <c r="A3526" t="s">
        <v>3532</v>
      </c>
      <c r="B3526" t="s">
        <v>8006</v>
      </c>
      <c r="C3526" t="s">
        <v>8384</v>
      </c>
      <c r="D3526" t="s">
        <v>11778</v>
      </c>
      <c r="E3526" s="2">
        <v>20570</v>
      </c>
      <c r="F3526">
        <f>HYPERLINK("https://www2.assemblee-nationale.fr/sycomore/fiche/(num_dept)/5265", "5265.0")</f>
        <v>0</v>
      </c>
      <c r="G3526">
        <f>HYPERLINK("https://www.senat.fr/senateur-3eme-republique/michel_pierre0568r3.html", "michel_pierre0568r3")</f>
        <v>0</v>
      </c>
      <c r="H3526">
        <f>HYPERLINK("https://www.wikidata.org/wiki/Q3386275", "Q3386275")</f>
        <v>0</v>
      </c>
    </row>
    <row r="3527" spans="1:8">
      <c r="A3527" t="s">
        <v>3533</v>
      </c>
      <c r="B3527" t="s">
        <v>8006</v>
      </c>
      <c r="C3527" t="s">
        <v>10221</v>
      </c>
      <c r="D3527" t="s">
        <v>14578</v>
      </c>
      <c r="E3527" s="2">
        <v>25829</v>
      </c>
      <c r="F3527">
        <f>HYPERLINK("https://www2.assemblee-nationale.fr/sycomore/fiche/(num_dept)/5257", "5257.0")</f>
        <v>0</v>
      </c>
      <c r="H3527">
        <f>HYPERLINK("https://www.wikidata.org/wiki/Q2871621", "Q2871621")</f>
        <v>0</v>
      </c>
    </row>
    <row r="3528" spans="1:8">
      <c r="A3528" t="s">
        <v>3534</v>
      </c>
      <c r="B3528" t="s">
        <v>8007</v>
      </c>
      <c r="C3528" t="s">
        <v>9324</v>
      </c>
      <c r="D3528" t="s">
        <v>13998</v>
      </c>
      <c r="E3528" s="2">
        <v>4664</v>
      </c>
      <c r="F3528">
        <f>HYPERLINK("https://www2.assemblee-nationale.fr/sycomore/fiche/(num_dept)/5267", "5267.0")</f>
        <v>0</v>
      </c>
      <c r="H3528">
        <f>HYPERLINK("https://www.wikidata.org/wiki/Q3131641", "Q3131641")</f>
        <v>0</v>
      </c>
    </row>
    <row r="3529" spans="1:8">
      <c r="A3529" t="s">
        <v>3535</v>
      </c>
      <c r="B3529" t="s">
        <v>8008</v>
      </c>
      <c r="C3529" t="s">
        <v>10802</v>
      </c>
      <c r="D3529" t="s">
        <v>14579</v>
      </c>
      <c r="E3529" s="2">
        <v>578</v>
      </c>
      <c r="F3529">
        <f>HYPERLINK("https://www2.assemblee-nationale.fr/sycomore/fiche/(num_dept)/5269", "5269.0")</f>
        <v>0</v>
      </c>
      <c r="H3529">
        <f>HYPERLINK("https://www.wikidata.org/wiki/Q2941052", "Q2941052")</f>
        <v>0</v>
      </c>
    </row>
    <row r="3530" spans="1:8">
      <c r="A3530" t="s">
        <v>3536</v>
      </c>
      <c r="B3530" t="s">
        <v>8009</v>
      </c>
      <c r="C3530" t="s">
        <v>9377</v>
      </c>
      <c r="D3530" t="s">
        <v>14580</v>
      </c>
      <c r="E3530" s="2">
        <v>29215</v>
      </c>
      <c r="F3530">
        <f>HYPERLINK("https://www2.assemblee-nationale.fr/sycomore/fiche/(num_dept)/5270", "5270.0")</f>
        <v>0</v>
      </c>
      <c r="H3530">
        <f>HYPERLINK("https://www.wikidata.org/wiki/Q3265639", "Q3265639")</f>
        <v>0</v>
      </c>
    </row>
    <row r="3531" spans="1:8">
      <c r="A3531" t="s">
        <v>3537</v>
      </c>
      <c r="B3531" t="s">
        <v>8010</v>
      </c>
      <c r="C3531" t="s">
        <v>9482</v>
      </c>
      <c r="D3531" t="s">
        <v>14581</v>
      </c>
      <c r="E3531" s="2">
        <v>19383</v>
      </c>
      <c r="F3531">
        <f>HYPERLINK("https://www2.assemblee-nationale.fr/sycomore/fiche/(num_dept)/5271", "5271.0")</f>
        <v>0</v>
      </c>
      <c r="H3531">
        <f>HYPERLINK("https://www.wikidata.org/wiki/Q3047928", "Q3047928")</f>
        <v>0</v>
      </c>
    </row>
    <row r="3532" spans="1:8">
      <c r="A3532" t="s">
        <v>3538</v>
      </c>
      <c r="B3532" t="s">
        <v>8011</v>
      </c>
      <c r="C3532" t="s">
        <v>9324</v>
      </c>
      <c r="D3532" t="s">
        <v>14582</v>
      </c>
      <c r="E3532" s="2">
        <v>14169</v>
      </c>
      <c r="F3532">
        <f>HYPERLINK("https://www2.assemblee-nationale.fr/sycomore/fiche/(num_dept)/5277", "5277.0")</f>
        <v>0</v>
      </c>
      <c r="H3532">
        <f>HYPERLINK("https://www.wikidata.org/wiki/Q16026102", "Q16026102")</f>
        <v>0</v>
      </c>
    </row>
    <row r="3533" spans="1:8">
      <c r="A3533" t="s">
        <v>3539</v>
      </c>
      <c r="B3533" t="s">
        <v>8012</v>
      </c>
      <c r="C3533" t="s">
        <v>6864</v>
      </c>
      <c r="D3533" t="s">
        <v>14583</v>
      </c>
      <c r="E3533" s="2">
        <v>20083</v>
      </c>
      <c r="G3533">
        <f>HYPERLINK("https://www.senat.fr/senateur-3eme-republique/milan_francois1305r3.html", "milan_francois1305r3")</f>
        <v>0</v>
      </c>
      <c r="H3533">
        <f>HYPERLINK("https://www.wikidata.org/wiki/Q3085361", "Q3085361")</f>
        <v>0</v>
      </c>
    </row>
    <row r="3534" spans="1:8">
      <c r="A3534" t="s">
        <v>3540</v>
      </c>
      <c r="B3534" t="s">
        <v>8013</v>
      </c>
      <c r="C3534" t="s">
        <v>10803</v>
      </c>
      <c r="D3534" t="s">
        <v>14584</v>
      </c>
      <c r="E3534" s="2">
        <v>20282</v>
      </c>
      <c r="F3534">
        <f>HYPERLINK("https://www2.assemblee-nationale.fr/sycomore/fiche/(num_dept)/5280", "5280.0")</f>
        <v>0</v>
      </c>
      <c r="H3534">
        <f>HYPERLINK("https://www.wikidata.org/wiki/Q2831401", "Q2831401")</f>
        <v>0</v>
      </c>
    </row>
    <row r="3535" spans="1:8">
      <c r="A3535" t="s">
        <v>3541</v>
      </c>
      <c r="B3535" t="s">
        <v>8014</v>
      </c>
      <c r="C3535" t="s">
        <v>7342</v>
      </c>
      <c r="D3535" t="s">
        <v>14585</v>
      </c>
      <c r="E3535" t="s">
        <v>16302</v>
      </c>
      <c r="G3535">
        <f>HYPERLINK("https://www.senat.fr/senateur-3eme-republique/milhet_fontarabie_jean0847r3.html", "milhet_fontarabie_jean0847r3")</f>
        <v>0</v>
      </c>
      <c r="H3535">
        <f>HYPERLINK("https://www.wikidata.org/wiki/Q3173533", "Q3173533")</f>
        <v>0</v>
      </c>
    </row>
    <row r="3536" spans="1:8">
      <c r="A3536" t="s">
        <v>3542</v>
      </c>
      <c r="B3536" t="s">
        <v>8015</v>
      </c>
      <c r="C3536" t="s">
        <v>10804</v>
      </c>
      <c r="D3536" t="s">
        <v>14586</v>
      </c>
      <c r="E3536" s="2">
        <v>18187</v>
      </c>
      <c r="F3536">
        <f>HYPERLINK("https://www2.assemblee-nationale.fr/sycomore/fiche/(num_dept)/5281", "5281.0")</f>
        <v>0</v>
      </c>
      <c r="H3536">
        <f>HYPERLINK("https://www.wikidata.org/wiki/Q3085363", "Q3085363")</f>
        <v>0</v>
      </c>
    </row>
    <row r="3537" spans="1:8">
      <c r="A3537" t="s">
        <v>3543</v>
      </c>
      <c r="B3537" t="s">
        <v>8016</v>
      </c>
      <c r="C3537" t="s">
        <v>7754</v>
      </c>
      <c r="D3537" t="s">
        <v>14587</v>
      </c>
      <c r="E3537" s="2">
        <v>11566</v>
      </c>
      <c r="F3537">
        <f>HYPERLINK("https://www2.assemblee-nationale.fr/sycomore/fiche/(num_dept)/5282", "5282.0")</f>
        <v>0</v>
      </c>
      <c r="H3537">
        <f>HYPERLINK("https://www.wikidata.org/wiki/Q16026103", "Q16026103")</f>
        <v>0</v>
      </c>
    </row>
    <row r="3538" spans="1:8">
      <c r="A3538" t="s">
        <v>3544</v>
      </c>
      <c r="B3538" t="s">
        <v>8017</v>
      </c>
      <c r="C3538" t="s">
        <v>9454</v>
      </c>
      <c r="D3538" t="s">
        <v>14588</v>
      </c>
      <c r="E3538" s="2">
        <v>4520</v>
      </c>
      <c r="G3538">
        <f>HYPERLINK("https://www.senat.fr/senateur-3eme-republique/millaud_edouard1120r3.html", "millaud_edouard1120r3")</f>
        <v>0</v>
      </c>
      <c r="H3538">
        <f>HYPERLINK("https://www.wikidata.org/wiki/Q3579963", "Q3579963")</f>
        <v>0</v>
      </c>
    </row>
    <row r="3539" spans="1:8">
      <c r="A3539" t="s">
        <v>3545</v>
      </c>
      <c r="B3539" t="s">
        <v>8018</v>
      </c>
      <c r="C3539" t="s">
        <v>10805</v>
      </c>
      <c r="D3539" t="s">
        <v>13613</v>
      </c>
      <c r="E3539" s="2">
        <v>15660</v>
      </c>
      <c r="F3539">
        <f>HYPERLINK("https://www2.assemblee-nationale.fr/sycomore/fiche/(num_dept)/5283", "5283.0")</f>
        <v>0</v>
      </c>
      <c r="H3539">
        <f>HYPERLINK("https://www.wikidata.org/wiki/Q16026104", "Q16026104")</f>
        <v>0</v>
      </c>
    </row>
    <row r="3540" spans="1:8">
      <c r="A3540" t="s">
        <v>3546</v>
      </c>
      <c r="B3540" t="s">
        <v>8019</v>
      </c>
      <c r="C3540" t="s">
        <v>9429</v>
      </c>
      <c r="D3540" t="s">
        <v>14589</v>
      </c>
      <c r="E3540" s="2">
        <v>15802</v>
      </c>
      <c r="F3540">
        <f>HYPERLINK("https://www2.assemblee-nationale.fr/sycomore/fiche/(num_dept)/5284", "5284.0")</f>
        <v>0</v>
      </c>
      <c r="G3540">
        <f>HYPERLINK("https://www.senat.fr/senateur-3eme-republique/millerand_alexandre0910r3.html", "millerand_alexandre0910r3")</f>
        <v>0</v>
      </c>
      <c r="H3540">
        <f>HYPERLINK("https://www.wikidata.org/wiki/Q274540", "Q274540")</f>
        <v>0</v>
      </c>
    </row>
    <row r="3541" spans="1:8">
      <c r="A3541" t="s">
        <v>3547</v>
      </c>
      <c r="B3541" t="s">
        <v>8020</v>
      </c>
      <c r="C3541" t="s">
        <v>9377</v>
      </c>
      <c r="D3541" t="s">
        <v>14590</v>
      </c>
      <c r="E3541" s="2">
        <v>6659</v>
      </c>
      <c r="F3541">
        <f>HYPERLINK("https://www2.assemblee-nationale.fr/sycomore/fiche/(num_dept)/5286", "5286.0")</f>
        <v>0</v>
      </c>
      <c r="H3541">
        <f>HYPERLINK("https://www.wikidata.org/wiki/Q3265642", "Q3265642")</f>
        <v>0</v>
      </c>
    </row>
    <row r="3542" spans="1:8">
      <c r="A3542" t="s">
        <v>3548</v>
      </c>
      <c r="B3542" t="s">
        <v>8021</v>
      </c>
      <c r="C3542" t="s">
        <v>10806</v>
      </c>
      <c r="D3542" t="s">
        <v>14591</v>
      </c>
      <c r="E3542" s="2">
        <v>7800</v>
      </c>
      <c r="F3542">
        <f>HYPERLINK("https://www2.assemblee-nationale.fr/sycomore/fiche/(num_dept)/5287", "5287.0")</f>
        <v>0</v>
      </c>
      <c r="G3542">
        <f>HYPERLINK("https://www.senat.fr/senateur-3eme-republique/milliard_victor0760r3.html", "milliard_victor0760r3")</f>
        <v>0</v>
      </c>
      <c r="H3542">
        <f>HYPERLINK("https://www.wikidata.org/wiki/Q3557460", "Q3557460")</f>
        <v>0</v>
      </c>
    </row>
    <row r="3543" spans="1:8">
      <c r="A3543" t="s">
        <v>3549</v>
      </c>
      <c r="B3543" t="s">
        <v>8022</v>
      </c>
      <c r="C3543" t="s">
        <v>6888</v>
      </c>
      <c r="D3543" t="s">
        <v>14592</v>
      </c>
      <c r="E3543" s="2">
        <v>8973</v>
      </c>
      <c r="F3543">
        <f>HYPERLINK("https://www2.assemblee-nationale.fr/sycomore/fiche/(num_dept)/5288", "5288.0")</f>
        <v>0</v>
      </c>
      <c r="H3543">
        <f>HYPERLINK("https://www.wikidata.org/wiki/Q8300260", "Q8300260")</f>
        <v>0</v>
      </c>
    </row>
    <row r="3544" spans="1:8">
      <c r="A3544" t="s">
        <v>3550</v>
      </c>
      <c r="B3544" t="s">
        <v>8023</v>
      </c>
      <c r="C3544" t="s">
        <v>10807</v>
      </c>
      <c r="D3544" t="s">
        <v>14593</v>
      </c>
      <c r="E3544" s="2">
        <v>15261</v>
      </c>
      <c r="G3544">
        <f>HYPERLINK("https://www.senat.fr/senateur-3eme-republique/millies_lacroix_raphael0351r3.html", "millies_lacroix_raphael0351r3")</f>
        <v>0</v>
      </c>
      <c r="H3544">
        <f>HYPERLINK("https://www.wikidata.org/wiki/Q3419492", "Q3419492")</f>
        <v>0</v>
      </c>
    </row>
    <row r="3545" spans="1:8">
      <c r="A3545" t="s">
        <v>3551</v>
      </c>
      <c r="B3545" t="s">
        <v>8023</v>
      </c>
      <c r="C3545" t="s">
        <v>9368</v>
      </c>
      <c r="D3545" t="s">
        <v>14594</v>
      </c>
      <c r="E3545" s="2">
        <v>22319</v>
      </c>
      <c r="G3545">
        <f>HYPERLINK("https://www.senat.fr/senateur-3eme-republique/millies_lacroix_eugene0353r3.html", "millies_lacroix_eugene0353r3")</f>
        <v>0</v>
      </c>
      <c r="H3545">
        <f>HYPERLINK("https://www.wikidata.org/wiki/Q3060035", "Q3060035")</f>
        <v>0</v>
      </c>
    </row>
    <row r="3546" spans="1:8">
      <c r="A3546" t="s">
        <v>3552</v>
      </c>
      <c r="B3546" t="s">
        <v>8024</v>
      </c>
      <c r="C3546" t="s">
        <v>7754</v>
      </c>
      <c r="D3546" t="s">
        <v>14595</v>
      </c>
      <c r="E3546" s="2">
        <v>561</v>
      </c>
      <c r="F3546">
        <f>HYPERLINK("https://www2.assemblee-nationale.fr/sycomore/fiche/(num_dept)/5289", "5289.0")</f>
        <v>0</v>
      </c>
      <c r="G3546">
        <f>HYPERLINK("https://www.senat.fr/senateur-3eme-republique/million_louis1142r3.html", "million_louis1142r3")</f>
        <v>0</v>
      </c>
      <c r="H3546">
        <f>HYPERLINK("https://www.wikidata.org/wiki/Q3262708", "Q3262708")</f>
        <v>0</v>
      </c>
    </row>
    <row r="3547" spans="1:8">
      <c r="A3547" t="s">
        <v>3553</v>
      </c>
      <c r="B3547" t="s">
        <v>8025</v>
      </c>
      <c r="C3547" t="s">
        <v>9340</v>
      </c>
      <c r="D3547" t="s">
        <v>14593</v>
      </c>
      <c r="E3547" s="2">
        <v>15261</v>
      </c>
      <c r="H3547">
        <f>HYPERLINK("https://www.wikidata.org/wiki/Q3419492", "Q3419492")</f>
        <v>0</v>
      </c>
    </row>
    <row r="3548" spans="1:8">
      <c r="A3548" t="s">
        <v>3554</v>
      </c>
      <c r="B3548" t="s">
        <v>8026</v>
      </c>
      <c r="C3548" t="s">
        <v>10808</v>
      </c>
      <c r="D3548" t="s">
        <v>14596</v>
      </c>
      <c r="E3548" s="2">
        <v>10860</v>
      </c>
      <c r="F3548">
        <f>HYPERLINK("https://www2.assemblee-nationale.fr/sycomore/fiche/(num_dept)/5293", "5293.0")</f>
        <v>0</v>
      </c>
      <c r="H3548">
        <f>HYPERLINK("https://www.wikidata.org/wiki/Q16026106", "Q16026106")</f>
        <v>0</v>
      </c>
    </row>
    <row r="3549" spans="1:8">
      <c r="A3549" t="s">
        <v>3555</v>
      </c>
      <c r="B3549" t="s">
        <v>8027</v>
      </c>
      <c r="C3549" t="s">
        <v>10809</v>
      </c>
      <c r="D3549" t="s">
        <v>14597</v>
      </c>
      <c r="E3549" s="2">
        <v>22176</v>
      </c>
      <c r="F3549">
        <f>HYPERLINK("https://www2.assemblee-nationale.fr/sycomore/fiche/(num_dept)/5292", "5292.0")</f>
        <v>0</v>
      </c>
      <c r="H3549">
        <f>HYPERLINK("https://www.wikidata.org/wiki/Q3271203", "Q3271203")</f>
        <v>0</v>
      </c>
    </row>
    <row r="3550" spans="1:8">
      <c r="A3550" t="s">
        <v>3556</v>
      </c>
      <c r="B3550" t="s">
        <v>8028</v>
      </c>
      <c r="C3550" t="s">
        <v>10810</v>
      </c>
      <c r="D3550" t="s">
        <v>14598</v>
      </c>
      <c r="F3550">
        <f>HYPERLINK("https://www2.assemblee-nationale.fr/sycomore/fiche/(num_dept)/8092", "8092.0")</f>
        <v>0</v>
      </c>
      <c r="H3550">
        <f>HYPERLINK("https://www.wikidata.org/wiki/Q3057089", "Q3057089")</f>
        <v>0</v>
      </c>
    </row>
    <row r="3551" spans="1:8">
      <c r="A3551" t="s">
        <v>3557</v>
      </c>
      <c r="B3551" t="s">
        <v>8029</v>
      </c>
      <c r="C3551" t="s">
        <v>5058</v>
      </c>
      <c r="D3551" t="s">
        <v>14599</v>
      </c>
      <c r="E3551" s="2">
        <v>11629</v>
      </c>
      <c r="F3551">
        <f>HYPERLINK("https://www2.assemblee-nationale.fr/sycomore/fiche/(num_dept)/5294", "5294.0")</f>
        <v>0</v>
      </c>
      <c r="H3551">
        <f>HYPERLINK("https://www.wikidata.org/wiki/Q16026108", "Q16026108")</f>
        <v>0</v>
      </c>
    </row>
    <row r="3552" spans="1:8">
      <c r="A3552" t="s">
        <v>3558</v>
      </c>
      <c r="B3552" t="s">
        <v>8030</v>
      </c>
      <c r="C3552" t="s">
        <v>10811</v>
      </c>
      <c r="D3552" t="s">
        <v>14600</v>
      </c>
      <c r="E3552" s="2">
        <v>20009</v>
      </c>
      <c r="F3552">
        <f>HYPERLINK("https://www2.assemblee-nationale.fr/sycomore/fiche/(num_dept)/5296", "5296.0")</f>
        <v>0</v>
      </c>
      <c r="H3552">
        <f>HYPERLINK("https://www.wikidata.org/wiki/Q16026111", "Q16026111")</f>
        <v>0</v>
      </c>
    </row>
    <row r="3553" spans="1:8">
      <c r="A3553" t="s">
        <v>3559</v>
      </c>
      <c r="B3553" t="s">
        <v>8031</v>
      </c>
      <c r="C3553" t="s">
        <v>10812</v>
      </c>
      <c r="D3553" t="s">
        <v>14601</v>
      </c>
      <c r="E3553" s="2">
        <v>80</v>
      </c>
      <c r="F3553">
        <f>HYPERLINK("https://www2.assemblee-nationale.fr/sycomore/fiche/(num_dept)/5300", "5300.0")</f>
        <v>0</v>
      </c>
      <c r="H3553">
        <f>HYPERLINK("https://www.wikidata.org/wiki/Q3573408", "Q3573408")</f>
        <v>0</v>
      </c>
    </row>
    <row r="3554" spans="1:8">
      <c r="A3554" t="s">
        <v>3560</v>
      </c>
      <c r="B3554" t="s">
        <v>8031</v>
      </c>
      <c r="C3554" t="s">
        <v>6895</v>
      </c>
      <c r="D3554" t="s">
        <v>14602</v>
      </c>
      <c r="E3554" s="2">
        <v>19994</v>
      </c>
      <c r="F3554">
        <f>HYPERLINK("https://www2.assemblee-nationale.fr/sycomore/fiche/(num_dept)/5299", "5299.0")</f>
        <v>0</v>
      </c>
      <c r="H3554">
        <f>HYPERLINK("https://www.wikidata.org/wiki/Q3093878", "Q3093878")</f>
        <v>0</v>
      </c>
    </row>
    <row r="3555" spans="1:8">
      <c r="A3555" t="s">
        <v>3561</v>
      </c>
      <c r="B3555" t="s">
        <v>8032</v>
      </c>
      <c r="C3555" t="s">
        <v>10813</v>
      </c>
      <c r="D3555" t="s">
        <v>14603</v>
      </c>
      <c r="E3555" s="2">
        <v>11043</v>
      </c>
      <c r="F3555">
        <f>HYPERLINK("https://www2.assemblee-nationale.fr/sycomore/fiche/(num_dept)/5302", "5302.0")</f>
        <v>0</v>
      </c>
      <c r="G3555">
        <f>HYPERLINK("https://www.senat.fr/senateur-3eme-republique/mir_eugene0269r3.html", "mir_eugene0269r3")</f>
        <v>0</v>
      </c>
      <c r="H3555">
        <f>HYPERLINK("https://www.wikidata.org/wiki/Q3060037", "Q3060037")</f>
        <v>0</v>
      </c>
    </row>
    <row r="3556" spans="1:8">
      <c r="A3556" t="s">
        <v>3562</v>
      </c>
      <c r="B3556" t="s">
        <v>8033</v>
      </c>
      <c r="C3556" t="s">
        <v>10814</v>
      </c>
      <c r="D3556" t="s">
        <v>14604</v>
      </c>
      <c r="E3556" s="2">
        <v>12604</v>
      </c>
      <c r="F3556">
        <f>HYPERLINK("https://www2.assemblee-nationale.fr/sycomore/fiche/(num_dept)/7600", "7600.0")</f>
        <v>0</v>
      </c>
      <c r="H3556">
        <f>HYPERLINK("https://www.wikidata.org/wiki/Q3132907", "Q3132907")</f>
        <v>0</v>
      </c>
    </row>
    <row r="3557" spans="1:8">
      <c r="A3557" t="s">
        <v>3563</v>
      </c>
      <c r="B3557" t="s">
        <v>8034</v>
      </c>
      <c r="C3557" t="s">
        <v>9524</v>
      </c>
      <c r="D3557" t="s">
        <v>14605</v>
      </c>
      <c r="E3557" s="2">
        <v>25564</v>
      </c>
      <c r="G3557">
        <f>HYPERLINK("https://www.senat.fr/senateur-3eme-republique/mireaux_emile1081r3.html", "mireaux_emile1081r3")</f>
        <v>0</v>
      </c>
      <c r="H3557">
        <f>HYPERLINK("https://www.wikidata.org/wiki/Q3588662", "Q3588662")</f>
        <v>0</v>
      </c>
    </row>
    <row r="3558" spans="1:8">
      <c r="A3558" t="s">
        <v>3564</v>
      </c>
      <c r="B3558" t="s">
        <v>8035</v>
      </c>
      <c r="C3558" t="s">
        <v>7782</v>
      </c>
      <c r="D3558" t="s">
        <v>14606</v>
      </c>
      <c r="E3558" s="2">
        <v>15291</v>
      </c>
      <c r="F3558">
        <f>HYPERLINK("https://www2.assemblee-nationale.fr/sycomore/fiche/(num_dept)/5305", "5305.0")</f>
        <v>0</v>
      </c>
      <c r="H3558">
        <f>HYPERLINK("https://www.wikidata.org/wiki/Q14218268", "Q14218268")</f>
        <v>0</v>
      </c>
    </row>
    <row r="3559" spans="1:8">
      <c r="A3559" t="s">
        <v>3565</v>
      </c>
      <c r="B3559" t="s">
        <v>8036</v>
      </c>
      <c r="C3559" t="s">
        <v>9773</v>
      </c>
      <c r="D3559" t="s">
        <v>12089</v>
      </c>
      <c r="E3559" s="2">
        <v>18846</v>
      </c>
      <c r="G3559">
        <f>HYPERLINK("https://www.senat.fr/senateur-3eme-republique/mirouel_arthur1021r3.html", "mirouel_arthur1021r3")</f>
        <v>0</v>
      </c>
      <c r="H3559">
        <f>HYPERLINK("https://www.wikidata.org/wiki/Q2865252", "Q2865252")</f>
        <v>0</v>
      </c>
    </row>
    <row r="3560" spans="1:8">
      <c r="A3560" t="s">
        <v>3566</v>
      </c>
      <c r="B3560" t="s">
        <v>8037</v>
      </c>
      <c r="C3560" t="s">
        <v>8006</v>
      </c>
      <c r="D3560" t="s">
        <v>14607</v>
      </c>
      <c r="E3560" s="2">
        <v>27112</v>
      </c>
      <c r="F3560">
        <f>HYPERLINK("https://www2.assemblee-nationale.fr/sycomore/fiche/(num_dept)/5309", "5309.0")</f>
        <v>0</v>
      </c>
      <c r="H3560">
        <f>HYPERLINK("https://www.wikidata.org/wiki/Q16026113", "Q16026113")</f>
        <v>0</v>
      </c>
    </row>
    <row r="3561" spans="1:8">
      <c r="A3561" t="s">
        <v>3567</v>
      </c>
      <c r="B3561" t="s">
        <v>8038</v>
      </c>
      <c r="C3561" t="s">
        <v>7342</v>
      </c>
      <c r="D3561" t="s">
        <v>14608</v>
      </c>
      <c r="E3561" s="2">
        <v>32458</v>
      </c>
      <c r="F3561">
        <f>HYPERLINK("https://www2.assemblee-nationale.fr/sycomore/fiche/(num_dept)/5310", "5310.0")</f>
        <v>0</v>
      </c>
      <c r="H3561">
        <f>HYPERLINK("https://www.wikidata.org/wiki/Q845559", "Q845559")</f>
        <v>0</v>
      </c>
    </row>
    <row r="3562" spans="1:8">
      <c r="A3562" t="s">
        <v>3568</v>
      </c>
      <c r="B3562" t="s">
        <v>8039</v>
      </c>
      <c r="C3562" t="s">
        <v>9430</v>
      </c>
      <c r="D3562" t="s">
        <v>12364</v>
      </c>
      <c r="E3562" s="2">
        <v>11918</v>
      </c>
      <c r="F3562">
        <f>HYPERLINK("https://www2.assemblee-nationale.fr/sycomore/fiche/(num_dept)/5311", "5311.0")</f>
        <v>0</v>
      </c>
      <c r="H3562">
        <f>HYPERLINK("https://www.wikidata.org/wiki/Q3371849", "Q3371849")</f>
        <v>0</v>
      </c>
    </row>
    <row r="3563" spans="1:8">
      <c r="A3563" t="s">
        <v>3569</v>
      </c>
      <c r="B3563" t="s">
        <v>8040</v>
      </c>
      <c r="C3563" t="s">
        <v>9471</v>
      </c>
      <c r="D3563" t="s">
        <v>14609</v>
      </c>
      <c r="E3563" s="2">
        <v>20422</v>
      </c>
      <c r="F3563">
        <f>HYPERLINK("https://www2.assemblee-nationale.fr/sycomore/fiche/(num_dept)/5314", "5314.0")</f>
        <v>0</v>
      </c>
      <c r="H3563">
        <f>HYPERLINK("https://www.wikidata.org/wiki/Q3188792", "Q3188792")</f>
        <v>0</v>
      </c>
    </row>
    <row r="3564" spans="1:8">
      <c r="A3564" t="s">
        <v>3570</v>
      </c>
      <c r="B3564" t="s">
        <v>8041</v>
      </c>
      <c r="C3564" t="s">
        <v>9471</v>
      </c>
      <c r="D3564" t="s">
        <v>14610</v>
      </c>
      <c r="E3564" s="2">
        <v>31259</v>
      </c>
      <c r="F3564">
        <f>HYPERLINK("https://www2.assemblee-nationale.fr/sycomore/fiche/(num_dept)/5316", "5316.0")</f>
        <v>0</v>
      </c>
      <c r="H3564">
        <f>HYPERLINK("https://www.wikidata.org/wiki/Q2564543", "Q2564543")</f>
        <v>0</v>
      </c>
    </row>
    <row r="3565" spans="1:8">
      <c r="A3565" t="s">
        <v>3571</v>
      </c>
      <c r="B3565" t="s">
        <v>8042</v>
      </c>
      <c r="C3565" t="s">
        <v>10815</v>
      </c>
      <c r="D3565" t="s">
        <v>14611</v>
      </c>
      <c r="E3565" s="2">
        <v>1048</v>
      </c>
      <c r="F3565">
        <f>HYPERLINK("https://www2.assemblee-nationale.fr/sycomore/fiche/(num_dept)/7601", "7601.0")</f>
        <v>0</v>
      </c>
      <c r="H3565">
        <f>HYPERLINK("https://www.wikidata.org/wiki/Q3386135", "Q3386135")</f>
        <v>0</v>
      </c>
    </row>
    <row r="3566" spans="1:8">
      <c r="A3566" t="s">
        <v>3572</v>
      </c>
      <c r="B3566" t="s">
        <v>8043</v>
      </c>
      <c r="C3566" t="s">
        <v>9436</v>
      </c>
      <c r="D3566" t="s">
        <v>14612</v>
      </c>
      <c r="E3566" s="2">
        <v>11031</v>
      </c>
      <c r="F3566">
        <f>HYPERLINK("https://www2.assemblee-nationale.fr/sycomore/fiche/(num_dept)/7602", "7602.0")</f>
        <v>0</v>
      </c>
      <c r="H3566">
        <f>HYPERLINK("https://www.wikidata.org/wiki/Q2831324", "Q2831324")</f>
        <v>0</v>
      </c>
    </row>
    <row r="3567" spans="1:8">
      <c r="A3567" t="s">
        <v>3573</v>
      </c>
      <c r="B3567" t="s">
        <v>8044</v>
      </c>
      <c r="C3567" t="s">
        <v>7342</v>
      </c>
      <c r="D3567" t="s">
        <v>14613</v>
      </c>
      <c r="E3567" t="s">
        <v>16303</v>
      </c>
      <c r="G3567">
        <f>HYPERLINK("https://www.senat.fr/senateur-3eme-republique/moinet_jean0405r3.html", "moinet_jean0405r3")</f>
        <v>0</v>
      </c>
      <c r="H3567">
        <f>HYPERLINK("https://www.wikidata.org/wiki/Q3173561", "Q3173561")</f>
        <v>0</v>
      </c>
    </row>
    <row r="3568" spans="1:8">
      <c r="A3568" t="s">
        <v>3574</v>
      </c>
      <c r="B3568" t="s">
        <v>8045</v>
      </c>
      <c r="C3568" t="s">
        <v>7342</v>
      </c>
      <c r="D3568" t="s">
        <v>14614</v>
      </c>
      <c r="E3568" s="2">
        <v>13302</v>
      </c>
      <c r="F3568">
        <f>HYPERLINK("https://www2.assemblee-nationale.fr/sycomore/fiche/(num_dept)/5329", "5329.0")</f>
        <v>0</v>
      </c>
      <c r="H3568">
        <f>HYPERLINK("https://www.wikidata.org/wiki/Q3173564", "Q3173564")</f>
        <v>0</v>
      </c>
    </row>
    <row r="3569" spans="1:8">
      <c r="A3569" t="s">
        <v>3575</v>
      </c>
      <c r="B3569" t="s">
        <v>8045</v>
      </c>
      <c r="C3569" t="s">
        <v>10213</v>
      </c>
      <c r="D3569" t="s">
        <v>14615</v>
      </c>
      <c r="E3569" s="2">
        <v>20467</v>
      </c>
      <c r="F3569">
        <f>HYPERLINK("https://www2.assemblee-nationale.fr/sycomore/fiche/(num_dept)/5328", "5328.0")</f>
        <v>0</v>
      </c>
      <c r="H3569">
        <f>HYPERLINK("https://www.wikidata.org/wiki/Q13080885", "Q13080885")</f>
        <v>0</v>
      </c>
    </row>
    <row r="3570" spans="1:8">
      <c r="A3570" t="s">
        <v>3576</v>
      </c>
      <c r="B3570" t="s">
        <v>8046</v>
      </c>
      <c r="C3570" t="s">
        <v>9533</v>
      </c>
      <c r="D3570" t="s">
        <v>14616</v>
      </c>
      <c r="E3570" s="2">
        <v>11747</v>
      </c>
      <c r="F3570">
        <f>HYPERLINK("https://www2.assemblee-nationale.fr/sycomore/fiche/(num_dept)/5330", "5330.0")</f>
        <v>0</v>
      </c>
      <c r="G3570">
        <f>HYPERLINK("https://www.senat.fr/senateur-3eme-republique/mollard_antoine0451r3.html", "mollard_antoine0451r3")</f>
        <v>0</v>
      </c>
      <c r="H3570">
        <f>HYPERLINK("https://www.wikidata.org/wiki/Q2854255", "Q2854255")</f>
        <v>0</v>
      </c>
    </row>
    <row r="3571" spans="1:8">
      <c r="A3571" t="s">
        <v>3577</v>
      </c>
      <c r="B3571" t="s">
        <v>8047</v>
      </c>
      <c r="C3571" t="s">
        <v>7942</v>
      </c>
      <c r="D3571" t="s">
        <v>14617</v>
      </c>
      <c r="E3571" s="2">
        <v>17187</v>
      </c>
      <c r="G3571">
        <f>HYPERLINK("https://www.senat.fr/senateur-3eme-republique/mollard_maurice1297r3.html", "mollard_maurice1297r3")</f>
        <v>0</v>
      </c>
      <c r="H3571">
        <f>HYPERLINK("https://www.wikidata.org/wiki/Q3301172", "Q3301172")</f>
        <v>0</v>
      </c>
    </row>
    <row r="3572" spans="1:8">
      <c r="A3572" t="s">
        <v>3578</v>
      </c>
      <c r="B3572" t="s">
        <v>8048</v>
      </c>
      <c r="C3572" t="s">
        <v>9471</v>
      </c>
      <c r="D3572" t="s">
        <v>14618</v>
      </c>
      <c r="E3572" s="2">
        <v>11331</v>
      </c>
      <c r="F3572">
        <f>HYPERLINK("https://www2.assemblee-nationale.fr/sycomore/fiche/(num_dept)/5332", "5332.0")</f>
        <v>0</v>
      </c>
      <c r="H3572">
        <f>HYPERLINK("https://www.wikidata.org/wiki/Q3188796", "Q3188796")</f>
        <v>0</v>
      </c>
    </row>
    <row r="3573" spans="1:8">
      <c r="A3573" t="s">
        <v>3579</v>
      </c>
      <c r="B3573" t="s">
        <v>8048</v>
      </c>
      <c r="C3573" t="s">
        <v>10816</v>
      </c>
      <c r="D3573" t="s">
        <v>14619</v>
      </c>
      <c r="E3573" s="2">
        <v>6845</v>
      </c>
      <c r="F3573">
        <f>HYPERLINK("https://www2.assemblee-nationale.fr/sycomore/fiche/(num_dept)/5331", "5331.0")</f>
        <v>0</v>
      </c>
      <c r="H3573">
        <f>HYPERLINK("https://www.wikidata.org/wiki/Q16026439", "Q16026439")</f>
        <v>0</v>
      </c>
    </row>
    <row r="3574" spans="1:8">
      <c r="A3574" t="s">
        <v>3580</v>
      </c>
      <c r="B3574" t="s">
        <v>8049</v>
      </c>
      <c r="C3574" t="s">
        <v>10817</v>
      </c>
      <c r="D3574" t="s">
        <v>14620</v>
      </c>
      <c r="E3574" s="2">
        <v>12686</v>
      </c>
      <c r="F3574">
        <f>HYPERLINK("https://www2.assemblee-nationale.fr/sycomore/fiche/(num_dept)/5325", "5325.0")</f>
        <v>0</v>
      </c>
      <c r="H3574">
        <f>HYPERLINK("https://www.wikidata.org/wiki/Q3288517", "Q3288517")</f>
        <v>0</v>
      </c>
    </row>
    <row r="3575" spans="1:8">
      <c r="A3575" t="s">
        <v>3581</v>
      </c>
      <c r="B3575" t="s">
        <v>8050</v>
      </c>
      <c r="C3575" t="s">
        <v>10818</v>
      </c>
      <c r="D3575" t="s">
        <v>14621</v>
      </c>
      <c r="E3575" s="2">
        <v>22660</v>
      </c>
      <c r="F3575">
        <f>HYPERLINK("https://www2.assemblee-nationale.fr/sycomore/fiche/(num_dept)/5334", "5334.0")</f>
        <v>0</v>
      </c>
      <c r="H3575">
        <f>HYPERLINK("https://www.wikidata.org/wiki/Q3579966", "Q3579966")</f>
        <v>0</v>
      </c>
    </row>
    <row r="3576" spans="1:8">
      <c r="A3576" t="s">
        <v>3582</v>
      </c>
      <c r="B3576" t="s">
        <v>8051</v>
      </c>
      <c r="C3576" t="s">
        <v>10819</v>
      </c>
      <c r="D3576" t="s">
        <v>14622</v>
      </c>
      <c r="E3576" t="s">
        <v>16304</v>
      </c>
      <c r="F3576">
        <f>HYPERLINK("https://www2.assemblee-nationale.fr/sycomore/fiche/(num_dept)/8010", "8010.0")</f>
        <v>0</v>
      </c>
      <c r="H3576">
        <f>HYPERLINK("https://www.wikidata.org/wiki/Q16026118", "Q16026118")</f>
        <v>0</v>
      </c>
    </row>
    <row r="3577" spans="1:8">
      <c r="A3577" t="s">
        <v>3583</v>
      </c>
      <c r="B3577" t="s">
        <v>8052</v>
      </c>
      <c r="C3577" t="s">
        <v>7342</v>
      </c>
      <c r="D3577" t="s">
        <v>14623</v>
      </c>
      <c r="E3577" s="2">
        <v>9233</v>
      </c>
      <c r="F3577">
        <f>HYPERLINK("https://www2.assemblee-nationale.fr/sycomore/fiche/(num_dept)/5337", "5337.0")</f>
        <v>0</v>
      </c>
      <c r="G3577">
        <f>HYPERLINK("https://www.senat.fr/senateur-3eme-republique/monestier_clement0859r3.html", "monestier_clement0859r3")</f>
        <v>0</v>
      </c>
      <c r="H3577">
        <f>HYPERLINK("https://www.wikidata.org/wiki/Q3173571", "Q3173571")</f>
        <v>0</v>
      </c>
    </row>
    <row r="3578" spans="1:8">
      <c r="A3578" t="s">
        <v>3584</v>
      </c>
      <c r="B3578" t="s">
        <v>8053</v>
      </c>
      <c r="C3578" t="s">
        <v>10820</v>
      </c>
      <c r="D3578" t="s">
        <v>14624</v>
      </c>
      <c r="E3578" s="2">
        <v>12754</v>
      </c>
      <c r="F3578">
        <f>HYPERLINK("https://www2.assemblee-nationale.fr/sycomore/fiche/(num_dept)/5338", "5338.0")</f>
        <v>0</v>
      </c>
      <c r="G3578">
        <f>HYPERLINK("https://www.senat.fr/senateur-3eme-republique/monfeuillart_ernest0635r3.html", "monfeuillart_ernest0635r3")</f>
        <v>0</v>
      </c>
      <c r="H3578">
        <f>HYPERLINK("https://www.wikidata.org/wiki/Q3057090", "Q3057090")</f>
        <v>0</v>
      </c>
    </row>
    <row r="3579" spans="1:8">
      <c r="A3579" t="s">
        <v>3585</v>
      </c>
      <c r="B3579" t="s">
        <v>8054</v>
      </c>
      <c r="C3579" t="s">
        <v>10821</v>
      </c>
      <c r="D3579" t="s">
        <v>14625</v>
      </c>
      <c r="E3579" s="2">
        <v>19721</v>
      </c>
      <c r="F3579">
        <f>HYPERLINK("https://www2.assemblee-nationale.fr/sycomore/fiche/(num_dept)/5341", "5341.0")</f>
        <v>0</v>
      </c>
      <c r="H3579">
        <f>HYPERLINK("https://www.wikidata.org/wiki/Q3387633", "Q3387633")</f>
        <v>0</v>
      </c>
    </row>
    <row r="3580" spans="1:8">
      <c r="A3580" t="s">
        <v>3586</v>
      </c>
      <c r="B3580" t="s">
        <v>8055</v>
      </c>
      <c r="C3580" t="s">
        <v>9634</v>
      </c>
      <c r="D3580" t="s">
        <v>14626</v>
      </c>
      <c r="E3580" s="2">
        <v>3026</v>
      </c>
      <c r="G3580">
        <f>HYPERLINK("https://www.senat.fr/senateur-3eme-republique/monier_frederic0327r3.html", "monier_frederic0327r3")</f>
        <v>0</v>
      </c>
      <c r="H3580">
        <f>HYPERLINK("https://www.wikidata.org/wiki/Q2697108", "Q2697108")</f>
        <v>0</v>
      </c>
    </row>
    <row r="3581" spans="1:8">
      <c r="A3581" t="s">
        <v>3587</v>
      </c>
      <c r="B3581" t="s">
        <v>8056</v>
      </c>
      <c r="C3581" t="s">
        <v>10822</v>
      </c>
      <c r="D3581" t="s">
        <v>14627</v>
      </c>
      <c r="E3581" s="2">
        <v>10738</v>
      </c>
      <c r="F3581">
        <f>HYPERLINK("https://www2.assemblee-nationale.fr/sycomore/fiche/(num_dept)/5343", "5343.0")</f>
        <v>0</v>
      </c>
      <c r="G3581">
        <f>HYPERLINK("https://www.senat.fr/senateur-3eme-republique/monis_ernest0193r3.html", "monis_ernest0193r3")</f>
        <v>0</v>
      </c>
      <c r="H3581">
        <f>HYPERLINK("https://www.wikidata.org/wiki/Q561583", "Q561583")</f>
        <v>0</v>
      </c>
    </row>
    <row r="3582" spans="1:8">
      <c r="A3582" t="s">
        <v>3588</v>
      </c>
      <c r="B3582" t="s">
        <v>8057</v>
      </c>
      <c r="C3582" t="s">
        <v>6864</v>
      </c>
      <c r="D3582" t="s">
        <v>14628</v>
      </c>
      <c r="G3582">
        <f>HYPERLINK("https://www.senat.fr/senateur-3eme-republique/monjaret_de_kerjegu_francois0782r3.html", "monjaret_de_kerjegu_francois0782r3")</f>
        <v>0</v>
      </c>
      <c r="H3582">
        <f>HYPERLINK("https://www.wikidata.org/wiki/Q3085294", "Q3085294")</f>
        <v>0</v>
      </c>
    </row>
    <row r="3583" spans="1:8">
      <c r="A3583" t="s">
        <v>3589</v>
      </c>
      <c r="B3583" t="s">
        <v>8058</v>
      </c>
      <c r="C3583" t="s">
        <v>10823</v>
      </c>
      <c r="D3583" s="2">
        <v>1798</v>
      </c>
      <c r="E3583" s="2">
        <v>31731</v>
      </c>
      <c r="F3583">
        <f>HYPERLINK("https://www2.assemblee-nationale.fr/sycomore/fiche/(num_dept)/5346", "5346.0")</f>
        <v>0</v>
      </c>
      <c r="H3583">
        <f>HYPERLINK("https://www.wikidata.org/wiki/Q13080941", "Q13080941")</f>
        <v>0</v>
      </c>
    </row>
    <row r="3584" spans="1:8">
      <c r="A3584" t="s">
        <v>3590</v>
      </c>
      <c r="B3584" t="s">
        <v>8059</v>
      </c>
      <c r="C3584" t="s">
        <v>10824</v>
      </c>
      <c r="D3584" t="s">
        <v>14629</v>
      </c>
      <c r="E3584" s="2">
        <v>22108</v>
      </c>
      <c r="F3584">
        <f>HYPERLINK("https://www2.assemblee-nationale.fr/sycomore/fiche/(num_dept)/5347", "5347.0")</f>
        <v>0</v>
      </c>
      <c r="H3584">
        <f>HYPERLINK("https://www.wikidata.org/wiki/Q3099093", "Q3099093")</f>
        <v>0</v>
      </c>
    </row>
    <row r="3585" spans="1:8">
      <c r="A3585" t="s">
        <v>3591</v>
      </c>
      <c r="B3585" t="s">
        <v>8060</v>
      </c>
      <c r="C3585" t="s">
        <v>9512</v>
      </c>
      <c r="D3585" t="s">
        <v>14630</v>
      </c>
      <c r="E3585" s="2">
        <v>33549</v>
      </c>
      <c r="F3585">
        <f>HYPERLINK("https://www2.assemblee-nationale.fr/sycomore/fiche/(num_dept)/5348", "5348.0")</f>
        <v>0</v>
      </c>
      <c r="H3585">
        <f>HYPERLINK("https://www.wikidata.org/wiki/Q443841", "Q443841")</f>
        <v>0</v>
      </c>
    </row>
    <row r="3586" spans="1:8">
      <c r="A3586" t="s">
        <v>3592</v>
      </c>
      <c r="B3586" t="s">
        <v>8061</v>
      </c>
      <c r="C3586" t="s">
        <v>9564</v>
      </c>
      <c r="D3586" t="s">
        <v>14631</v>
      </c>
      <c r="E3586" t="s">
        <v>16305</v>
      </c>
      <c r="G3586">
        <f>HYPERLINK("https://www.senat.fr/senateur-3eme-republique/monnet_alfred1630r3.html", "monnet_alfred1630r3")</f>
        <v>0</v>
      </c>
      <c r="H3586">
        <f>HYPERLINK("https://www.wikidata.org/wiki/Q2835339", "Q2835339")</f>
        <v>0</v>
      </c>
    </row>
    <row r="3587" spans="1:8">
      <c r="A3587" t="s">
        <v>3593</v>
      </c>
      <c r="B3587" t="s">
        <v>8062</v>
      </c>
      <c r="C3587" t="s">
        <v>7001</v>
      </c>
      <c r="D3587" t="s">
        <v>14632</v>
      </c>
      <c r="E3587" s="2">
        <v>29564</v>
      </c>
      <c r="F3587">
        <f>HYPERLINK("https://www2.assemblee-nationale.fr/sycomore/fiche/(num_dept)/5350", "5350.0")</f>
        <v>0</v>
      </c>
      <c r="H3587">
        <f>HYPERLINK("https://www.wikidata.org/wiki/Q3103220", "Q3103220")</f>
        <v>0</v>
      </c>
    </row>
    <row r="3588" spans="1:8">
      <c r="A3588" t="s">
        <v>3594</v>
      </c>
      <c r="B3588" t="s">
        <v>8063</v>
      </c>
      <c r="C3588" t="s">
        <v>10825</v>
      </c>
      <c r="D3588" t="s">
        <v>14147</v>
      </c>
      <c r="E3588" t="s">
        <v>16233</v>
      </c>
      <c r="F3588">
        <f>HYPERLINK("https://www2.assemblee-nationale.fr/sycomore/fiche/(num_dept)/8241", "8241.0")</f>
        <v>0</v>
      </c>
      <c r="H3588">
        <f>HYPERLINK("https://www.wikidata.org/wiki/Q3385859", "Q3385859")</f>
        <v>0</v>
      </c>
    </row>
    <row r="3589" spans="1:8">
      <c r="A3589" t="s">
        <v>3595</v>
      </c>
      <c r="B3589" t="s">
        <v>8064</v>
      </c>
      <c r="C3589" t="s">
        <v>7782</v>
      </c>
      <c r="D3589" t="s">
        <v>14633</v>
      </c>
      <c r="E3589" s="2">
        <v>8701</v>
      </c>
      <c r="G3589">
        <f>HYPERLINK("https://www.senat.fr/senateur-3eme-republique/monnier_leon0742r3.html", "monnier_leon0742r3")</f>
        <v>0</v>
      </c>
      <c r="H3589">
        <f>HYPERLINK("https://www.wikidata.org/wiki/Q3271207", "Q3271207")</f>
        <v>0</v>
      </c>
    </row>
    <row r="3590" spans="1:8">
      <c r="A3590" t="s">
        <v>3596</v>
      </c>
      <c r="B3590" t="s">
        <v>8065</v>
      </c>
      <c r="C3590" t="s">
        <v>10826</v>
      </c>
      <c r="D3590" t="s">
        <v>14634</v>
      </c>
      <c r="E3590" s="2">
        <v>22765</v>
      </c>
      <c r="F3590">
        <f>HYPERLINK("https://www2.assemblee-nationale.fr/sycomore/fiche/(num_dept)/5353", "5353.0")</f>
        <v>0</v>
      </c>
      <c r="H3590">
        <f>HYPERLINK("https://www.wikidata.org/wiki/Q3131240", "Q3131240")</f>
        <v>0</v>
      </c>
    </row>
    <row r="3591" spans="1:8">
      <c r="A3591" t="s">
        <v>3597</v>
      </c>
      <c r="B3591" t="s">
        <v>8066</v>
      </c>
      <c r="C3591" t="s">
        <v>7314</v>
      </c>
      <c r="D3591" t="s">
        <v>14635</v>
      </c>
      <c r="E3591" s="2">
        <v>8066</v>
      </c>
      <c r="F3591">
        <f>HYPERLINK("https://www2.assemblee-nationale.fr/sycomore/fiche/(num_dept)/5354", "5354.0")</f>
        <v>0</v>
      </c>
      <c r="H3591">
        <f>HYPERLINK("https://www.wikidata.org/wiki/Q3157853", "Q3157853")</f>
        <v>0</v>
      </c>
    </row>
    <row r="3592" spans="1:8">
      <c r="A3592" t="s">
        <v>3598</v>
      </c>
      <c r="B3592" t="s">
        <v>8067</v>
      </c>
      <c r="C3592" t="s">
        <v>9457</v>
      </c>
      <c r="D3592" t="s">
        <v>14636</v>
      </c>
      <c r="E3592" s="2">
        <v>11698</v>
      </c>
      <c r="F3592">
        <f>HYPERLINK("https://www2.assemblee-nationale.fr/sycomore/fiche/(num_dept)/5355", "5355.0")</f>
        <v>0</v>
      </c>
      <c r="H3592">
        <f>HYPERLINK("https://www.wikidata.org/wiki/Q16026122", "Q16026122")</f>
        <v>0</v>
      </c>
    </row>
    <row r="3593" spans="1:8">
      <c r="A3593" t="s">
        <v>3599</v>
      </c>
      <c r="B3593" t="s">
        <v>8068</v>
      </c>
      <c r="C3593" t="s">
        <v>9918</v>
      </c>
      <c r="D3593" t="s">
        <v>14637</v>
      </c>
      <c r="E3593" s="2">
        <v>16140</v>
      </c>
      <c r="G3593">
        <f>HYPERLINK("https://www.senat.fr/senateur-3eme-republique/monsacre_fernand0234r3.html", "monsacre_fernand0234r3")</f>
        <v>0</v>
      </c>
      <c r="H3593">
        <f>HYPERLINK("https://www.wikidata.org/wiki/Q3069275", "Q3069275")</f>
        <v>0</v>
      </c>
    </row>
    <row r="3594" spans="1:8">
      <c r="A3594" t="s">
        <v>3600</v>
      </c>
      <c r="B3594" t="s">
        <v>8069</v>
      </c>
      <c r="C3594" t="s">
        <v>9524</v>
      </c>
      <c r="D3594" t="s">
        <v>14638</v>
      </c>
      <c r="E3594" s="2">
        <v>4254</v>
      </c>
      <c r="G3594">
        <f>HYPERLINK("https://www.senat.fr/senateur-3eme-republique/monsservin_emile0283r3.html", "monsservin_emile0283r3")</f>
        <v>0</v>
      </c>
      <c r="H3594">
        <f>HYPERLINK("https://www.wikidata.org/wiki/Q3588665", "Q3588665")</f>
        <v>0</v>
      </c>
    </row>
    <row r="3595" spans="1:8">
      <c r="A3595" t="s">
        <v>3601</v>
      </c>
      <c r="B3595" t="s">
        <v>8070</v>
      </c>
      <c r="C3595" t="s">
        <v>10827</v>
      </c>
      <c r="D3595" t="s">
        <v>14639</v>
      </c>
      <c r="E3595" s="2">
        <v>16218</v>
      </c>
      <c r="F3595">
        <f>HYPERLINK("https://www2.assemblee-nationale.fr/sycomore/fiche/(num_dept)/5357", "5357.0")</f>
        <v>0</v>
      </c>
      <c r="G3595">
        <f>HYPERLINK("https://www.senat.fr/senateur-3eme-republique/monsservin_joseph0284r3.html", "monsservin_joseph0284r3")</f>
        <v>0</v>
      </c>
      <c r="H3595">
        <f>HYPERLINK("https://www.wikidata.org/wiki/Q3185378", "Q3185378")</f>
        <v>0</v>
      </c>
    </row>
    <row r="3596" spans="1:8">
      <c r="A3596" t="s">
        <v>3602</v>
      </c>
      <c r="B3596" t="s">
        <v>8071</v>
      </c>
      <c r="C3596" t="s">
        <v>10828</v>
      </c>
      <c r="D3596" t="s">
        <v>14640</v>
      </c>
      <c r="E3596" s="2">
        <v>25478</v>
      </c>
      <c r="F3596">
        <f>HYPERLINK("https://www2.assemblee-nationale.fr/sycomore/fiche/(num_dept)/5362", "5362.0")</f>
        <v>0</v>
      </c>
      <c r="H3596">
        <f>HYPERLINK("https://www.wikidata.org/wiki/Q16026125", "Q16026125")</f>
        <v>0</v>
      </c>
    </row>
    <row r="3597" spans="1:8">
      <c r="A3597" t="s">
        <v>3603</v>
      </c>
      <c r="B3597" t="s">
        <v>8072</v>
      </c>
      <c r="C3597" t="s">
        <v>10695</v>
      </c>
      <c r="D3597" t="s">
        <v>12758</v>
      </c>
      <c r="E3597" s="2">
        <v>10149</v>
      </c>
      <c r="F3597">
        <f>HYPERLINK("https://www2.assemblee-nationale.fr/sycomore/fiche/(num_dept)/5364", "5364.0")</f>
        <v>0</v>
      </c>
      <c r="H3597">
        <f>HYPERLINK("https://www.wikidata.org/wiki/Q3387636", "Q3387636")</f>
        <v>0</v>
      </c>
    </row>
    <row r="3598" spans="1:8">
      <c r="A3598" t="s">
        <v>3604</v>
      </c>
      <c r="B3598" t="s">
        <v>8072</v>
      </c>
      <c r="C3598" t="s">
        <v>10829</v>
      </c>
      <c r="D3598" t="s">
        <v>14641</v>
      </c>
      <c r="E3598" s="2">
        <v>21707</v>
      </c>
      <c r="F3598">
        <f>HYPERLINK("https://www2.assemblee-nationale.fr/sycomore/fiche/(num_dept)/5363", "5363.0")</f>
        <v>0</v>
      </c>
      <c r="H3598">
        <f>HYPERLINK("https://www.wikidata.org/wiki/Q3142134", "Q3142134")</f>
        <v>0</v>
      </c>
    </row>
    <row r="3599" spans="1:8">
      <c r="A3599" t="s">
        <v>3605</v>
      </c>
      <c r="B3599" t="s">
        <v>8073</v>
      </c>
      <c r="C3599" t="s">
        <v>10830</v>
      </c>
      <c r="D3599" t="s">
        <v>14642</v>
      </c>
      <c r="E3599" s="2">
        <v>9786</v>
      </c>
      <c r="F3599">
        <f>HYPERLINK("https://www2.assemblee-nationale.fr/sycomore/fiche/(num_dept)/5367", "5367.0")</f>
        <v>0</v>
      </c>
      <c r="H3599">
        <f>HYPERLINK("https://www.wikidata.org/wiki/Q3188997", "Q3188997")</f>
        <v>0</v>
      </c>
    </row>
    <row r="3600" spans="1:8">
      <c r="A3600" t="s">
        <v>3606</v>
      </c>
      <c r="B3600" t="s">
        <v>8074</v>
      </c>
      <c r="C3600" t="s">
        <v>10831</v>
      </c>
      <c r="D3600" t="s">
        <v>14643</v>
      </c>
      <c r="E3600" s="2">
        <v>5839</v>
      </c>
      <c r="F3600">
        <f>HYPERLINK("https://www2.assemblee-nationale.fr/sycomore/fiche/(num_dept)/8135", "8135.0")</f>
        <v>0</v>
      </c>
      <c r="H3600">
        <f>HYPERLINK("https://www.wikidata.org/wiki/Q16026128", "Q16026128")</f>
        <v>0</v>
      </c>
    </row>
    <row r="3601" spans="1:8">
      <c r="A3601" t="s">
        <v>3607</v>
      </c>
      <c r="B3601" t="s">
        <v>8075</v>
      </c>
      <c r="C3601" t="s">
        <v>9704</v>
      </c>
      <c r="D3601" t="s">
        <v>14644</v>
      </c>
      <c r="E3601" t="s">
        <v>16306</v>
      </c>
      <c r="F3601">
        <f>HYPERLINK("https://www2.assemblee-nationale.fr/sycomore/fiche/(num_dept)/17882", "17882.0")</f>
        <v>0</v>
      </c>
      <c r="H3601">
        <f>HYPERLINK("https://www.wikidata.org/wiki/Q3163823", "Q3163823")</f>
        <v>0</v>
      </c>
    </row>
    <row r="3602" spans="1:8">
      <c r="A3602" t="s">
        <v>3608</v>
      </c>
      <c r="B3602" t="s">
        <v>8076</v>
      </c>
      <c r="C3602" t="s">
        <v>10832</v>
      </c>
      <c r="D3602" t="s">
        <v>14645</v>
      </c>
      <c r="E3602" t="s">
        <v>16307</v>
      </c>
      <c r="F3602">
        <f>HYPERLINK("https://www2.assemblee-nationale.fr/sycomore/fiche/(num_dept)/5370", "5370.0")</f>
        <v>0</v>
      </c>
      <c r="H3602">
        <f>HYPERLINK("https://www.wikidata.org/wiki/Q13077251", "Q13077251")</f>
        <v>0</v>
      </c>
    </row>
    <row r="3603" spans="1:8">
      <c r="A3603" t="s">
        <v>3609</v>
      </c>
      <c r="B3603" t="s">
        <v>8077</v>
      </c>
      <c r="C3603" t="s">
        <v>10833</v>
      </c>
      <c r="D3603" t="s">
        <v>14646</v>
      </c>
      <c r="E3603" s="2">
        <v>12941</v>
      </c>
      <c r="F3603">
        <f>HYPERLINK("https://www2.assemblee-nationale.fr/sycomore/fiche/(num_dept)/4341", "4341.0")</f>
        <v>0</v>
      </c>
      <c r="H3603">
        <f>HYPERLINK("https://www.wikidata.org/wiki/Q2825199", "Q2825199")</f>
        <v>0</v>
      </c>
    </row>
    <row r="3604" spans="1:8">
      <c r="A3604" t="s">
        <v>3610</v>
      </c>
      <c r="B3604" t="s">
        <v>8078</v>
      </c>
      <c r="C3604" t="s">
        <v>7754</v>
      </c>
      <c r="D3604" t="s">
        <v>14647</v>
      </c>
      <c r="E3604" t="s">
        <v>16308</v>
      </c>
      <c r="F3604">
        <f>HYPERLINK("https://www2.assemblee-nationale.fr/sycomore/fiche/(num_dept)/8229", "8229.0")</f>
        <v>0</v>
      </c>
      <c r="H3604">
        <f>HYPERLINK("https://www.wikidata.org/wiki/Q10644316", "Q10644316")</f>
        <v>0</v>
      </c>
    </row>
    <row r="3605" spans="1:8">
      <c r="A3605" t="s">
        <v>3611</v>
      </c>
      <c r="B3605" t="s">
        <v>8079</v>
      </c>
      <c r="C3605" t="s">
        <v>10064</v>
      </c>
      <c r="D3605" t="s">
        <v>14648</v>
      </c>
      <c r="E3605" s="2">
        <v>3486</v>
      </c>
      <c r="F3605">
        <f>HYPERLINK("https://www2.assemblee-nationale.fr/sycomore/fiche/(num_dept)/8011", "8011.0")</f>
        <v>0</v>
      </c>
      <c r="H3605">
        <f>HYPERLINK("https://www.wikidata.org/wiki/Q16026132", "Q16026132")</f>
        <v>0</v>
      </c>
    </row>
    <row r="3606" spans="1:8">
      <c r="A3606" t="s">
        <v>3612</v>
      </c>
      <c r="B3606" t="s">
        <v>8080</v>
      </c>
      <c r="C3606" t="s">
        <v>9337</v>
      </c>
      <c r="D3606" t="s">
        <v>14649</v>
      </c>
      <c r="E3606" s="2">
        <v>13210</v>
      </c>
      <c r="G3606">
        <f>HYPERLINK("https://www.senat.fr/senateur-3eme-republique/montenot_auguste0533r3.html", "montenot_auguste0533r3")</f>
        <v>0</v>
      </c>
      <c r="H3606">
        <f>HYPERLINK("https://www.wikidata.org/wiki/Q2871322", "Q2871322")</f>
        <v>0</v>
      </c>
    </row>
    <row r="3607" spans="1:8">
      <c r="A3607" t="s">
        <v>3613</v>
      </c>
      <c r="B3607" t="s">
        <v>8081</v>
      </c>
      <c r="C3607" t="s">
        <v>9337</v>
      </c>
      <c r="D3607" t="s">
        <v>12098</v>
      </c>
      <c r="E3607" s="2">
        <v>13210</v>
      </c>
      <c r="F3607">
        <f>HYPERLINK("https://www2.assemblee-nationale.fr/sycomore/fiche/(num_dept)/5378", "5378.0")</f>
        <v>0</v>
      </c>
      <c r="H3607">
        <f>HYPERLINK("https://www.wikidata.org/wiki/Q2871322", "Q2871322")</f>
        <v>0</v>
      </c>
    </row>
    <row r="3608" spans="1:8">
      <c r="A3608" t="s">
        <v>3614</v>
      </c>
      <c r="B3608" t="s">
        <v>8082</v>
      </c>
      <c r="C3608" t="s">
        <v>10834</v>
      </c>
      <c r="D3608" t="s">
        <v>14650</v>
      </c>
      <c r="E3608" s="2">
        <v>2961</v>
      </c>
      <c r="F3608">
        <f>HYPERLINK("https://www2.assemblee-nationale.fr/sycomore/fiche/(num_dept)/5379", "5379.0")</f>
        <v>0</v>
      </c>
      <c r="H3608">
        <f>HYPERLINK("https://www.wikidata.org/wiki/Q16026134", "Q16026134")</f>
        <v>0</v>
      </c>
    </row>
    <row r="3609" spans="1:8">
      <c r="A3609" t="s">
        <v>3615</v>
      </c>
      <c r="B3609" t="s">
        <v>8083</v>
      </c>
      <c r="C3609" t="s">
        <v>8370</v>
      </c>
      <c r="D3609" t="s">
        <v>14651</v>
      </c>
      <c r="G3609">
        <f>HYPERLINK("https://www.senat.fr/senateur-3eme-republique/montesquiou_fezensac_philippe0152r3.html", "montesquiou_fezensac_philippe0152r3")</f>
        <v>0</v>
      </c>
      <c r="H3609">
        <f>HYPERLINK("https://www.wikidata.org/wiki/Q3380973", "Q3380973")</f>
        <v>0</v>
      </c>
    </row>
    <row r="3610" spans="1:8">
      <c r="A3610" t="s">
        <v>3616</v>
      </c>
      <c r="B3610" t="s">
        <v>8084</v>
      </c>
      <c r="C3610" t="s">
        <v>10233</v>
      </c>
      <c r="D3610" t="s">
        <v>12759</v>
      </c>
      <c r="E3610" s="2">
        <v>4301</v>
      </c>
      <c r="F3610">
        <f>HYPERLINK("https://www2.assemblee-nationale.fr/sycomore/fiche/(num_dept)/5384", "5384.0")</f>
        <v>0</v>
      </c>
      <c r="H3610">
        <f>HYPERLINK("https://www.wikidata.org/wiki/Q3263531", "Q3263531")</f>
        <v>0</v>
      </c>
    </row>
    <row r="3611" spans="1:8">
      <c r="A3611" t="s">
        <v>3617</v>
      </c>
      <c r="B3611" t="s">
        <v>8085</v>
      </c>
      <c r="C3611" t="s">
        <v>10835</v>
      </c>
      <c r="D3611" t="s">
        <v>14652</v>
      </c>
      <c r="E3611" t="s">
        <v>16309</v>
      </c>
      <c r="F3611">
        <f>HYPERLINK("https://www2.assemblee-nationale.fr/sycomore/fiche/(num_dept)/5385", "5385.0")</f>
        <v>0</v>
      </c>
      <c r="H3611">
        <f>HYPERLINK("https://www.wikidata.org/wiki/Q2871481", "Q2871481")</f>
        <v>0</v>
      </c>
    </row>
    <row r="3612" spans="1:8">
      <c r="A3612" t="s">
        <v>3618</v>
      </c>
      <c r="B3612" t="s">
        <v>8086</v>
      </c>
      <c r="C3612" t="s">
        <v>10836</v>
      </c>
      <c r="D3612" t="s">
        <v>14653</v>
      </c>
      <c r="E3612" s="2">
        <v>25858</v>
      </c>
      <c r="F3612">
        <f>HYPERLINK("https://www2.assemblee-nationale.fr/sycomore/fiche/(num_dept)/5388", "5388.0")</f>
        <v>0</v>
      </c>
      <c r="H3612">
        <f>HYPERLINK("https://www.wikidata.org/wiki/Q3173588", "Q3173588")</f>
        <v>0</v>
      </c>
    </row>
    <row r="3613" spans="1:8">
      <c r="A3613" t="s">
        <v>3619</v>
      </c>
      <c r="B3613" t="s">
        <v>8087</v>
      </c>
      <c r="C3613" t="s">
        <v>8691</v>
      </c>
      <c r="D3613" t="s">
        <v>14654</v>
      </c>
      <c r="E3613" s="2">
        <v>20532</v>
      </c>
      <c r="F3613">
        <f>HYPERLINK("https://www2.assemblee-nationale.fr/sycomore/fiche/(num_dept)/5389", "5389.0")</f>
        <v>0</v>
      </c>
      <c r="H3613">
        <f>HYPERLINK("https://www.wikidata.org/wiki/Q3435953", "Q3435953")</f>
        <v>0</v>
      </c>
    </row>
    <row r="3614" spans="1:8">
      <c r="A3614" t="s">
        <v>3620</v>
      </c>
      <c r="B3614" t="s">
        <v>8088</v>
      </c>
      <c r="C3614" t="s">
        <v>10837</v>
      </c>
      <c r="D3614" t="s">
        <v>14655</v>
      </c>
      <c r="E3614" t="s">
        <v>16310</v>
      </c>
      <c r="F3614">
        <f>HYPERLINK("https://www2.assemblee-nationale.fr/sycomore/fiche/(num_dept)/4874", "4874.0")</f>
        <v>0</v>
      </c>
      <c r="H3614">
        <f>HYPERLINK("https://www.wikidata.org/wiki/Q8319402", "Q8319402")</f>
        <v>0</v>
      </c>
    </row>
    <row r="3615" spans="1:8">
      <c r="A3615" t="s">
        <v>3621</v>
      </c>
      <c r="B3615" t="s">
        <v>8089</v>
      </c>
      <c r="C3615" t="s">
        <v>10838</v>
      </c>
      <c r="D3615" t="s">
        <v>14656</v>
      </c>
      <c r="E3615" s="2">
        <v>15381</v>
      </c>
      <c r="F3615">
        <f>HYPERLINK("https://www2.assemblee-nationale.fr/sycomore/fiche/(num_dept)/5390", "5390.0")</f>
        <v>0</v>
      </c>
      <c r="H3615">
        <f>HYPERLINK("https://www.wikidata.org/wiki/Q3580083", "Q3580083")</f>
        <v>0</v>
      </c>
    </row>
    <row r="3616" spans="1:8">
      <c r="A3616" t="s">
        <v>3622</v>
      </c>
      <c r="B3616" t="s">
        <v>8089</v>
      </c>
      <c r="C3616" t="s">
        <v>10839</v>
      </c>
      <c r="D3616" t="s">
        <v>14657</v>
      </c>
      <c r="E3616" s="2">
        <v>13112</v>
      </c>
      <c r="F3616">
        <f>HYPERLINK("https://www2.assemblee-nationale.fr/sycomore/fiche/(num_dept)/5392", "5392.0")</f>
        <v>0</v>
      </c>
      <c r="H3616">
        <f>HYPERLINK("https://www.wikidata.org/wiki/Q3122275", "Q3122275")</f>
        <v>0</v>
      </c>
    </row>
    <row r="3617" spans="1:8">
      <c r="A3617" t="s">
        <v>3623</v>
      </c>
      <c r="B3617" t="s">
        <v>8090</v>
      </c>
      <c r="C3617" t="s">
        <v>10840</v>
      </c>
      <c r="D3617" t="s">
        <v>12474</v>
      </c>
      <c r="E3617" s="2">
        <v>19788</v>
      </c>
      <c r="F3617">
        <f>HYPERLINK("https://www2.assemblee-nationale.fr/sycomore/fiche/(num_dept)/1923", "1923.0")</f>
        <v>0</v>
      </c>
      <c r="H3617">
        <f>HYPERLINK("https://www.wikidata.org/wiki/Q3300588", "Q3300588")</f>
        <v>0</v>
      </c>
    </row>
    <row r="3618" spans="1:8">
      <c r="A3618" t="s">
        <v>3624</v>
      </c>
      <c r="B3618" t="s">
        <v>8091</v>
      </c>
      <c r="C3618" t="s">
        <v>10841</v>
      </c>
      <c r="D3618" t="s">
        <v>14658</v>
      </c>
      <c r="E3618" s="2">
        <v>3772</v>
      </c>
      <c r="F3618">
        <f>HYPERLINK("https://www2.assemblee-nationale.fr/sycomore/fiche/(num_dept)/5393", "5393.0")</f>
        <v>0</v>
      </c>
      <c r="H3618">
        <f>HYPERLINK("https://www.wikidata.org/wiki/Q3086264", "Q3086264")</f>
        <v>0</v>
      </c>
    </row>
    <row r="3619" spans="1:8">
      <c r="A3619" t="s">
        <v>3625</v>
      </c>
      <c r="B3619" t="s">
        <v>8092</v>
      </c>
      <c r="C3619" t="s">
        <v>10842</v>
      </c>
      <c r="D3619" t="s">
        <v>14659</v>
      </c>
      <c r="E3619" s="2">
        <v>4596</v>
      </c>
      <c r="F3619">
        <f>HYPERLINK("https://www2.assemblee-nationale.fr/sycomore/fiche/(num_dept)/5383", "5383.0")</f>
        <v>0</v>
      </c>
      <c r="H3619">
        <f>HYPERLINK("https://www.wikidata.org/wiki/Q16026120", "Q16026120")</f>
        <v>0</v>
      </c>
    </row>
    <row r="3620" spans="1:8">
      <c r="A3620" t="s">
        <v>3626</v>
      </c>
      <c r="B3620" t="s">
        <v>8093</v>
      </c>
      <c r="C3620" t="s">
        <v>7754</v>
      </c>
      <c r="D3620" t="s">
        <v>14660</v>
      </c>
      <c r="E3620" s="2">
        <v>10377</v>
      </c>
      <c r="G3620">
        <f>HYPERLINK("https://www.senat.fr/senateur-3eme-republique/mony_louis0230r3.html", "mony_louis0230r3")</f>
        <v>0</v>
      </c>
      <c r="H3620">
        <f>HYPERLINK("https://www.wikidata.org/wiki/Q3262735", "Q3262735")</f>
        <v>0</v>
      </c>
    </row>
    <row r="3621" spans="1:8">
      <c r="A3621" t="s">
        <v>3627</v>
      </c>
      <c r="B3621" t="s">
        <v>8094</v>
      </c>
      <c r="C3621" t="s">
        <v>10843</v>
      </c>
      <c r="D3621" t="s">
        <v>12761</v>
      </c>
      <c r="E3621" s="2">
        <v>17178</v>
      </c>
      <c r="F3621">
        <f>HYPERLINK("https://www2.assemblee-nationale.fr/sycomore/fiche/(num_dept)/5394", "5394.0")</f>
        <v>0</v>
      </c>
      <c r="H3621">
        <f>HYPERLINK("https://www.wikidata.org/wiki/Q2845619", "Q2845619")</f>
        <v>0</v>
      </c>
    </row>
    <row r="3622" spans="1:8">
      <c r="A3622" t="s">
        <v>3628</v>
      </c>
      <c r="B3622" t="s">
        <v>8095</v>
      </c>
      <c r="C3622" t="s">
        <v>7942</v>
      </c>
      <c r="D3622" t="s">
        <v>14661</v>
      </c>
      <c r="E3622" s="2">
        <v>12172</v>
      </c>
      <c r="G3622">
        <f>HYPERLINK("https://www.senat.fr/senateur-3eme-republique/morand_maurice1749r3.html", "morand_maurice1749r3")</f>
        <v>0</v>
      </c>
      <c r="H3622">
        <f>HYPERLINK("https://www.wikidata.org/wiki/Q3301175", "Q3301175")</f>
        <v>0</v>
      </c>
    </row>
    <row r="3623" spans="1:8">
      <c r="A3623" t="s">
        <v>3629</v>
      </c>
      <c r="B3623" t="s">
        <v>8096</v>
      </c>
      <c r="C3623" t="s">
        <v>10844</v>
      </c>
      <c r="D3623" t="s">
        <v>14662</v>
      </c>
      <c r="E3623" s="2">
        <v>2259</v>
      </c>
      <c r="F3623">
        <f>HYPERLINK("https://www2.assemblee-nationale.fr/sycomore/fiche/(num_dept)/6434", "6434.0")</f>
        <v>0</v>
      </c>
      <c r="H3623">
        <f>HYPERLINK("https://www.wikidata.org/wiki/Q2861944", "Q2861944")</f>
        <v>0</v>
      </c>
    </row>
    <row r="3624" spans="1:8">
      <c r="A3624" t="s">
        <v>3630</v>
      </c>
      <c r="B3624" t="s">
        <v>8096</v>
      </c>
      <c r="C3624" t="s">
        <v>10845</v>
      </c>
      <c r="D3624" t="s">
        <v>12838</v>
      </c>
      <c r="E3624" s="2">
        <v>11786</v>
      </c>
      <c r="F3624">
        <f>HYPERLINK("https://www2.assemblee-nationale.fr/sycomore/fiche/(num_dept)/6433", "6433.0")</f>
        <v>0</v>
      </c>
      <c r="H3624">
        <f>HYPERLINK("https://www.wikidata.org/wiki/Q2848467", "Q2848467")</f>
        <v>0</v>
      </c>
    </row>
    <row r="3625" spans="1:8">
      <c r="A3625" t="s">
        <v>3631</v>
      </c>
      <c r="B3625" t="s">
        <v>8097</v>
      </c>
      <c r="C3625" t="s">
        <v>9430</v>
      </c>
      <c r="D3625" s="2">
        <v>534</v>
      </c>
      <c r="E3625" s="2">
        <v>27452</v>
      </c>
      <c r="F3625">
        <f>HYPERLINK("https://www2.assemblee-nationale.fr/sycomore/fiche/(num_dept)/5400", "5400.0")</f>
        <v>0</v>
      </c>
      <c r="H3625">
        <f>HYPERLINK("https://www.wikidata.org/wiki/Q3371858", "Q3371858")</f>
        <v>0</v>
      </c>
    </row>
    <row r="3626" spans="1:8">
      <c r="A3626" t="s">
        <v>3632</v>
      </c>
      <c r="B3626" t="s">
        <v>8098</v>
      </c>
      <c r="C3626" t="s">
        <v>7754</v>
      </c>
      <c r="D3626" t="s">
        <v>14663</v>
      </c>
      <c r="E3626" s="2">
        <v>7176</v>
      </c>
      <c r="F3626">
        <f>HYPERLINK("https://www2.assemblee-nationale.fr/sycomore/fiche/(num_dept)/5402", "5402.0")</f>
        <v>0</v>
      </c>
      <c r="H3626">
        <f>HYPERLINK("https://www.wikidata.org/wiki/Q16026136", "Q16026136")</f>
        <v>0</v>
      </c>
    </row>
    <row r="3627" spans="1:8">
      <c r="A3627" t="s">
        <v>3633</v>
      </c>
      <c r="B3627" t="s">
        <v>8099</v>
      </c>
      <c r="C3627" t="s">
        <v>9524</v>
      </c>
      <c r="D3627" t="s">
        <v>14664</v>
      </c>
      <c r="E3627" s="2">
        <v>1260</v>
      </c>
      <c r="F3627">
        <f>HYPERLINK("https://www2.assemblee-nationale.fr/sycomore/fiche/(num_dept)/5403", "5403.0")</f>
        <v>0</v>
      </c>
      <c r="H3627">
        <f>HYPERLINK("https://www.wikidata.org/wiki/Q16026141", "Q16026141")</f>
        <v>0</v>
      </c>
    </row>
    <row r="3628" spans="1:8">
      <c r="A3628" t="s">
        <v>3634</v>
      </c>
      <c r="B3628" t="s">
        <v>8100</v>
      </c>
      <c r="C3628" t="s">
        <v>10846</v>
      </c>
      <c r="D3628" t="s">
        <v>14665</v>
      </c>
      <c r="E3628" s="2">
        <v>9900</v>
      </c>
      <c r="G3628">
        <f>HYPERLINK("https://www.senat.fr/senateur-3eme-republique/morel_jean_baptiste1326r3.html", "morel_jean_baptiste1326r3")</f>
        <v>0</v>
      </c>
      <c r="H3628">
        <f>HYPERLINK("https://www.wikidata.org/wiki/Q2627978", "Q2627978")</f>
        <v>0</v>
      </c>
    </row>
    <row r="3629" spans="1:8">
      <c r="A3629" t="s">
        <v>3635</v>
      </c>
      <c r="B3629" t="s">
        <v>8101</v>
      </c>
      <c r="C3629" t="s">
        <v>10847</v>
      </c>
      <c r="D3629" t="s">
        <v>14666</v>
      </c>
      <c r="E3629" s="2">
        <v>6784</v>
      </c>
      <c r="F3629">
        <f>HYPERLINK("https://www2.assemblee-nationale.fr/sycomore/fiche/(num_dept)/8012", "8012.0")</f>
        <v>0</v>
      </c>
      <c r="H3629">
        <f>HYPERLINK("https://www.wikidata.org/wiki/Q16026147", "Q16026147")</f>
        <v>0</v>
      </c>
    </row>
    <row r="3630" spans="1:8">
      <c r="A3630" t="s">
        <v>3636</v>
      </c>
      <c r="B3630" t="s">
        <v>8101</v>
      </c>
      <c r="C3630" t="s">
        <v>10848</v>
      </c>
      <c r="D3630" t="s">
        <v>14667</v>
      </c>
      <c r="E3630" s="2">
        <v>8058</v>
      </c>
      <c r="F3630">
        <f>HYPERLINK("https://www2.assemblee-nationale.fr/sycomore/fiche/(num_dept)/8172", "8172.0")</f>
        <v>0</v>
      </c>
      <c r="G3630">
        <f>HYPERLINK("https://www.senat.fr/senateur-3eme-republique/morel_hippolyte1043r3.html", "morel_hippolyte1043r3")</f>
        <v>0</v>
      </c>
      <c r="H3630">
        <f>HYPERLINK("https://www.wikidata.org/wiki/Q3136093", "Q3136093")</f>
        <v>0</v>
      </c>
    </row>
    <row r="3631" spans="1:8">
      <c r="A3631" t="s">
        <v>3637</v>
      </c>
      <c r="B3631" t="s">
        <v>8101</v>
      </c>
      <c r="C3631" t="s">
        <v>9312</v>
      </c>
      <c r="D3631" t="s">
        <v>14665</v>
      </c>
      <c r="E3631" s="2">
        <v>9900</v>
      </c>
      <c r="F3631">
        <f>HYPERLINK("https://www2.assemblee-nationale.fr/sycomore/fiche/(num_dept)/5410", "5410.0")</f>
        <v>0</v>
      </c>
      <c r="H3631">
        <f>HYPERLINK("https://www.wikidata.org/wiki/Q2627978", "Q2627978")</f>
        <v>0</v>
      </c>
    </row>
    <row r="3632" spans="1:8">
      <c r="A3632" t="s">
        <v>3638</v>
      </c>
      <c r="B3632" t="s">
        <v>8101</v>
      </c>
      <c r="C3632" t="s">
        <v>10849</v>
      </c>
      <c r="D3632" t="s">
        <v>12136</v>
      </c>
      <c r="E3632" s="2">
        <v>12411</v>
      </c>
      <c r="F3632">
        <f>HYPERLINK("https://www2.assemblee-nationale.fr/sycomore/fiche/(num_dept)/5413", "5413.0")</f>
        <v>0</v>
      </c>
      <c r="H3632">
        <f>HYPERLINK("https://www.wikidata.org/wiki/Q3371866", "Q3371866")</f>
        <v>0</v>
      </c>
    </row>
    <row r="3633" spans="1:8">
      <c r="A3633" t="s">
        <v>3639</v>
      </c>
      <c r="B3633" t="s">
        <v>8101</v>
      </c>
      <c r="C3633" t="s">
        <v>9438</v>
      </c>
      <c r="D3633" t="s">
        <v>12101</v>
      </c>
      <c r="E3633" s="2">
        <v>9885</v>
      </c>
      <c r="F3633">
        <f>HYPERLINK("https://www2.assemblee-nationale.fr/sycomore/fiche/(num_dept)/5414", "5414.0")</f>
        <v>0</v>
      </c>
      <c r="H3633">
        <f>HYPERLINK("https://www.wikidata.org/wiki/Q16026151", "Q16026151")</f>
        <v>0</v>
      </c>
    </row>
    <row r="3634" spans="1:8">
      <c r="A3634" t="s">
        <v>3640</v>
      </c>
      <c r="B3634" t="s">
        <v>8101</v>
      </c>
      <c r="C3634" t="s">
        <v>6864</v>
      </c>
      <c r="D3634" t="s">
        <v>14668</v>
      </c>
      <c r="E3634" s="2">
        <v>13897</v>
      </c>
      <c r="F3634">
        <f>HYPERLINK("https://www2.assemblee-nationale.fr/sycomore/fiche/(num_dept)/5409", "5409.0")</f>
        <v>0</v>
      </c>
      <c r="H3634">
        <f>HYPERLINK("https://www.wikidata.org/wiki/Q16026145", "Q16026145")</f>
        <v>0</v>
      </c>
    </row>
    <row r="3635" spans="1:8">
      <c r="A3635" t="s">
        <v>3641</v>
      </c>
      <c r="B3635" t="s">
        <v>8102</v>
      </c>
      <c r="C3635" t="s">
        <v>9851</v>
      </c>
      <c r="D3635" t="s">
        <v>14669</v>
      </c>
      <c r="E3635" s="2">
        <v>10125</v>
      </c>
      <c r="G3635">
        <f>HYPERLINK("https://www.senat.fr/senateur-3eme-republique/morellet_hippolyte0012r3.html", "morellet_hippolyte0012r3")</f>
        <v>0</v>
      </c>
      <c r="H3635">
        <f>HYPERLINK("https://www.wikidata.org/wiki/Q3136098", "Q3136098")</f>
        <v>0</v>
      </c>
    </row>
    <row r="3636" spans="1:8">
      <c r="A3636" t="s">
        <v>3642</v>
      </c>
      <c r="B3636" t="s">
        <v>8103</v>
      </c>
      <c r="C3636" t="s">
        <v>6864</v>
      </c>
      <c r="D3636" t="s">
        <v>14670</v>
      </c>
      <c r="G3636">
        <f>HYPERLINK("https://www.senat.fr/senateur-3eme-republique/morelli_francois0486r3.html", "morelli_francois0486r3")</f>
        <v>0</v>
      </c>
      <c r="H3636">
        <f>HYPERLINK("https://www.wikidata.org/wiki/Q3085402", "Q3085402")</f>
        <v>0</v>
      </c>
    </row>
    <row r="3637" spans="1:8">
      <c r="A3637" t="s">
        <v>3643</v>
      </c>
      <c r="B3637" t="s">
        <v>8104</v>
      </c>
      <c r="C3637" t="s">
        <v>9773</v>
      </c>
      <c r="D3637" t="s">
        <v>14671</v>
      </c>
      <c r="E3637" s="2">
        <v>11017</v>
      </c>
      <c r="F3637">
        <f>HYPERLINK("https://www2.assemblee-nationale.fr/sycomore/fiche/(num_dept)/5416", "5416.0")</f>
        <v>0</v>
      </c>
      <c r="H3637">
        <f>HYPERLINK("https://www.wikidata.org/wiki/Q16026153", "Q16026153")</f>
        <v>0</v>
      </c>
    </row>
    <row r="3638" spans="1:8">
      <c r="A3638" t="s">
        <v>3644</v>
      </c>
      <c r="B3638" t="s">
        <v>8105</v>
      </c>
      <c r="C3638" t="s">
        <v>10850</v>
      </c>
      <c r="D3638" t="s">
        <v>14072</v>
      </c>
      <c r="E3638" t="s">
        <v>16311</v>
      </c>
      <c r="F3638">
        <f>HYPERLINK("https://www2.assemblee-nationale.fr/sycomore/fiche/(num_dept)/7969", "7969.0")</f>
        <v>0</v>
      </c>
      <c r="H3638">
        <f>HYPERLINK("https://www.wikidata.org/wiki/Q16025874", "Q16025874")</f>
        <v>0</v>
      </c>
    </row>
    <row r="3639" spans="1:8">
      <c r="A3639" t="s">
        <v>3645</v>
      </c>
      <c r="B3639" t="s">
        <v>8106</v>
      </c>
      <c r="C3639" t="s">
        <v>7782</v>
      </c>
      <c r="D3639" t="s">
        <v>14672</v>
      </c>
      <c r="E3639" s="2">
        <v>3581</v>
      </c>
      <c r="F3639">
        <f>HYPERLINK("https://www2.assemblee-nationale.fr/sycomore/fiche/(num_dept)/5420", "5420.0")</f>
        <v>0</v>
      </c>
      <c r="H3639">
        <f>HYPERLINK("https://www.wikidata.org/wiki/Q16026155", "Q16026155")</f>
        <v>0</v>
      </c>
    </row>
    <row r="3640" spans="1:8">
      <c r="A3640" t="s">
        <v>3646</v>
      </c>
      <c r="B3640" t="s">
        <v>8107</v>
      </c>
      <c r="C3640" t="s">
        <v>9332</v>
      </c>
      <c r="D3640" t="s">
        <v>14673</v>
      </c>
      <c r="E3640" t="s">
        <v>16312</v>
      </c>
      <c r="F3640">
        <f>HYPERLINK("https://www2.assemblee-nationale.fr/sycomore/fiche/(num_dept)/5424", "5424.0")</f>
        <v>0</v>
      </c>
      <c r="H3640">
        <f>HYPERLINK("https://www.wikidata.org/wiki/Q16026158", "Q16026158")</f>
        <v>0</v>
      </c>
    </row>
    <row r="3641" spans="1:8">
      <c r="A3641" t="s">
        <v>3647</v>
      </c>
      <c r="B3641" t="s">
        <v>8108</v>
      </c>
      <c r="C3641" t="s">
        <v>9312</v>
      </c>
      <c r="D3641" t="s">
        <v>14674</v>
      </c>
      <c r="E3641" s="2">
        <v>7160</v>
      </c>
      <c r="F3641">
        <f>HYPERLINK("https://www2.assemblee-nationale.fr/sycomore/fiche/(num_dept)/5423", "5423.0")</f>
        <v>0</v>
      </c>
      <c r="H3641">
        <f>HYPERLINK("https://www.wikidata.org/wiki/Q3164301", "Q3164301")</f>
        <v>0</v>
      </c>
    </row>
    <row r="3642" spans="1:8">
      <c r="A3642" t="s">
        <v>3648</v>
      </c>
      <c r="B3642" t="s">
        <v>8108</v>
      </c>
      <c r="C3642" t="s">
        <v>9414</v>
      </c>
      <c r="D3642" t="s">
        <v>13024</v>
      </c>
      <c r="E3642" s="2">
        <v>20859</v>
      </c>
      <c r="F3642">
        <f>HYPERLINK("https://www2.assemblee-nationale.fr/sycomore/fiche/(num_dept)/5421", "5421.0")</f>
        <v>0</v>
      </c>
      <c r="H3642">
        <f>HYPERLINK("https://www.wikidata.org/wiki/Q3068631", "Q3068631")</f>
        <v>0</v>
      </c>
    </row>
    <row r="3643" spans="1:8">
      <c r="A3643" t="s">
        <v>3649</v>
      </c>
      <c r="B3643" t="s">
        <v>8109</v>
      </c>
      <c r="C3643" t="s">
        <v>9524</v>
      </c>
      <c r="D3643" t="s">
        <v>14675</v>
      </c>
      <c r="E3643" s="2">
        <v>19044</v>
      </c>
      <c r="F3643">
        <f>HYPERLINK("https://www2.assemblee-nationale.fr/sycomore/fiche/(num_dept)/5425", "5425.0")</f>
        <v>0</v>
      </c>
      <c r="H3643">
        <f>HYPERLINK("https://www.wikidata.org/wiki/Q3588669", "Q3588669")</f>
        <v>0</v>
      </c>
    </row>
    <row r="3644" spans="1:8">
      <c r="A3644" t="s">
        <v>3650</v>
      </c>
      <c r="B3644" t="s">
        <v>8110</v>
      </c>
      <c r="C3644" t="s">
        <v>5096</v>
      </c>
      <c r="D3644" t="s">
        <v>14676</v>
      </c>
      <c r="E3644" s="2">
        <v>15430</v>
      </c>
      <c r="G3644">
        <f>HYPERLINK("https://www.senat.fr/senateur-3eme-republique/morizet_andre1567r3.html", "morizet_andre1567r3")</f>
        <v>0</v>
      </c>
      <c r="H3644">
        <f>HYPERLINK("https://www.wikidata.org/wiki/Q2848326", "Q2848326")</f>
        <v>0</v>
      </c>
    </row>
    <row r="3645" spans="1:8">
      <c r="A3645" t="s">
        <v>3651</v>
      </c>
      <c r="B3645" t="s">
        <v>8111</v>
      </c>
      <c r="C3645" t="s">
        <v>10851</v>
      </c>
      <c r="D3645" t="s">
        <v>14677</v>
      </c>
      <c r="E3645" s="2">
        <v>2578</v>
      </c>
      <c r="F3645">
        <f>HYPERLINK("https://www2.assemblee-nationale.fr/sycomore/fiche/(num_dept)/5430", "5430.0")</f>
        <v>0</v>
      </c>
      <c r="H3645">
        <f>HYPERLINK("https://www.wikidata.org/wiki/Q3260940", "Q3260940")</f>
        <v>0</v>
      </c>
    </row>
    <row r="3646" spans="1:8">
      <c r="A3646" t="s">
        <v>3652</v>
      </c>
      <c r="B3646" t="s">
        <v>8112</v>
      </c>
      <c r="C3646" t="s">
        <v>10852</v>
      </c>
      <c r="D3646" t="s">
        <v>12762</v>
      </c>
      <c r="E3646" s="2">
        <v>20781</v>
      </c>
      <c r="F3646">
        <f>HYPERLINK("https://www2.assemblee-nationale.fr/sycomore/fiche/(num_dept)/5431", "5431.0")</f>
        <v>0</v>
      </c>
      <c r="H3646">
        <f>HYPERLINK("https://www.wikidata.org/wiki/Q365259", "Q365259")</f>
        <v>0</v>
      </c>
    </row>
    <row r="3647" spans="1:8">
      <c r="A3647" t="s">
        <v>3653</v>
      </c>
      <c r="B3647" t="s">
        <v>8113</v>
      </c>
      <c r="C3647" t="s">
        <v>9564</v>
      </c>
      <c r="D3647" t="s">
        <v>14678</v>
      </c>
      <c r="E3647" s="2">
        <v>2274</v>
      </c>
      <c r="F3647">
        <f>HYPERLINK("https://www2.assemblee-nationale.fr/sycomore/fiche/(num_dept)/5433", "5433.0")</f>
        <v>0</v>
      </c>
      <c r="G3647">
        <f>HYPERLINK("https://www.senat.fr/senateur-3eme-republique/moroux_alfred0263r3.html", "moroux_alfred0263r3")</f>
        <v>0</v>
      </c>
      <c r="H3647">
        <f>HYPERLINK("https://www.wikidata.org/wiki/Q2835349", "Q2835349")</f>
        <v>0</v>
      </c>
    </row>
    <row r="3648" spans="1:8">
      <c r="A3648" t="s">
        <v>3654</v>
      </c>
      <c r="B3648" t="s">
        <v>8114</v>
      </c>
      <c r="C3648" t="s">
        <v>8384</v>
      </c>
      <c r="D3648" t="s">
        <v>14679</v>
      </c>
      <c r="E3648" s="2">
        <v>17043</v>
      </c>
      <c r="F3648">
        <f>HYPERLINK("https://www2.assemblee-nationale.fr/sycomore/fiche/(num_dept)/5435", "5435.0")</f>
        <v>0</v>
      </c>
      <c r="H3648">
        <f>HYPERLINK("https://www.wikidata.org/wiki/Q15407395", "Q15407395")</f>
        <v>0</v>
      </c>
    </row>
    <row r="3649" spans="1:8">
      <c r="A3649" t="s">
        <v>3655</v>
      </c>
      <c r="B3649" t="s">
        <v>8115</v>
      </c>
      <c r="C3649" t="s">
        <v>10853</v>
      </c>
      <c r="D3649" t="s">
        <v>14680</v>
      </c>
      <c r="E3649" t="s">
        <v>16313</v>
      </c>
      <c r="F3649">
        <f>HYPERLINK("https://www2.assemblee-nationale.fr/sycomore/fiche/(num_dept)/8013", "8013.0")</f>
        <v>0</v>
      </c>
      <c r="H3649">
        <f>HYPERLINK("https://www.wikidata.org/wiki/Q740782", "Q740782")</f>
        <v>0</v>
      </c>
    </row>
    <row r="3650" spans="1:8">
      <c r="A3650" t="s">
        <v>3656</v>
      </c>
      <c r="B3650" t="s">
        <v>8116</v>
      </c>
      <c r="C3650" t="s">
        <v>9918</v>
      </c>
      <c r="D3650" t="s">
        <v>14681</v>
      </c>
      <c r="E3650" s="2">
        <v>12810</v>
      </c>
      <c r="F3650">
        <f>HYPERLINK("https://www2.assemblee-nationale.fr/sycomore/fiche/(num_dept)/5436", "5436.0")</f>
        <v>0</v>
      </c>
      <c r="H3650">
        <f>HYPERLINK("https://www.wikidata.org/wiki/Q3371243", "Q3371243")</f>
        <v>0</v>
      </c>
    </row>
    <row r="3651" spans="1:8">
      <c r="A3651" t="s">
        <v>3657</v>
      </c>
      <c r="B3651" t="s">
        <v>8117</v>
      </c>
      <c r="C3651" t="s">
        <v>10854</v>
      </c>
      <c r="D3651" t="s">
        <v>14682</v>
      </c>
      <c r="E3651" t="s">
        <v>16314</v>
      </c>
      <c r="F3651">
        <f>HYPERLINK("https://www2.assemblee-nationale.fr/sycomore/fiche/(num_dept)/8119", "8119.0")</f>
        <v>0</v>
      </c>
      <c r="H3651">
        <f>HYPERLINK("https://www.wikidata.org/wiki/Q82730", "Q82730")</f>
        <v>0</v>
      </c>
    </row>
    <row r="3652" spans="1:8">
      <c r="A3652" t="s">
        <v>3658</v>
      </c>
      <c r="B3652" t="s">
        <v>8117</v>
      </c>
      <c r="C3652" t="s">
        <v>9368</v>
      </c>
      <c r="D3652" t="s">
        <v>14683</v>
      </c>
      <c r="E3652" s="2">
        <v>11985</v>
      </c>
      <c r="F3652">
        <f>HYPERLINK("https://www2.assemblee-nationale.fr/sycomore/fiche/(num_dept)/5441", "5441.0")</f>
        <v>0</v>
      </c>
      <c r="H3652">
        <f>HYPERLINK("https://www.wikidata.org/wiki/Q3060053", "Q3060053")</f>
        <v>0</v>
      </c>
    </row>
    <row r="3653" spans="1:8">
      <c r="A3653" t="s">
        <v>3659</v>
      </c>
      <c r="B3653" t="s">
        <v>8118</v>
      </c>
      <c r="C3653" t="s">
        <v>5096</v>
      </c>
      <c r="D3653" t="s">
        <v>14684</v>
      </c>
      <c r="E3653" s="2">
        <v>14959</v>
      </c>
      <c r="F3653">
        <f>HYPERLINK("https://www2.assemblee-nationale.fr/sycomore/fiche/(num_dept)/5442", "5442.0")</f>
        <v>0</v>
      </c>
      <c r="H3653">
        <f>HYPERLINK("https://www.wikidata.org/wiki/Q8327759", "Q8327759")</f>
        <v>0</v>
      </c>
    </row>
    <row r="3654" spans="1:8">
      <c r="A3654" t="s">
        <v>3660</v>
      </c>
      <c r="B3654" t="s">
        <v>8119</v>
      </c>
      <c r="C3654" t="s">
        <v>9355</v>
      </c>
      <c r="D3654" t="s">
        <v>14685</v>
      </c>
      <c r="E3654" s="2">
        <v>4313</v>
      </c>
      <c r="F3654">
        <f>HYPERLINK("https://www2.assemblee-nationale.fr/sycomore/fiche/(num_dept)/5443", "5443.0")</f>
        <v>0</v>
      </c>
      <c r="H3654">
        <f>HYPERLINK("https://www.wikidata.org/wiki/Q16026160", "Q16026160")</f>
        <v>0</v>
      </c>
    </row>
    <row r="3655" spans="1:8">
      <c r="A3655" t="s">
        <v>3661</v>
      </c>
      <c r="B3655" t="s">
        <v>8120</v>
      </c>
      <c r="C3655" t="s">
        <v>7782</v>
      </c>
      <c r="D3655" t="s">
        <v>14686</v>
      </c>
      <c r="E3655" s="2">
        <v>10526</v>
      </c>
      <c r="F3655">
        <f>HYPERLINK("https://www2.assemblee-nationale.fr/sycomore/fiche/(num_dept)/5445", "5445.0")</f>
        <v>0</v>
      </c>
      <c r="G3655">
        <f>HYPERLINK("https://www.senat.fr/senateur-3eme-republique/mougeot_leon0865r3.html", "mougeot_leon0865r3")</f>
        <v>0</v>
      </c>
      <c r="H3655">
        <f>HYPERLINK("https://www.wikidata.org/wiki/Q3271218", "Q3271218")</f>
        <v>0</v>
      </c>
    </row>
    <row r="3656" spans="1:8">
      <c r="A3656" t="s">
        <v>3662</v>
      </c>
      <c r="B3656" t="s">
        <v>8121</v>
      </c>
      <c r="C3656" t="s">
        <v>9602</v>
      </c>
      <c r="D3656" t="s">
        <v>14687</v>
      </c>
      <c r="E3656" s="2">
        <v>4679</v>
      </c>
      <c r="F3656">
        <f>HYPERLINK("https://www2.assemblee-nationale.fr/sycomore/fiche/(num_dept)/5446", "5446.0")</f>
        <v>0</v>
      </c>
      <c r="H3656">
        <f>HYPERLINK("https://www.wikidata.org/wiki/Q15970080", "Q15970080")</f>
        <v>0</v>
      </c>
    </row>
    <row r="3657" spans="1:8">
      <c r="A3657" t="s">
        <v>3663</v>
      </c>
      <c r="B3657" t="s">
        <v>8122</v>
      </c>
      <c r="C3657" t="s">
        <v>10855</v>
      </c>
      <c r="D3657" t="s">
        <v>11958</v>
      </c>
      <c r="E3657" s="2">
        <v>16112</v>
      </c>
      <c r="F3657">
        <f>HYPERLINK("https://www2.assemblee-nationale.fr/sycomore/fiche/(num_dept)/5448", "5448.0")</f>
        <v>0</v>
      </c>
      <c r="H3657">
        <f>HYPERLINK("https://www.wikidata.org/wiki/Q8314140", "Q8314140")</f>
        <v>0</v>
      </c>
    </row>
    <row r="3658" spans="1:8">
      <c r="A3658" t="s">
        <v>3664</v>
      </c>
      <c r="B3658" t="s">
        <v>8123</v>
      </c>
      <c r="C3658" t="s">
        <v>9337</v>
      </c>
      <c r="D3658" t="s">
        <v>14688</v>
      </c>
      <c r="E3658" s="2">
        <v>14948</v>
      </c>
      <c r="G3658">
        <f>HYPERLINK("https://www.senat.fr/senateur-3eme-republique/mounie_auguste1331r3.html", "mounie_auguste1331r3")</f>
        <v>0</v>
      </c>
      <c r="H3658">
        <f>HYPERLINK("https://www.wikidata.org/wiki/Q2871327", "Q2871327")</f>
        <v>0</v>
      </c>
    </row>
    <row r="3659" spans="1:8">
      <c r="A3659" t="s">
        <v>3665</v>
      </c>
      <c r="B3659" t="s">
        <v>8124</v>
      </c>
      <c r="C3659" t="s">
        <v>9337</v>
      </c>
      <c r="D3659" t="s">
        <v>14689</v>
      </c>
      <c r="E3659" s="2">
        <v>14948</v>
      </c>
      <c r="H3659">
        <f>HYPERLINK("https://www.wikidata.org/wiki/Q2871327", "Q2871327")</f>
        <v>0</v>
      </c>
    </row>
    <row r="3660" spans="1:8">
      <c r="A3660" t="s">
        <v>3666</v>
      </c>
      <c r="B3660" t="s">
        <v>8125</v>
      </c>
      <c r="C3660" t="s">
        <v>9743</v>
      </c>
      <c r="D3660" t="s">
        <v>14690</v>
      </c>
      <c r="E3660" s="2">
        <v>17328</v>
      </c>
      <c r="F3660">
        <f>HYPERLINK("https://www2.assemblee-nationale.fr/sycomore/fiche/(num_dept)/5454", "5454.0")</f>
        <v>0</v>
      </c>
      <c r="H3660">
        <f>HYPERLINK("https://www.wikidata.org/wiki/Q87121", "Q87121")</f>
        <v>0</v>
      </c>
    </row>
    <row r="3661" spans="1:8">
      <c r="A3661" t="s">
        <v>3667</v>
      </c>
      <c r="B3661" t="s">
        <v>8126</v>
      </c>
      <c r="C3661" t="s">
        <v>7342</v>
      </c>
      <c r="D3661" t="s">
        <v>13576</v>
      </c>
      <c r="E3661" s="2">
        <v>9839</v>
      </c>
      <c r="F3661">
        <f>HYPERLINK("https://www2.assemblee-nationale.fr/sycomore/fiche/(num_dept)/5455", "5455.0")</f>
        <v>0</v>
      </c>
      <c r="H3661">
        <f>HYPERLINK("https://www.wikidata.org/wiki/Q13080904", "Q13080904")</f>
        <v>0</v>
      </c>
    </row>
    <row r="3662" spans="1:8">
      <c r="A3662" t="s">
        <v>3668</v>
      </c>
      <c r="B3662" t="s">
        <v>8127</v>
      </c>
      <c r="C3662" t="s">
        <v>7754</v>
      </c>
      <c r="D3662" t="s">
        <v>14691</v>
      </c>
      <c r="E3662" s="2">
        <v>21966</v>
      </c>
      <c r="F3662">
        <f>HYPERLINK("https://www2.assemblee-nationale.fr/sycomore/fiche/(num_dept)/5456", "5456.0")</f>
        <v>0</v>
      </c>
      <c r="G3662">
        <f>HYPERLINK("https://www.senat.fr/senateur-3eme-republique/mourier_louis0823r3.html", "mourier_louis0823r3")</f>
        <v>0</v>
      </c>
      <c r="H3662">
        <f>HYPERLINK("https://www.wikidata.org/wiki/Q1871877", "Q1871877")</f>
        <v>0</v>
      </c>
    </row>
    <row r="3663" spans="1:8">
      <c r="A3663" t="s">
        <v>3669</v>
      </c>
      <c r="B3663" t="s">
        <v>8128</v>
      </c>
      <c r="C3663" t="s">
        <v>10692</v>
      </c>
      <c r="D3663" t="s">
        <v>12763</v>
      </c>
      <c r="E3663" s="2">
        <v>13017</v>
      </c>
      <c r="F3663">
        <f>HYPERLINK("https://www2.assemblee-nationale.fr/sycomore/fiche/(num_dept)/5463", "5463.0")</f>
        <v>0</v>
      </c>
      <c r="H3663">
        <f>HYPERLINK("https://www.wikidata.org/wiki/Q3427071", "Q3427071")</f>
        <v>0</v>
      </c>
    </row>
    <row r="3664" spans="1:8">
      <c r="A3664" t="s">
        <v>3670</v>
      </c>
      <c r="B3664" t="s">
        <v>8128</v>
      </c>
      <c r="C3664" t="s">
        <v>10856</v>
      </c>
      <c r="D3664" t="s">
        <v>14692</v>
      </c>
      <c r="E3664" s="2">
        <v>16567</v>
      </c>
      <c r="F3664">
        <f>HYPERLINK("https://www2.assemblee-nationale.fr/sycomore/fiche/(num_dept)/5462", "5462.0")</f>
        <v>0</v>
      </c>
      <c r="H3664">
        <f>HYPERLINK("https://www.wikidata.org/wiki/Q3271673", "Q3271673")</f>
        <v>0</v>
      </c>
    </row>
    <row r="3665" spans="1:8">
      <c r="A3665" t="s">
        <v>3671</v>
      </c>
      <c r="B3665" t="s">
        <v>8129</v>
      </c>
      <c r="C3665" t="s">
        <v>9953</v>
      </c>
      <c r="D3665" t="s">
        <v>14693</v>
      </c>
      <c r="E3665" s="2">
        <v>25140</v>
      </c>
      <c r="F3665">
        <f>HYPERLINK("https://www2.assemblee-nationale.fr/sycomore/fiche/(num_dept)/5466", "5466.0")</f>
        <v>0</v>
      </c>
      <c r="H3665">
        <f>HYPERLINK("https://www.wikidata.org/wiki/Q3293837", "Q3293837")</f>
        <v>0</v>
      </c>
    </row>
    <row r="3666" spans="1:8">
      <c r="A3666" t="s">
        <v>3672</v>
      </c>
      <c r="B3666" t="s">
        <v>8129</v>
      </c>
      <c r="C3666" t="s">
        <v>9405</v>
      </c>
      <c r="D3666" t="s">
        <v>14694</v>
      </c>
      <c r="E3666" s="2">
        <v>15006</v>
      </c>
      <c r="F3666">
        <f>HYPERLINK("https://www2.assemblee-nationale.fr/sycomore/fiche/(num_dept)/5465", "5465.0")</f>
        <v>0</v>
      </c>
      <c r="H3666">
        <f>HYPERLINK("https://www.wikidata.org/wiki/Q16026164", "Q16026164")</f>
        <v>0</v>
      </c>
    </row>
    <row r="3667" spans="1:8">
      <c r="A3667" t="s">
        <v>3673</v>
      </c>
      <c r="B3667" t="s">
        <v>8130</v>
      </c>
      <c r="C3667" t="s">
        <v>10815</v>
      </c>
      <c r="D3667" t="s">
        <v>14695</v>
      </c>
      <c r="E3667" s="2">
        <v>11814</v>
      </c>
      <c r="F3667">
        <f>HYPERLINK("https://www2.assemblee-nationale.fr/sycomore/fiche/(num_dept)/7604", "7604.0")</f>
        <v>0</v>
      </c>
      <c r="H3667">
        <f>HYPERLINK("https://www.wikidata.org/wiki/Q17350218", "Q17350218")</f>
        <v>0</v>
      </c>
    </row>
    <row r="3668" spans="1:8">
      <c r="A3668" t="s">
        <v>3674</v>
      </c>
      <c r="B3668" t="s">
        <v>8131</v>
      </c>
      <c r="C3668" t="s">
        <v>9337</v>
      </c>
      <c r="D3668" t="s">
        <v>14696</v>
      </c>
      <c r="E3668" s="2">
        <v>10547</v>
      </c>
      <c r="F3668">
        <f>HYPERLINK("https://www2.assemblee-nationale.fr/sycomore/fiche/(num_dept)/5473", "5473.0")</f>
        <v>0</v>
      </c>
      <c r="G3668">
        <f>HYPERLINK("https://www.senat.fr/senateur-3eme-republique/mulac_auguste0397r3.html", "mulac_auguste0397r3")</f>
        <v>0</v>
      </c>
      <c r="H3668">
        <f>HYPERLINK("https://www.wikidata.org/wiki/Q2871332", "Q2871332")</f>
        <v>0</v>
      </c>
    </row>
    <row r="3669" spans="1:8">
      <c r="A3669" t="s">
        <v>3675</v>
      </c>
      <c r="B3669" t="s">
        <v>8132</v>
      </c>
      <c r="C3669" t="s">
        <v>9346</v>
      </c>
      <c r="D3669" t="s">
        <v>11560</v>
      </c>
      <c r="E3669" s="2">
        <v>6326</v>
      </c>
      <c r="F3669">
        <f>HYPERLINK("https://www2.assemblee-nationale.fr/sycomore/fiche/(num_dept)/5476", "5476.0")</f>
        <v>0</v>
      </c>
      <c r="H3669">
        <f>HYPERLINK("https://www.wikidata.org/wiki/Q16798522", "Q16798522")</f>
        <v>0</v>
      </c>
    </row>
    <row r="3670" spans="1:8">
      <c r="A3670" t="s">
        <v>3676</v>
      </c>
      <c r="B3670" t="s">
        <v>8132</v>
      </c>
      <c r="C3670" t="s">
        <v>9368</v>
      </c>
      <c r="D3670" t="s">
        <v>14697</v>
      </c>
      <c r="E3670" s="2">
        <v>17546</v>
      </c>
      <c r="F3670">
        <f>HYPERLINK("https://www2.assemblee-nationale.fr/sycomore/fiche/(num_dept)/5478", "5478.0")</f>
        <v>0</v>
      </c>
      <c r="G3670">
        <f>HYPERLINK("https://www.senat.fr/senateur-3eme-republique/muller_eugene1101r3.html", "muller_eugene1101r3")</f>
        <v>0</v>
      </c>
      <c r="H3670">
        <f>HYPERLINK("https://www.wikidata.org/wiki/Q3060060", "Q3060060")</f>
        <v>0</v>
      </c>
    </row>
    <row r="3671" spans="1:8">
      <c r="A3671" t="s">
        <v>3677</v>
      </c>
      <c r="B3671" t="s">
        <v>8132</v>
      </c>
      <c r="C3671" t="s">
        <v>9512</v>
      </c>
      <c r="D3671" t="s">
        <v>14698</v>
      </c>
      <c r="E3671" s="2">
        <v>19327</v>
      </c>
      <c r="F3671">
        <f>HYPERLINK("https://www2.assemblee-nationale.fr/sycomore/fiche/(num_dept)/5479", "5479.0")</f>
        <v>0</v>
      </c>
      <c r="H3671">
        <f>HYPERLINK("https://www.wikidata.org/wiki/Q16026169", "Q16026169")</f>
        <v>0</v>
      </c>
    </row>
    <row r="3672" spans="1:8">
      <c r="A3672" t="s">
        <v>3678</v>
      </c>
      <c r="B3672" t="s">
        <v>8133</v>
      </c>
      <c r="C3672" t="s">
        <v>9430</v>
      </c>
      <c r="D3672" t="s">
        <v>14699</v>
      </c>
      <c r="E3672" s="2">
        <v>3179</v>
      </c>
      <c r="F3672">
        <f>HYPERLINK("https://www2.assemblee-nationale.fr/sycomore/fiche/(num_dept)/5481", "5481.0")</f>
        <v>0</v>
      </c>
      <c r="H3672">
        <f>HYPERLINK("https://www.wikidata.org/wiki/Q16026171", "Q16026171")</f>
        <v>0</v>
      </c>
    </row>
    <row r="3673" spans="1:8">
      <c r="A3673" t="s">
        <v>3679</v>
      </c>
      <c r="B3673" t="s">
        <v>8134</v>
      </c>
      <c r="C3673" t="s">
        <v>10857</v>
      </c>
      <c r="D3673" t="s">
        <v>11514</v>
      </c>
      <c r="E3673" s="2">
        <v>5393</v>
      </c>
      <c r="F3673">
        <f>HYPERLINK("https://www2.assemblee-nationale.fr/sycomore/fiche/(num_dept)/5482", "5482.0")</f>
        <v>0</v>
      </c>
      <c r="H3673">
        <f>HYPERLINK("https://www.wikidata.org/wiki/Q2475967", "Q2475967")</f>
        <v>0</v>
      </c>
    </row>
    <row r="3674" spans="1:8">
      <c r="A3674" t="s">
        <v>3680</v>
      </c>
      <c r="B3674" t="s">
        <v>8134</v>
      </c>
      <c r="C3674" t="s">
        <v>10858</v>
      </c>
      <c r="D3674" t="s">
        <v>14700</v>
      </c>
      <c r="E3674" s="2">
        <v>23079</v>
      </c>
      <c r="F3674">
        <f>HYPERLINK("https://www2.assemblee-nationale.fr/sycomore/fiche/(num_dept)/5483", "5483.0")</f>
        <v>0</v>
      </c>
      <c r="H3674">
        <f>HYPERLINK("https://www.wikidata.org/wiki/Q2899751", "Q2899751")</f>
        <v>0</v>
      </c>
    </row>
    <row r="3675" spans="1:8">
      <c r="A3675" t="s">
        <v>3681</v>
      </c>
      <c r="B3675" t="s">
        <v>8135</v>
      </c>
      <c r="C3675" t="s">
        <v>7754</v>
      </c>
      <c r="D3675" t="s">
        <v>14701</v>
      </c>
      <c r="E3675" t="s">
        <v>16315</v>
      </c>
      <c r="G3675">
        <f>HYPERLINK("https://www.senat.fr/senateur-3eme-republique/munier_louis1133r3.html", "munier_louis1133r3")</f>
        <v>0</v>
      </c>
      <c r="H3675">
        <f>HYPERLINK("https://www.wikidata.org/wiki/Q3262764", "Q3262764")</f>
        <v>0</v>
      </c>
    </row>
    <row r="3676" spans="1:8">
      <c r="A3676" t="s">
        <v>3682</v>
      </c>
      <c r="B3676" t="s">
        <v>8136</v>
      </c>
      <c r="C3676" t="s">
        <v>10079</v>
      </c>
      <c r="D3676" t="s">
        <v>14702</v>
      </c>
      <c r="E3676" s="2">
        <v>4071</v>
      </c>
      <c r="F3676">
        <f>HYPERLINK("https://www2.assemblee-nationale.fr/sycomore/fiche/(num_dept)/8015", "8015.0")</f>
        <v>0</v>
      </c>
      <c r="H3676">
        <f>HYPERLINK("https://www.wikidata.org/wiki/Q15971975", "Q15971975")</f>
        <v>0</v>
      </c>
    </row>
    <row r="3677" spans="1:8">
      <c r="A3677" t="s">
        <v>3683</v>
      </c>
      <c r="B3677" t="s">
        <v>8137</v>
      </c>
      <c r="C3677" t="s">
        <v>9332</v>
      </c>
      <c r="D3677" t="s">
        <v>14703</v>
      </c>
      <c r="E3677" s="2">
        <v>3565</v>
      </c>
      <c r="F3677">
        <f>HYPERLINK("https://www2.assemblee-nationale.fr/sycomore/fiche/(num_dept)/5484", "5484.0")</f>
        <v>0</v>
      </c>
      <c r="H3677">
        <f>HYPERLINK("https://www.wikidata.org/wiki/Q16026173", "Q16026173")</f>
        <v>0</v>
      </c>
    </row>
    <row r="3678" spans="1:8">
      <c r="A3678" t="s">
        <v>3684</v>
      </c>
      <c r="B3678" t="s">
        <v>8138</v>
      </c>
      <c r="C3678" t="s">
        <v>10859</v>
      </c>
      <c r="D3678" t="s">
        <v>14704</v>
      </c>
      <c r="E3678" s="2">
        <v>1645</v>
      </c>
      <c r="G3678">
        <f>HYPERLINK("https://www.senat.fr/senateur-3eme-republique/muracciole_ange0487r3.html", "muracciole_ange0487r3")</f>
        <v>0</v>
      </c>
      <c r="H3678">
        <f>HYPERLINK("https://www.wikidata.org/wiki/Q2849293", "Q2849293")</f>
        <v>0</v>
      </c>
    </row>
    <row r="3679" spans="1:8">
      <c r="A3679" t="s">
        <v>3685</v>
      </c>
      <c r="B3679" t="s">
        <v>8139</v>
      </c>
      <c r="C3679" t="s">
        <v>10860</v>
      </c>
      <c r="D3679" t="s">
        <v>14705</v>
      </c>
      <c r="E3679" s="2">
        <v>1534</v>
      </c>
      <c r="F3679">
        <f>HYPERLINK("https://www2.assemblee-nationale.fr/sycomore/fiche/(num_dept)/9219", "9219.0")</f>
        <v>0</v>
      </c>
      <c r="H3679">
        <f>HYPERLINK("https://www.wikidata.org/wiki/Q3179471", "Q3179471")</f>
        <v>0</v>
      </c>
    </row>
    <row r="3680" spans="1:8">
      <c r="A3680" t="s">
        <v>3686</v>
      </c>
      <c r="B3680" t="s">
        <v>8140</v>
      </c>
      <c r="C3680" t="s">
        <v>7001</v>
      </c>
      <c r="D3680" t="s">
        <v>14706</v>
      </c>
      <c r="E3680" s="2">
        <v>6933</v>
      </c>
      <c r="G3680">
        <f>HYPERLINK("https://www.senat.fr/senateur-3eme-republique/murat_georges0133r3.html", "murat_georges0133r3")</f>
        <v>0</v>
      </c>
      <c r="H3680">
        <f>HYPERLINK("https://www.wikidata.org/wiki/Q3103246", "Q3103246")</f>
        <v>0</v>
      </c>
    </row>
    <row r="3681" spans="1:8">
      <c r="A3681" t="s">
        <v>3687</v>
      </c>
      <c r="B3681" t="s">
        <v>8139</v>
      </c>
      <c r="C3681" t="s">
        <v>10861</v>
      </c>
      <c r="D3681" t="s">
        <v>14707</v>
      </c>
      <c r="E3681" s="2">
        <v>14011</v>
      </c>
      <c r="F3681">
        <f>HYPERLINK("https://www2.assemblee-nationale.fr/sycomore/fiche/(num_dept)/5487", "5487.0")</f>
        <v>0</v>
      </c>
      <c r="H3681">
        <f>HYPERLINK("https://www.wikidata.org/wiki/Q3179490", "Q3179490")</f>
        <v>0</v>
      </c>
    </row>
    <row r="3682" spans="1:8">
      <c r="A3682" t="s">
        <v>3688</v>
      </c>
      <c r="B3682" t="s">
        <v>8141</v>
      </c>
      <c r="C3682" t="s">
        <v>7754</v>
      </c>
      <c r="D3682" t="s">
        <v>14708</v>
      </c>
      <c r="E3682" s="2">
        <v>14011</v>
      </c>
      <c r="G3682">
        <f>HYPERLINK("https://www.senat.fr/senateur-3eme-republique/muret_louis1657r3.html", "muret_louis1657r3")</f>
        <v>0</v>
      </c>
      <c r="H3682">
        <f>HYPERLINK("https://www.wikidata.org/wiki/Q3262767", "Q3262767")</f>
        <v>0</v>
      </c>
    </row>
    <row r="3683" spans="1:8">
      <c r="A3683" t="s">
        <v>3689</v>
      </c>
      <c r="B3683" t="s">
        <v>8142</v>
      </c>
      <c r="C3683" t="s">
        <v>9429</v>
      </c>
      <c r="D3683" t="s">
        <v>14709</v>
      </c>
      <c r="E3683" s="2">
        <v>25084</v>
      </c>
      <c r="G3683">
        <f>HYPERLINK("https://www.senat.fr/senateur-3eme-republique/musso_alexandre0483r3.html", "musso_alexandre0483r3")</f>
        <v>0</v>
      </c>
      <c r="H3683">
        <f>HYPERLINK("https://www.wikidata.org/wiki/Q2833896", "Q2833896")</f>
        <v>0</v>
      </c>
    </row>
    <row r="3684" spans="1:8">
      <c r="A3684" t="s">
        <v>3690</v>
      </c>
      <c r="B3684" t="s">
        <v>8143</v>
      </c>
      <c r="C3684" t="s">
        <v>9564</v>
      </c>
      <c r="D3684" t="s">
        <v>14710</v>
      </c>
      <c r="E3684" s="2">
        <v>5943</v>
      </c>
      <c r="F3684">
        <f>HYPERLINK("https://www2.assemblee-nationale.fr/sycomore/fiche/(num_dept)/5491", "5491.0")</f>
        <v>0</v>
      </c>
      <c r="H3684">
        <f>HYPERLINK("https://www.wikidata.org/wiki/Q8308367", "Q8308367")</f>
        <v>0</v>
      </c>
    </row>
    <row r="3685" spans="1:8">
      <c r="A3685" t="s">
        <v>3691</v>
      </c>
      <c r="B3685" t="s">
        <v>8144</v>
      </c>
      <c r="C3685" t="s">
        <v>9954</v>
      </c>
      <c r="D3685" t="s">
        <v>14711</v>
      </c>
      <c r="E3685" s="2">
        <v>12751</v>
      </c>
      <c r="F3685">
        <f>HYPERLINK("https://www2.assemblee-nationale.fr/sycomore/fiche/(num_dept)/5493", "5493.0")</f>
        <v>0</v>
      </c>
      <c r="H3685">
        <f>HYPERLINK("https://www.wikidata.org/wiki/Q2834593", "Q2834593")</f>
        <v>0</v>
      </c>
    </row>
    <row r="3686" spans="1:8">
      <c r="A3686" t="s">
        <v>3692</v>
      </c>
      <c r="B3686" t="s">
        <v>8145</v>
      </c>
      <c r="C3686" t="s">
        <v>10862</v>
      </c>
      <c r="D3686" t="s">
        <v>14712</v>
      </c>
      <c r="E3686" s="2">
        <v>14772</v>
      </c>
      <c r="F3686">
        <f>HYPERLINK("https://www2.assemblee-nationale.fr/sycomore/fiche/(num_dept)/4180", "4180.0")</f>
        <v>0</v>
      </c>
      <c r="H3686">
        <f>HYPERLINK("https://www.wikidata.org/wiki/Q3436672", "Q3436672")</f>
        <v>0</v>
      </c>
    </row>
    <row r="3687" spans="1:8">
      <c r="A3687" t="s">
        <v>3693</v>
      </c>
      <c r="B3687" t="s">
        <v>8146</v>
      </c>
      <c r="C3687" t="s">
        <v>8384</v>
      </c>
      <c r="D3687" t="s">
        <v>14713</v>
      </c>
      <c r="E3687" s="2">
        <v>14804</v>
      </c>
      <c r="F3687">
        <f>HYPERLINK("https://www2.assemblee-nationale.fr/sycomore/fiche/(num_dept)/5495", "5495.0")</f>
        <v>0</v>
      </c>
      <c r="H3687">
        <f>HYPERLINK("https://www.wikidata.org/wiki/Q16026178", "Q16026178")</f>
        <v>0</v>
      </c>
    </row>
    <row r="3688" spans="1:8">
      <c r="A3688" t="s">
        <v>3694</v>
      </c>
      <c r="B3688" t="s">
        <v>8147</v>
      </c>
      <c r="C3688" t="s">
        <v>7342</v>
      </c>
      <c r="D3688" t="s">
        <v>14714</v>
      </c>
      <c r="E3688" s="2">
        <v>9258</v>
      </c>
      <c r="F3688">
        <f>HYPERLINK("https://www2.assemblee-nationale.fr/sycomore/fiche/(num_dept)/5159", "5159.0")</f>
        <v>0</v>
      </c>
      <c r="H3688">
        <f>HYPERLINK("https://www.wikidata.org/wiki/Q16026081", "Q16026081")</f>
        <v>0</v>
      </c>
    </row>
    <row r="3689" spans="1:8">
      <c r="A3689" t="s">
        <v>3695</v>
      </c>
      <c r="B3689" t="s">
        <v>8147</v>
      </c>
      <c r="C3689" t="s">
        <v>9324</v>
      </c>
      <c r="D3689" t="s">
        <v>14715</v>
      </c>
      <c r="E3689" s="2">
        <v>20546</v>
      </c>
      <c r="F3689">
        <f>HYPERLINK("https://www2.assemblee-nationale.fr/sycomore/fiche/(num_dept)/5158", "5158.0")</f>
        <v>0</v>
      </c>
      <c r="H3689">
        <f>HYPERLINK("https://www.wikidata.org/wiki/Q12948758", "Q12948758")</f>
        <v>0</v>
      </c>
    </row>
    <row r="3690" spans="1:8">
      <c r="A3690" t="s">
        <v>3696</v>
      </c>
      <c r="B3690" t="s">
        <v>8148</v>
      </c>
      <c r="C3690" t="s">
        <v>7342</v>
      </c>
      <c r="D3690" t="s">
        <v>14529</v>
      </c>
      <c r="E3690" s="2">
        <v>24094</v>
      </c>
      <c r="F3690">
        <f>HYPERLINK("https://www2.assemblee-nationale.fr/sycomore/fiche/(num_dept)/5157", "5157.0")</f>
        <v>0</v>
      </c>
      <c r="H3690">
        <f>HYPERLINK("https://www.wikidata.org/wiki/Q3173654", "Q3173654")</f>
        <v>0</v>
      </c>
    </row>
    <row r="3691" spans="1:8">
      <c r="A3691" t="s">
        <v>3697</v>
      </c>
      <c r="B3691" t="s">
        <v>8149</v>
      </c>
      <c r="C3691" t="s">
        <v>8384</v>
      </c>
      <c r="D3691" t="s">
        <v>14716</v>
      </c>
      <c r="E3691" s="2">
        <v>10920</v>
      </c>
      <c r="F3691">
        <f>HYPERLINK("https://www2.assemblee-nationale.fr/sycomore/fiche/(num_dept)/5167", "5167.0")</f>
        <v>0</v>
      </c>
      <c r="H3691">
        <f>HYPERLINK("https://www.wikidata.org/wiki/Q3386394", "Q3386394")</f>
        <v>0</v>
      </c>
    </row>
    <row r="3692" spans="1:8">
      <c r="A3692" t="s">
        <v>3698</v>
      </c>
      <c r="B3692" t="s">
        <v>8150</v>
      </c>
      <c r="C3692" t="s">
        <v>9471</v>
      </c>
      <c r="D3692" t="s">
        <v>14533</v>
      </c>
      <c r="E3692" s="2">
        <v>9487</v>
      </c>
      <c r="F3692">
        <f>HYPERLINK("https://www2.assemblee-nationale.fr/sycomore/fiche/(num_dept)/5168", "5168.0")</f>
        <v>0</v>
      </c>
      <c r="H3692">
        <f>HYPERLINK("https://www.wikidata.org/wiki/Q459914", "Q459914")</f>
        <v>0</v>
      </c>
    </row>
    <row r="3693" spans="1:8">
      <c r="A3693" t="s">
        <v>3699</v>
      </c>
      <c r="B3693" t="s">
        <v>8151</v>
      </c>
      <c r="C3693" t="s">
        <v>10863</v>
      </c>
      <c r="D3693" t="s">
        <v>13216</v>
      </c>
      <c r="E3693" s="2">
        <v>2663</v>
      </c>
      <c r="F3693">
        <f>HYPERLINK("https://www2.assemblee-nationale.fr/sycomore/fiche/(num_dept)/5175", "5175.0")</f>
        <v>0</v>
      </c>
      <c r="H3693">
        <f>HYPERLINK("https://www.wikidata.org/wiki/Q3371888", "Q3371888")</f>
        <v>0</v>
      </c>
    </row>
    <row r="3694" spans="1:8">
      <c r="A3694" t="s">
        <v>3700</v>
      </c>
      <c r="B3694" t="s">
        <v>8152</v>
      </c>
      <c r="C3694" t="s">
        <v>10864</v>
      </c>
      <c r="D3694" t="s">
        <v>12620</v>
      </c>
      <c r="E3694" s="2">
        <v>4269</v>
      </c>
      <c r="F3694">
        <f>HYPERLINK("https://www2.assemblee-nationale.fr/sycomore/fiche/(num_dept)/5174", "5174.0")</f>
        <v>0</v>
      </c>
      <c r="H3694">
        <f>HYPERLINK("https://www.wikidata.org/wiki/Q3185397", "Q3185397")</f>
        <v>0</v>
      </c>
    </row>
    <row r="3695" spans="1:8">
      <c r="A3695" t="s">
        <v>3701</v>
      </c>
      <c r="B3695" t="s">
        <v>8153</v>
      </c>
      <c r="C3695" t="s">
        <v>10865</v>
      </c>
      <c r="D3695" t="s">
        <v>14717</v>
      </c>
      <c r="E3695" s="2">
        <v>17552</v>
      </c>
      <c r="F3695">
        <f>HYPERLINK("https://www2.assemblee-nationale.fr/sycomore/fiche/(num_dept)/5181", "5181.0")</f>
        <v>0</v>
      </c>
      <c r="H3695">
        <f>HYPERLINK("https://www.wikidata.org/wiki/Q16026083", "Q16026083")</f>
        <v>0</v>
      </c>
    </row>
    <row r="3696" spans="1:8">
      <c r="A3696" t="s">
        <v>3702</v>
      </c>
      <c r="B3696" t="s">
        <v>8154</v>
      </c>
      <c r="C3696" t="s">
        <v>9471</v>
      </c>
      <c r="D3696" t="s">
        <v>14718</v>
      </c>
      <c r="E3696" t="s">
        <v>16316</v>
      </c>
      <c r="H3696">
        <f>HYPERLINK("https://www.wikidata.org/wiki/Q3188815", "Q3188815")</f>
        <v>0</v>
      </c>
    </row>
    <row r="3697" spans="1:8">
      <c r="A3697" t="s">
        <v>3703</v>
      </c>
      <c r="B3697" t="s">
        <v>8155</v>
      </c>
      <c r="C3697" t="s">
        <v>9359</v>
      </c>
      <c r="D3697" t="s">
        <v>14719</v>
      </c>
      <c r="E3697" s="2">
        <v>7152</v>
      </c>
      <c r="F3697">
        <f>HYPERLINK("https://www2.assemblee-nationale.fr/sycomore/fiche/(num_dept)/5186", "5186.0")</f>
        <v>0</v>
      </c>
      <c r="H3697">
        <f>HYPERLINK("https://www.wikidata.org/wiki/Q15971947", "Q15971947")</f>
        <v>0</v>
      </c>
    </row>
    <row r="3698" spans="1:8">
      <c r="A3698" t="s">
        <v>3704</v>
      </c>
      <c r="B3698" t="s">
        <v>8156</v>
      </c>
      <c r="C3698" t="s">
        <v>9357</v>
      </c>
      <c r="D3698" t="s">
        <v>14720</v>
      </c>
      <c r="E3698" s="2">
        <v>9367</v>
      </c>
      <c r="F3698">
        <f>HYPERLINK("https://www2.assemblee-nationale.fr/sycomore/fiche/(num_dept)/5200", "5200.0")</f>
        <v>0</v>
      </c>
      <c r="H3698">
        <f>HYPERLINK("https://www.wikidata.org/wiki/Q15711646", "Q15711646")</f>
        <v>0</v>
      </c>
    </row>
    <row r="3699" spans="1:8">
      <c r="A3699" t="s">
        <v>3705</v>
      </c>
      <c r="B3699" t="s">
        <v>8157</v>
      </c>
      <c r="C3699" t="s">
        <v>9857</v>
      </c>
      <c r="D3699" t="s">
        <v>14721</v>
      </c>
      <c r="E3699" s="2">
        <v>10548</v>
      </c>
      <c r="F3699">
        <f>HYPERLINK("https://www2.assemblee-nationale.fr/sycomore/fiche/(num_dept)/5201", "5201.0")</f>
        <v>0</v>
      </c>
      <c r="H3699">
        <f>HYPERLINK("https://www.wikidata.org/wiki/Q3155322", "Q3155322")</f>
        <v>0</v>
      </c>
    </row>
    <row r="3700" spans="1:8">
      <c r="A3700" t="s">
        <v>3706</v>
      </c>
      <c r="B3700" t="s">
        <v>8158</v>
      </c>
      <c r="C3700" t="s">
        <v>10866</v>
      </c>
      <c r="D3700" t="s">
        <v>14722</v>
      </c>
      <c r="E3700" s="2">
        <v>16502</v>
      </c>
      <c r="F3700">
        <f>HYPERLINK("https://www2.assemblee-nationale.fr/sycomore/fiche/(num_dept)/5225", "5225.0")</f>
        <v>0</v>
      </c>
      <c r="H3700">
        <f>HYPERLINK("https://www.wikidata.org/wiki/Q3103251", "Q3103251")</f>
        <v>0</v>
      </c>
    </row>
    <row r="3701" spans="1:8">
      <c r="A3701" t="s">
        <v>3707</v>
      </c>
      <c r="B3701" t="s">
        <v>8159</v>
      </c>
      <c r="C3701" t="s">
        <v>5058</v>
      </c>
      <c r="D3701" t="s">
        <v>14723</v>
      </c>
      <c r="E3701" s="2">
        <v>6802</v>
      </c>
      <c r="F3701">
        <f>HYPERLINK("https://www2.assemblee-nationale.fr/sycomore/fiche/(num_dept)/5228", "5228.0")</f>
        <v>0</v>
      </c>
      <c r="H3701">
        <f>HYPERLINK("https://www.wikidata.org/wiki/Q2831425", "Q2831425")</f>
        <v>0</v>
      </c>
    </row>
    <row r="3702" spans="1:8">
      <c r="A3702" t="s">
        <v>3708</v>
      </c>
      <c r="B3702" t="s">
        <v>8160</v>
      </c>
      <c r="C3702" t="s">
        <v>10867</v>
      </c>
      <c r="D3702" t="s">
        <v>14567</v>
      </c>
      <c r="E3702" s="2">
        <v>5762</v>
      </c>
      <c r="F3702">
        <f>HYPERLINK("https://www2.assemblee-nationale.fr/sycomore/fiche/(num_dept)/5247", "5247.0")</f>
        <v>0</v>
      </c>
      <c r="H3702">
        <f>HYPERLINK("https://www.wikidata.org/wiki/Q2835365", "Q2835365")</f>
        <v>0</v>
      </c>
    </row>
    <row r="3703" spans="1:8">
      <c r="A3703" t="s">
        <v>3709</v>
      </c>
      <c r="B3703" t="s">
        <v>8161</v>
      </c>
      <c r="C3703" t="s">
        <v>10868</v>
      </c>
      <c r="D3703" t="s">
        <v>14724</v>
      </c>
      <c r="E3703" s="2">
        <v>17588</v>
      </c>
      <c r="F3703">
        <f>HYPERLINK("https://www2.assemblee-nationale.fr/sycomore/fiche/(num_dept)/6445", "6445.0")</f>
        <v>0</v>
      </c>
      <c r="H3703">
        <f>HYPERLINK("https://www.wikidata.org/wiki/Q3175816", "Q3175816")</f>
        <v>0</v>
      </c>
    </row>
    <row r="3704" spans="1:8">
      <c r="A3704" t="s">
        <v>3710</v>
      </c>
      <c r="B3704" t="s">
        <v>8162</v>
      </c>
      <c r="C3704" t="s">
        <v>7899</v>
      </c>
      <c r="D3704" t="s">
        <v>14725</v>
      </c>
      <c r="E3704" t="s">
        <v>16317</v>
      </c>
      <c r="F3704">
        <f>HYPERLINK("https://www2.assemblee-nationale.fr/sycomore/fiche/(num_dept)/5497", "5497.0")</f>
        <v>0</v>
      </c>
      <c r="H3704">
        <f>HYPERLINK("https://www.wikidata.org/wiki/Q3295568", "Q3295568")</f>
        <v>0</v>
      </c>
    </row>
    <row r="3705" spans="1:8">
      <c r="A3705" t="s">
        <v>3711</v>
      </c>
      <c r="B3705" t="s">
        <v>8163</v>
      </c>
      <c r="C3705" t="s">
        <v>10160</v>
      </c>
      <c r="D3705" t="s">
        <v>14726</v>
      </c>
      <c r="E3705" s="2">
        <v>31165</v>
      </c>
      <c r="F3705">
        <f>HYPERLINK("https://www2.assemblee-nationale.fr/sycomore/fiche/(num_dept)/5498", "5498.0")</f>
        <v>0</v>
      </c>
      <c r="H3705">
        <f>HYPERLINK("https://www.wikidata.org/wiki/Q3134607", "Q3134607")</f>
        <v>0</v>
      </c>
    </row>
    <row r="3706" spans="1:8">
      <c r="A3706" t="s">
        <v>3712</v>
      </c>
      <c r="B3706" t="s">
        <v>8164</v>
      </c>
      <c r="C3706" t="s">
        <v>10869</v>
      </c>
      <c r="D3706" t="s">
        <v>14727</v>
      </c>
      <c r="E3706" s="2">
        <v>10540</v>
      </c>
      <c r="F3706">
        <f>HYPERLINK("https://www2.assemblee-nationale.fr/sycomore/fiche/(num_dept)/5499", "5499.0")</f>
        <v>0</v>
      </c>
      <c r="H3706">
        <f>HYPERLINK("https://www.wikidata.org/wiki/Q3188821", "Q3188821")</f>
        <v>0</v>
      </c>
    </row>
    <row r="3707" spans="1:8">
      <c r="A3707" t="s">
        <v>3713</v>
      </c>
      <c r="B3707" t="s">
        <v>8165</v>
      </c>
      <c r="C3707" t="s">
        <v>7754</v>
      </c>
      <c r="D3707" t="s">
        <v>14728</v>
      </c>
      <c r="E3707" s="2">
        <v>7604</v>
      </c>
      <c r="F3707">
        <f>HYPERLINK("https://www2.assemblee-nationale.fr/sycomore/fiche/(num_dept)/5502", "5502.0")</f>
        <v>0</v>
      </c>
      <c r="H3707">
        <f>HYPERLINK("https://www.wikidata.org/wiki/Q3262775", "Q3262775")</f>
        <v>0</v>
      </c>
    </row>
    <row r="3708" spans="1:8">
      <c r="A3708" t="s">
        <v>3714</v>
      </c>
      <c r="B3708" t="s">
        <v>8165</v>
      </c>
      <c r="C3708" t="s">
        <v>10870</v>
      </c>
      <c r="D3708" t="s">
        <v>14729</v>
      </c>
      <c r="E3708" s="2">
        <v>19230</v>
      </c>
      <c r="F3708">
        <f>HYPERLINK("https://www2.assemblee-nationale.fr/sycomore/fiche/(num_dept)/7758", "7758.0")</f>
        <v>0</v>
      </c>
      <c r="H3708">
        <f>HYPERLINK("https://www.wikidata.org/wiki/Q3262480", "Q3262480")</f>
        <v>0</v>
      </c>
    </row>
    <row r="3709" spans="1:8">
      <c r="A3709" t="s">
        <v>3715</v>
      </c>
      <c r="B3709" t="s">
        <v>8166</v>
      </c>
      <c r="C3709" t="s">
        <v>6686</v>
      </c>
      <c r="D3709" t="s">
        <v>14730</v>
      </c>
      <c r="E3709" s="2">
        <v>23858</v>
      </c>
      <c r="F3709">
        <f>HYPERLINK("https://www2.assemblee-nationale.fr/sycomore/fiche/(num_dept)/5505", "5505.0")</f>
        <v>0</v>
      </c>
      <c r="H3709">
        <f>HYPERLINK("https://www.wikidata.org/wiki/Q3592297", "Q3592297")</f>
        <v>0</v>
      </c>
    </row>
    <row r="3710" spans="1:8">
      <c r="A3710" t="s">
        <v>3716</v>
      </c>
      <c r="B3710" t="s">
        <v>8167</v>
      </c>
      <c r="C3710" t="s">
        <v>10033</v>
      </c>
      <c r="D3710" t="s">
        <v>14731</v>
      </c>
      <c r="E3710" s="2">
        <v>6159</v>
      </c>
      <c r="F3710">
        <f>HYPERLINK("https://www2.assemblee-nationale.fr/sycomore/fiche/(num_dept)/5506", "5506.0")</f>
        <v>0</v>
      </c>
      <c r="G3710">
        <f>HYPERLINK("https://www.senat.fr/senateur-3eme-republique/naquet_alfred1708r3.html", "naquet_alfred1708r3")</f>
        <v>0</v>
      </c>
      <c r="H3710">
        <f>HYPERLINK("https://www.wikidata.org/wiki/Q2340682", "Q2340682")</f>
        <v>0</v>
      </c>
    </row>
    <row r="3711" spans="1:8">
      <c r="A3711" t="s">
        <v>3717</v>
      </c>
      <c r="B3711" t="s">
        <v>8168</v>
      </c>
      <c r="C3711" t="s">
        <v>9430</v>
      </c>
      <c r="D3711" t="s">
        <v>14732</v>
      </c>
      <c r="E3711" s="2">
        <v>2856</v>
      </c>
      <c r="F3711">
        <f>HYPERLINK("https://www2.assemblee-nationale.fr/sycomore/fiche/(num_dept)/5507", "5507.0")</f>
        <v>0</v>
      </c>
      <c r="H3711">
        <f>HYPERLINK("https://www.wikidata.org/wiki/Q16026180", "Q16026180")</f>
        <v>0</v>
      </c>
    </row>
    <row r="3712" spans="1:8">
      <c r="A3712" t="s">
        <v>3718</v>
      </c>
      <c r="B3712" t="s">
        <v>8169</v>
      </c>
      <c r="C3712" t="s">
        <v>10871</v>
      </c>
      <c r="D3712" t="s">
        <v>14733</v>
      </c>
      <c r="E3712" s="2">
        <v>6882</v>
      </c>
      <c r="F3712">
        <f>HYPERLINK("https://www2.assemblee-nationale.fr/sycomore/fiche/(num_dept)/5998", "5998.0")</f>
        <v>0</v>
      </c>
      <c r="H3712">
        <f>HYPERLINK("https://www.wikidata.org/wiki/Q13091115", "Q13091115")</f>
        <v>0</v>
      </c>
    </row>
    <row r="3713" spans="1:8">
      <c r="A3713" t="s">
        <v>3719</v>
      </c>
      <c r="B3713" t="s">
        <v>8170</v>
      </c>
      <c r="C3713" t="s">
        <v>5058</v>
      </c>
      <c r="D3713" t="s">
        <v>14734</v>
      </c>
      <c r="E3713" s="2">
        <v>21020</v>
      </c>
      <c r="F3713">
        <f>HYPERLINK("https://www2.assemblee-nationale.fr/sycomore/fiche/(num_dept)/5511", "5511.0")</f>
        <v>0</v>
      </c>
      <c r="H3713">
        <f>HYPERLINK("https://www.wikidata.org/wiki/Q13077217", "Q13077217")</f>
        <v>0</v>
      </c>
    </row>
    <row r="3714" spans="1:8">
      <c r="A3714" t="s">
        <v>3720</v>
      </c>
      <c r="B3714" t="s">
        <v>8171</v>
      </c>
      <c r="C3714" t="s">
        <v>10026</v>
      </c>
      <c r="D3714" t="s">
        <v>14735</v>
      </c>
      <c r="E3714" s="2">
        <v>24529</v>
      </c>
      <c r="G3714">
        <f>HYPERLINK("https://www.senat.fr/senateur-3eme-republique/naudin_achille1257r3.html", "naudin_achille1257r3")</f>
        <v>0</v>
      </c>
      <c r="H3714">
        <f>HYPERLINK("https://www.wikidata.org/wiki/Q2823084", "Q2823084")</f>
        <v>0</v>
      </c>
    </row>
    <row r="3715" spans="1:8">
      <c r="A3715" t="s">
        <v>3721</v>
      </c>
      <c r="B3715" t="s">
        <v>8172</v>
      </c>
      <c r="C3715" t="s">
        <v>7754</v>
      </c>
      <c r="D3715" t="s">
        <v>14736</v>
      </c>
      <c r="E3715" s="2">
        <v>7998</v>
      </c>
      <c r="F3715">
        <f>HYPERLINK("https://www2.assemblee-nationale.fr/sycomore/fiche/(num_dept)/5517", "5517.0")</f>
        <v>0</v>
      </c>
      <c r="H3715">
        <f>HYPERLINK("https://www.wikidata.org/wiki/Q13080935", "Q13080935")</f>
        <v>0</v>
      </c>
    </row>
    <row r="3716" spans="1:8">
      <c r="A3716" t="s">
        <v>3722</v>
      </c>
      <c r="B3716" t="s">
        <v>8173</v>
      </c>
      <c r="C3716" t="s">
        <v>9548</v>
      </c>
      <c r="D3716" t="s">
        <v>13129</v>
      </c>
      <c r="E3716" s="2">
        <v>10833</v>
      </c>
      <c r="F3716">
        <f>HYPERLINK("https://www2.assemblee-nationale.fr/sycomore/fiche/(num_dept)/5521", "5521.0")</f>
        <v>0</v>
      </c>
      <c r="H3716">
        <f>HYPERLINK("https://www.wikidata.org/wiki/Q16026182", "Q16026182")</f>
        <v>0</v>
      </c>
    </row>
    <row r="3717" spans="1:8">
      <c r="A3717" t="s">
        <v>3723</v>
      </c>
      <c r="B3717" t="s">
        <v>8174</v>
      </c>
      <c r="C3717" t="s">
        <v>7754</v>
      </c>
      <c r="D3717" t="s">
        <v>14737</v>
      </c>
      <c r="E3717" s="2">
        <v>16062</v>
      </c>
      <c r="G3717">
        <f>HYPERLINK("https://www.senat.fr/senateur-3eme-republique/negre_louis0245r3.html", "negre_louis0245r3")</f>
        <v>0</v>
      </c>
      <c r="H3717">
        <f>HYPERLINK("https://www.wikidata.org/wiki/Q3262809", "Q3262809")</f>
        <v>0</v>
      </c>
    </row>
    <row r="3718" spans="1:8">
      <c r="A3718" t="s">
        <v>3724</v>
      </c>
      <c r="B3718" t="s">
        <v>8175</v>
      </c>
      <c r="C3718" t="s">
        <v>9346</v>
      </c>
      <c r="D3718" t="s">
        <v>14738</v>
      </c>
      <c r="E3718" s="2">
        <v>16441</v>
      </c>
      <c r="G3718">
        <f>HYPERLINK("https://www.senat.fr/senateur-3eme-republique/neron_edouard0523r3.html", "neron_edouard0523r3")</f>
        <v>0</v>
      </c>
      <c r="H3718">
        <f>HYPERLINK("https://www.wikidata.org/wiki/Q3579976", "Q3579976")</f>
        <v>0</v>
      </c>
    </row>
    <row r="3719" spans="1:8">
      <c r="A3719" t="s">
        <v>3725</v>
      </c>
      <c r="B3719" t="s">
        <v>8176</v>
      </c>
      <c r="C3719" t="s">
        <v>9332</v>
      </c>
      <c r="D3719" t="s">
        <v>14739</v>
      </c>
      <c r="E3719" s="2">
        <v>22666</v>
      </c>
      <c r="G3719">
        <f>HYPERLINK("https://www.senat.fr/senateur-3eme-republique/neuville_ernest0751r3.html", "neuville_ernest0751r3")</f>
        <v>0</v>
      </c>
      <c r="H3719">
        <f>HYPERLINK("https://www.wikidata.org/wiki/Q3057099", "Q3057099")</f>
        <v>0</v>
      </c>
    </row>
    <row r="3720" spans="1:8">
      <c r="A3720" t="s">
        <v>3726</v>
      </c>
      <c r="B3720" t="s">
        <v>8177</v>
      </c>
      <c r="C3720" t="s">
        <v>9397</v>
      </c>
      <c r="D3720" t="s">
        <v>14740</v>
      </c>
      <c r="E3720" t="s">
        <v>16318</v>
      </c>
      <c r="F3720">
        <f>HYPERLINK("https://www2.assemblee-nationale.fr/sycomore/fiche/(num_dept)/5535", "5535.0")</f>
        <v>0</v>
      </c>
      <c r="G3720">
        <f>HYPERLINK("https://www.senat.fr/senateur-3eme-republique/neveux_theophile0171r3.html", "neveux_theophile0171r3")</f>
        <v>0</v>
      </c>
      <c r="H3720">
        <f>HYPERLINK("https://www.wikidata.org/wiki/Q3526621", "Q3526621")</f>
        <v>0</v>
      </c>
    </row>
    <row r="3721" spans="1:8">
      <c r="A3721" t="s">
        <v>3727</v>
      </c>
      <c r="B3721" t="s">
        <v>8178</v>
      </c>
      <c r="C3721" t="s">
        <v>9355</v>
      </c>
      <c r="D3721" t="s">
        <v>14337</v>
      </c>
      <c r="E3721" s="2">
        <v>2837</v>
      </c>
      <c r="F3721">
        <f>HYPERLINK("https://www2.assemblee-nationale.fr/sycomore/fiche/(num_dept)/5537", "5537.0")</f>
        <v>0</v>
      </c>
      <c r="H3721">
        <f>HYPERLINK("https://www.wikidata.org/wiki/Q2959893", "Q2959893")</f>
        <v>0</v>
      </c>
    </row>
    <row r="3722" spans="1:8">
      <c r="A3722" t="s">
        <v>3728</v>
      </c>
      <c r="B3722" t="s">
        <v>8179</v>
      </c>
      <c r="C3722" t="s">
        <v>10232</v>
      </c>
      <c r="D3722" t="s">
        <v>14741</v>
      </c>
      <c r="E3722" s="2">
        <v>11652</v>
      </c>
      <c r="F3722">
        <f>HYPERLINK("https://www2.assemblee-nationale.fr/sycomore/fiche/(num_dept)/5538", "5538.0")</f>
        <v>0</v>
      </c>
      <c r="H3722">
        <f>HYPERLINK("https://www.wikidata.org/wiki/Q16026189", "Q16026189")</f>
        <v>0</v>
      </c>
    </row>
    <row r="3723" spans="1:8">
      <c r="A3723" t="s">
        <v>3729</v>
      </c>
      <c r="B3723" t="s">
        <v>8179</v>
      </c>
      <c r="C3723" t="s">
        <v>7342</v>
      </c>
      <c r="D3723" t="s">
        <v>14742</v>
      </c>
      <c r="E3723" s="2">
        <v>25310</v>
      </c>
      <c r="F3723">
        <f>HYPERLINK("https://www2.assemblee-nationale.fr/sycomore/fiche/(num_dept)/5539", "5539.0")</f>
        <v>0</v>
      </c>
      <c r="G3723">
        <f>HYPERLINK("https://www.senat.fr/senateur-3eme-republique/neyret_jean1364r3.html", "neyret_jean1364r3")</f>
        <v>0</v>
      </c>
      <c r="H3723">
        <f>HYPERLINK("https://www.wikidata.org/wiki/Q8336685", "Q8336685")</f>
        <v>0</v>
      </c>
    </row>
    <row r="3724" spans="1:8">
      <c r="A3724" t="s">
        <v>3730</v>
      </c>
      <c r="B3724" t="s">
        <v>8180</v>
      </c>
      <c r="C3724" t="s">
        <v>7942</v>
      </c>
      <c r="D3724" t="s">
        <v>14743</v>
      </c>
      <c r="E3724" s="2">
        <v>12135</v>
      </c>
      <c r="F3724">
        <f>HYPERLINK("https://www2.assemblee-nationale.fr/sycomore/fiche/(num_dept)/5540", "5540.0")</f>
        <v>0</v>
      </c>
      <c r="H3724">
        <f>HYPERLINK("https://www.wikidata.org/wiki/Q16026191", "Q16026191")</f>
        <v>0</v>
      </c>
    </row>
    <row r="3725" spans="1:8">
      <c r="A3725" t="s">
        <v>3731</v>
      </c>
      <c r="B3725" t="s">
        <v>8181</v>
      </c>
      <c r="C3725" t="s">
        <v>9320</v>
      </c>
      <c r="D3725" t="s">
        <v>14744</v>
      </c>
      <c r="E3725" s="2">
        <v>18336</v>
      </c>
      <c r="F3725">
        <f>HYPERLINK("https://www2.assemblee-nationale.fr/sycomore/fiche/(num_dept)/5542", "5542.0")</f>
        <v>0</v>
      </c>
      <c r="H3725">
        <f>HYPERLINK("https://www.wikidata.org/wiki/Q3426684", "Q3426684")</f>
        <v>0</v>
      </c>
    </row>
    <row r="3726" spans="1:8">
      <c r="A3726" t="s">
        <v>3732</v>
      </c>
      <c r="B3726" t="s">
        <v>8182</v>
      </c>
      <c r="C3726" t="s">
        <v>10294</v>
      </c>
      <c r="D3726" t="s">
        <v>14745</v>
      </c>
      <c r="E3726" s="2">
        <v>5702</v>
      </c>
      <c r="F3726">
        <f>HYPERLINK("https://www2.assemblee-nationale.fr/sycomore/fiche/(num_dept)/5544", "5544.0")</f>
        <v>0</v>
      </c>
      <c r="H3726">
        <f>HYPERLINK("https://www.wikidata.org/wiki/Q16026193", "Q16026193")</f>
        <v>0</v>
      </c>
    </row>
    <row r="3727" spans="1:8">
      <c r="A3727" t="s">
        <v>3733</v>
      </c>
      <c r="B3727" t="s">
        <v>8183</v>
      </c>
      <c r="C3727" t="s">
        <v>9368</v>
      </c>
      <c r="D3727" t="s">
        <v>14746</v>
      </c>
      <c r="E3727" s="2">
        <v>23799</v>
      </c>
      <c r="G3727">
        <f>HYPERLINK("https://www.senat.fr/senateur-3eme-republique/nicolas_eugene1794r3.html", "nicolas_eugene1794r3")</f>
        <v>0</v>
      </c>
      <c r="H3727">
        <f>HYPERLINK("https://www.wikidata.org/wiki/Q3060066", "Q3060066")</f>
        <v>0</v>
      </c>
    </row>
    <row r="3728" spans="1:8">
      <c r="A3728" t="s">
        <v>3734</v>
      </c>
      <c r="B3728" t="s">
        <v>8184</v>
      </c>
      <c r="C3728" t="s">
        <v>9352</v>
      </c>
      <c r="D3728" t="s">
        <v>14747</v>
      </c>
      <c r="E3728" s="2">
        <v>5097</v>
      </c>
      <c r="F3728">
        <f>HYPERLINK("https://www2.assemblee-nationale.fr/sycomore/fiche/(num_dept)/5548", "5548.0")</f>
        <v>0</v>
      </c>
      <c r="H3728">
        <f>HYPERLINK("https://www.wikidata.org/wiki/Q16026195", "Q16026195")</f>
        <v>0</v>
      </c>
    </row>
    <row r="3729" spans="1:8">
      <c r="A3729" t="s">
        <v>3735</v>
      </c>
      <c r="B3729" t="s">
        <v>8184</v>
      </c>
      <c r="C3729" t="s">
        <v>7754</v>
      </c>
      <c r="D3729" t="s">
        <v>13012</v>
      </c>
      <c r="E3729" s="2">
        <v>15545</v>
      </c>
      <c r="F3729">
        <f>HYPERLINK("https://www2.assemblee-nationale.fr/sycomore/fiche/(num_dept)/5549", "5549.0")</f>
        <v>0</v>
      </c>
      <c r="H3729">
        <f>HYPERLINK("https://www.wikidata.org/wiki/Q3262798", "Q3262798")</f>
        <v>0</v>
      </c>
    </row>
    <row r="3730" spans="1:8">
      <c r="A3730" t="s">
        <v>3736</v>
      </c>
      <c r="B3730" t="s">
        <v>8185</v>
      </c>
      <c r="C3730" t="s">
        <v>9430</v>
      </c>
      <c r="D3730" t="s">
        <v>14748</v>
      </c>
      <c r="E3730" s="2">
        <v>14937</v>
      </c>
      <c r="F3730">
        <f>HYPERLINK("https://www2.assemblee-nationale.fr/sycomore/fiche/(num_dept)/5550", "5550.0")</f>
        <v>0</v>
      </c>
      <c r="H3730">
        <f>HYPERLINK("https://www.wikidata.org/wiki/Q16026197", "Q16026197")</f>
        <v>0</v>
      </c>
    </row>
    <row r="3731" spans="1:8">
      <c r="A3731" t="s">
        <v>3737</v>
      </c>
      <c r="B3731" t="s">
        <v>8186</v>
      </c>
      <c r="C3731" t="s">
        <v>9355</v>
      </c>
      <c r="D3731" t="s">
        <v>14749</v>
      </c>
      <c r="E3731" s="2">
        <v>6827</v>
      </c>
      <c r="F3731">
        <f>HYPERLINK("https://www2.assemblee-nationale.fr/sycomore/fiche/(num_dept)/5551", "5551.0")</f>
        <v>0</v>
      </c>
      <c r="H3731">
        <f>HYPERLINK("https://www.wikidata.org/wiki/Q16026199", "Q16026199")</f>
        <v>0</v>
      </c>
    </row>
    <row r="3732" spans="1:8">
      <c r="A3732" t="s">
        <v>3738</v>
      </c>
      <c r="B3732" t="s">
        <v>8186</v>
      </c>
      <c r="C3732" t="s">
        <v>7342</v>
      </c>
      <c r="D3732" t="s">
        <v>14750</v>
      </c>
      <c r="E3732" s="2">
        <v>31801</v>
      </c>
      <c r="F3732">
        <f>HYPERLINK("https://www2.assemblee-nationale.fr/sycomore/fiche/(num_dept)/5552", "5552.0")</f>
        <v>0</v>
      </c>
      <c r="H3732">
        <f>HYPERLINK("https://www.wikidata.org/wiki/Q530195", "Q530195")</f>
        <v>0</v>
      </c>
    </row>
    <row r="3733" spans="1:8">
      <c r="A3733" t="s">
        <v>3739</v>
      </c>
      <c r="B3733" t="s">
        <v>8187</v>
      </c>
      <c r="C3733" t="s">
        <v>9312</v>
      </c>
      <c r="D3733" t="s">
        <v>14751</v>
      </c>
      <c r="E3733" t="s">
        <v>16319</v>
      </c>
      <c r="G3733">
        <f>HYPERLINK("https://www.senat.fr/senateur-3eme-republique/ninard_jean_baptiste1783r3.html", "ninard_jean_baptiste1783r3")</f>
        <v>0</v>
      </c>
      <c r="H3733">
        <f>HYPERLINK("https://www.wikidata.org/wiki/Q3164315", "Q3164315")</f>
        <v>0</v>
      </c>
    </row>
    <row r="3734" spans="1:8">
      <c r="A3734" t="s">
        <v>3740</v>
      </c>
      <c r="B3734" t="s">
        <v>8188</v>
      </c>
      <c r="C3734" t="s">
        <v>8384</v>
      </c>
      <c r="D3734" t="s">
        <v>14752</v>
      </c>
      <c r="E3734" s="2">
        <v>872</v>
      </c>
      <c r="G3734">
        <f>HYPERLINK("https://www.senat.fr/senateur-3eme-republique/nioche_pierre0304r3.html", "nioche_pierre0304r3")</f>
        <v>0</v>
      </c>
      <c r="H3734">
        <f>HYPERLINK("https://www.wikidata.org/wiki/Q3386446", "Q3386446")</f>
        <v>0</v>
      </c>
    </row>
    <row r="3735" spans="1:8">
      <c r="A3735" t="s">
        <v>3741</v>
      </c>
      <c r="B3735" t="s">
        <v>8189</v>
      </c>
      <c r="C3735" t="s">
        <v>10244</v>
      </c>
      <c r="D3735" t="s">
        <v>14753</v>
      </c>
      <c r="E3735" s="2">
        <v>11429</v>
      </c>
      <c r="F3735">
        <f>HYPERLINK("https://www2.assemblee-nationale.fr/sycomore/fiche/(num_dept)/5557", "5557.0")</f>
        <v>0</v>
      </c>
      <c r="H3735">
        <f>HYPERLINK("https://www.wikidata.org/wiki/Q16026201", "Q16026201")</f>
        <v>0</v>
      </c>
    </row>
    <row r="3736" spans="1:8">
      <c r="A3736" t="s">
        <v>3742</v>
      </c>
      <c r="B3736" t="s">
        <v>8190</v>
      </c>
      <c r="C3736" t="s">
        <v>5058</v>
      </c>
      <c r="D3736" t="s">
        <v>14754</v>
      </c>
      <c r="F3736">
        <f>HYPERLINK("https://www2.assemblee-nationale.fr/sycomore/fiche/(num_dept)/5558", "5558.0")</f>
        <v>0</v>
      </c>
      <c r="H3736">
        <f>HYPERLINK("https://www.wikidata.org/wiki/Q2410261", "Q2410261")</f>
        <v>0</v>
      </c>
    </row>
    <row r="3737" spans="1:8">
      <c r="A3737" t="s">
        <v>3743</v>
      </c>
      <c r="B3737" t="s">
        <v>8191</v>
      </c>
      <c r="C3737" t="s">
        <v>7001</v>
      </c>
      <c r="D3737" t="s">
        <v>14755</v>
      </c>
      <c r="E3737" s="2">
        <v>8764</v>
      </c>
      <c r="F3737">
        <f>HYPERLINK("https://www2.assemblee-nationale.fr/sycomore/fiche/(num_dept)/5560", "5560.0")</f>
        <v>0</v>
      </c>
      <c r="H3737">
        <f>HYPERLINK("https://www.wikidata.org/wiki/Q16026204", "Q16026204")</f>
        <v>0</v>
      </c>
    </row>
    <row r="3738" spans="1:8">
      <c r="A3738" t="s">
        <v>3744</v>
      </c>
      <c r="B3738" t="s">
        <v>8192</v>
      </c>
      <c r="C3738" t="s">
        <v>7342</v>
      </c>
      <c r="D3738" t="s">
        <v>14756</v>
      </c>
      <c r="E3738" t="s">
        <v>15962</v>
      </c>
      <c r="G3738">
        <f>HYPERLINK("https://www.senat.fr/senateur-3eme-republique/noblot_jean1166r3.html", "noblot_jean1166r3")</f>
        <v>0</v>
      </c>
      <c r="H3738">
        <f>HYPERLINK("https://www.wikidata.org/wiki/Q3173730", "Q3173730")</f>
        <v>0</v>
      </c>
    </row>
    <row r="3739" spans="1:8">
      <c r="A3739" t="s">
        <v>3745</v>
      </c>
      <c r="B3739" t="s">
        <v>8193</v>
      </c>
      <c r="C3739" t="s">
        <v>10872</v>
      </c>
      <c r="D3739" t="s">
        <v>14757</v>
      </c>
      <c r="E3739" t="s">
        <v>16320</v>
      </c>
      <c r="F3739">
        <f>HYPERLINK("https://www2.assemblee-nationale.fr/sycomore/fiche/(num_dept)/8017", "8017.0")</f>
        <v>0</v>
      </c>
      <c r="H3739">
        <f>HYPERLINK("https://www.wikidata.org/wiki/Q14476970", "Q14476970")</f>
        <v>0</v>
      </c>
    </row>
    <row r="3740" spans="1:8">
      <c r="A3740" t="s">
        <v>3746</v>
      </c>
      <c r="B3740" t="s">
        <v>8194</v>
      </c>
      <c r="C3740" t="s">
        <v>5354</v>
      </c>
      <c r="D3740" t="s">
        <v>14758</v>
      </c>
      <c r="E3740" s="2">
        <v>18360</v>
      </c>
      <c r="F3740">
        <f>HYPERLINK("https://www2.assemblee-nationale.fr/sycomore/fiche/(num_dept)/5569", "5569.0")</f>
        <v>0</v>
      </c>
      <c r="H3740">
        <f>HYPERLINK("https://www.wikidata.org/wiki/Q2899637", "Q2899637")</f>
        <v>0</v>
      </c>
    </row>
    <row r="3741" spans="1:8">
      <c r="A3741" t="s">
        <v>3747</v>
      </c>
      <c r="B3741" t="s">
        <v>8195</v>
      </c>
      <c r="C3741" t="s">
        <v>7754</v>
      </c>
      <c r="D3741" t="s">
        <v>14759</v>
      </c>
      <c r="E3741" s="2">
        <v>16587</v>
      </c>
      <c r="G3741">
        <f>HYPERLINK("https://www.senat.fr/senateur-3eme-republique/nogues_louis1080r3.html", "nogues_louis1080r3")</f>
        <v>0</v>
      </c>
      <c r="H3741">
        <f>HYPERLINK("https://www.wikidata.org/wiki/Q3262803", "Q3262803")</f>
        <v>0</v>
      </c>
    </row>
    <row r="3742" spans="1:8">
      <c r="A3742" t="s">
        <v>3748</v>
      </c>
      <c r="B3742" t="s">
        <v>8196</v>
      </c>
      <c r="C3742" t="s">
        <v>9356</v>
      </c>
      <c r="D3742" t="s">
        <v>14759</v>
      </c>
      <c r="E3742" s="2">
        <v>16587</v>
      </c>
      <c r="F3742">
        <f>HYPERLINK("https://www2.assemblee-nationale.fr/sycomore/fiche/(num_dept)/5571", "5571.0")</f>
        <v>0</v>
      </c>
      <c r="H3742">
        <f>HYPERLINK("https://www.wikidata.org/wiki/Q3262803", "Q3262803")</f>
        <v>0</v>
      </c>
    </row>
    <row r="3743" spans="1:8">
      <c r="A3743" t="s">
        <v>3749</v>
      </c>
      <c r="B3743" t="s">
        <v>8197</v>
      </c>
      <c r="C3743" t="s">
        <v>10873</v>
      </c>
      <c r="D3743" t="s">
        <v>12267</v>
      </c>
      <c r="E3743" t="s">
        <v>16321</v>
      </c>
      <c r="F3743">
        <f>HYPERLINK("https://www2.assemblee-nationale.fr/sycomore/fiche/(num_dept)/8059", "8059.0")</f>
        <v>0</v>
      </c>
      <c r="H3743">
        <f>HYPERLINK("https://www.wikidata.org/wiki/Q2839926", "Q2839926")</f>
        <v>0</v>
      </c>
    </row>
    <row r="3744" spans="1:8">
      <c r="A3744" t="s">
        <v>3750</v>
      </c>
      <c r="B3744" t="s">
        <v>8198</v>
      </c>
      <c r="C3744" t="s">
        <v>9355</v>
      </c>
      <c r="D3744" t="s">
        <v>14606</v>
      </c>
      <c r="E3744" s="2">
        <v>15004</v>
      </c>
      <c r="H3744">
        <f>HYPERLINK("https://www.wikidata.org/wiki/Q559687", "Q559687")</f>
        <v>0</v>
      </c>
    </row>
    <row r="3745" spans="1:8">
      <c r="A3745" t="s">
        <v>3751</v>
      </c>
      <c r="B3745" t="s">
        <v>8199</v>
      </c>
      <c r="C3745" t="s">
        <v>9564</v>
      </c>
      <c r="D3745" t="s">
        <v>14760</v>
      </c>
      <c r="E3745" s="2">
        <v>17597</v>
      </c>
      <c r="F3745">
        <f>HYPERLINK("https://www2.assemblee-nationale.fr/sycomore/fiche/(num_dept)/5575", "5575.0")</f>
        <v>0</v>
      </c>
      <c r="H3745">
        <f>HYPERLINK("https://www.wikidata.org/wiki/Q16026208", "Q16026208")</f>
        <v>0</v>
      </c>
    </row>
    <row r="3746" spans="1:8">
      <c r="A3746" t="s">
        <v>3752</v>
      </c>
      <c r="B3746" t="s">
        <v>8200</v>
      </c>
      <c r="C3746" t="s">
        <v>9324</v>
      </c>
      <c r="D3746" t="s">
        <v>14761</v>
      </c>
      <c r="E3746" s="2">
        <v>26543</v>
      </c>
      <c r="F3746">
        <f>HYPERLINK("https://www2.assemblee-nationale.fr/sycomore/fiche/(num_dept)/5576", "5576.0")</f>
        <v>0</v>
      </c>
      <c r="H3746">
        <f>HYPERLINK("https://www.wikidata.org/wiki/Q16025602", "Q16025602")</f>
        <v>0</v>
      </c>
    </row>
    <row r="3747" spans="1:8">
      <c r="A3747" t="s">
        <v>3753</v>
      </c>
      <c r="B3747" t="s">
        <v>8201</v>
      </c>
      <c r="C3747" t="s">
        <v>10874</v>
      </c>
      <c r="D3747" t="s">
        <v>14762</v>
      </c>
      <c r="E3747" s="2">
        <v>20931</v>
      </c>
      <c r="F3747">
        <f>HYPERLINK("https://www2.assemblee-nationale.fr/sycomore/fiche/(num_dept)/5577", "5577.0")</f>
        <v>0</v>
      </c>
      <c r="H3747">
        <f>HYPERLINK("https://www.wikidata.org/wiki/Q16026209", "Q16026209")</f>
        <v>0</v>
      </c>
    </row>
    <row r="3748" spans="1:8">
      <c r="A3748" t="s">
        <v>3754</v>
      </c>
      <c r="B3748" t="s">
        <v>8202</v>
      </c>
      <c r="C3748" t="s">
        <v>9346</v>
      </c>
      <c r="D3748" t="s">
        <v>14763</v>
      </c>
      <c r="E3748" s="2">
        <v>5424</v>
      </c>
      <c r="F3748">
        <f>HYPERLINK("https://www2.assemblee-nationale.fr/sycomore/fiche/(num_dept)/5578", "5578.0")</f>
        <v>0</v>
      </c>
      <c r="H3748">
        <f>HYPERLINK("https://www.wikidata.org/wiki/Q16026211", "Q16026211")</f>
        <v>0</v>
      </c>
    </row>
    <row r="3749" spans="1:8">
      <c r="A3749" t="s">
        <v>3755</v>
      </c>
      <c r="B3749" t="s">
        <v>8203</v>
      </c>
      <c r="C3749" t="s">
        <v>10875</v>
      </c>
      <c r="D3749" t="s">
        <v>14764</v>
      </c>
      <c r="E3749" s="2">
        <v>3117</v>
      </c>
      <c r="F3749">
        <f>HYPERLINK("https://www2.assemblee-nationale.fr/sycomore/fiche/(num_dept)/4182", "4182.0")</f>
        <v>0</v>
      </c>
      <c r="H3749">
        <f>HYPERLINK("https://www.wikidata.org/wiki/Q2960604", "Q2960604")</f>
        <v>0</v>
      </c>
    </row>
    <row r="3750" spans="1:8">
      <c r="A3750" t="s">
        <v>3756</v>
      </c>
      <c r="B3750" t="s">
        <v>8204</v>
      </c>
      <c r="C3750" t="s">
        <v>7001</v>
      </c>
      <c r="D3750" t="s">
        <v>14765</v>
      </c>
      <c r="E3750" s="2">
        <v>24387</v>
      </c>
      <c r="F3750">
        <f>HYPERLINK("https://www2.assemblee-nationale.fr/sycomore/fiche/(num_dept)/5581", "5581.0")</f>
        <v>0</v>
      </c>
      <c r="H3750">
        <f>HYPERLINK("https://www.wikidata.org/wiki/Q3103266", "Q3103266")</f>
        <v>0</v>
      </c>
    </row>
    <row r="3751" spans="1:8">
      <c r="A3751" t="s">
        <v>3757</v>
      </c>
      <c r="B3751" t="s">
        <v>8205</v>
      </c>
      <c r="C3751" t="s">
        <v>7754</v>
      </c>
      <c r="D3751" t="s">
        <v>14766</v>
      </c>
      <c r="E3751" s="2">
        <v>8326</v>
      </c>
      <c r="F3751">
        <f>HYPERLINK("https://www2.assemblee-nationale.fr/sycomore/fiche/(num_dept)/5582", "5582.0")</f>
        <v>0</v>
      </c>
      <c r="H3751">
        <f>HYPERLINK("https://www.wikidata.org/wiki/Q16026218", "Q16026218")</f>
        <v>0</v>
      </c>
    </row>
    <row r="3752" spans="1:8">
      <c r="A3752" t="s">
        <v>3758</v>
      </c>
      <c r="B3752" t="s">
        <v>8206</v>
      </c>
      <c r="C3752" t="s">
        <v>10876</v>
      </c>
      <c r="D3752" t="s">
        <v>12428</v>
      </c>
      <c r="E3752" s="2">
        <v>16324</v>
      </c>
      <c r="F3752">
        <f>HYPERLINK("https://www2.assemblee-nationale.fr/sycomore/fiche/(num_dept)/5583", "5583.0")</f>
        <v>0</v>
      </c>
      <c r="G3752">
        <f>HYPERLINK("https://www.senat.fr/senateur-3eme-republique/noulens_jean_baptiste0149r3.html", "noulens_jean_baptiste0149r3")</f>
        <v>0</v>
      </c>
      <c r="H3752">
        <f>HYPERLINK("https://www.wikidata.org/wiki/Q3185419", "Q3185419")</f>
        <v>0</v>
      </c>
    </row>
    <row r="3753" spans="1:8">
      <c r="A3753" t="s">
        <v>3759</v>
      </c>
      <c r="B3753" t="s">
        <v>8207</v>
      </c>
      <c r="C3753" t="s">
        <v>10877</v>
      </c>
      <c r="D3753" t="s">
        <v>14767</v>
      </c>
      <c r="E3753" t="s">
        <v>16322</v>
      </c>
      <c r="F3753">
        <f>HYPERLINK("https://www2.assemblee-nationale.fr/sycomore/fiche/(num_dept)/5568", "5568.0")</f>
        <v>0</v>
      </c>
      <c r="H3753">
        <f>HYPERLINK("https://www.wikidata.org/wiki/Q4346129", "Q4346129")</f>
        <v>0</v>
      </c>
    </row>
    <row r="3754" spans="1:8">
      <c r="A3754" t="s">
        <v>3760</v>
      </c>
      <c r="B3754" t="s">
        <v>8208</v>
      </c>
      <c r="C3754" t="s">
        <v>9332</v>
      </c>
      <c r="D3754" t="s">
        <v>14768</v>
      </c>
      <c r="E3754" s="2">
        <v>11317</v>
      </c>
      <c r="F3754">
        <f>HYPERLINK("https://www2.assemblee-nationale.fr/sycomore/fiche/(num_dept)/5564", "5564.0")</f>
        <v>0</v>
      </c>
      <c r="G3754">
        <f>HYPERLINK("https://www.senat.fr/senateur-3eme-republique/noel_charles0885r3.html", "noel_charles0885r3")</f>
        <v>0</v>
      </c>
      <c r="H3754">
        <f>HYPERLINK("https://www.wikidata.org/wiki/Q2959917", "Q2959917")</f>
        <v>0</v>
      </c>
    </row>
    <row r="3755" spans="1:8">
      <c r="A3755" t="s">
        <v>3761</v>
      </c>
      <c r="B3755" t="s">
        <v>8208</v>
      </c>
      <c r="C3755" t="s">
        <v>5058</v>
      </c>
      <c r="D3755" t="s">
        <v>14769</v>
      </c>
      <c r="E3755" s="2">
        <v>18374</v>
      </c>
      <c r="F3755">
        <f>HYPERLINK("https://www2.assemblee-nationale.fr/sycomore/fiche/(num_dept)/5562", "5562.0")</f>
        <v>0</v>
      </c>
      <c r="H3755">
        <f>HYPERLINK("https://www.wikidata.org/wiki/Q16026206", "Q16026206")</f>
        <v>0</v>
      </c>
    </row>
    <row r="3756" spans="1:8">
      <c r="A3756" t="s">
        <v>3762</v>
      </c>
      <c r="B3756" t="s">
        <v>8209</v>
      </c>
      <c r="C3756" t="s">
        <v>7782</v>
      </c>
      <c r="D3756" t="s">
        <v>14770</v>
      </c>
      <c r="E3756" s="2">
        <v>11553</v>
      </c>
      <c r="F3756">
        <f>HYPERLINK("https://www2.assemblee-nationale.fr/sycomore/fiche/(num_dept)/5527", "5527.0")</f>
        <v>0</v>
      </c>
      <c r="H3756">
        <f>HYPERLINK("https://www.wikidata.org/wiki/Q16026184", "Q16026184")</f>
        <v>0</v>
      </c>
    </row>
    <row r="3757" spans="1:8">
      <c r="A3757" t="s">
        <v>3763</v>
      </c>
      <c r="B3757" t="s">
        <v>8210</v>
      </c>
      <c r="C3757" t="s">
        <v>9524</v>
      </c>
      <c r="D3757" t="s">
        <v>14771</v>
      </c>
      <c r="E3757" s="2">
        <v>11482</v>
      </c>
      <c r="F3757">
        <f>HYPERLINK("https://www2.assemblee-nationale.fr/sycomore/fiche/(num_dept)/5530", "5530.0")</f>
        <v>0</v>
      </c>
      <c r="H3757">
        <f>HYPERLINK("https://www.wikidata.org/wiki/Q16026186", "Q16026186")</f>
        <v>0</v>
      </c>
    </row>
    <row r="3758" spans="1:8">
      <c r="A3758" t="s">
        <v>3764</v>
      </c>
      <c r="B3758" t="s">
        <v>8211</v>
      </c>
      <c r="C3758" t="s">
        <v>9346</v>
      </c>
      <c r="D3758" t="s">
        <v>14738</v>
      </c>
      <c r="E3758" s="2">
        <v>16441</v>
      </c>
      <c r="F3758">
        <f>HYPERLINK("https://www2.assemblee-nationale.fr/sycomore/fiche/(num_dept)/5529", "5529.0")</f>
        <v>0</v>
      </c>
      <c r="H3758">
        <f>HYPERLINK("https://www.wikidata.org/wiki/Q3579976", "Q3579976")</f>
        <v>0</v>
      </c>
    </row>
    <row r="3759" spans="1:8">
      <c r="A3759" t="s">
        <v>3765</v>
      </c>
      <c r="B3759" t="s">
        <v>8212</v>
      </c>
      <c r="C3759" t="s">
        <v>9564</v>
      </c>
      <c r="D3759" t="s">
        <v>14772</v>
      </c>
      <c r="E3759" s="2">
        <v>17172</v>
      </c>
      <c r="F3759">
        <f>HYPERLINK("https://www2.assemblee-nationale.fr/sycomore/fiche/(num_dept)/5590", "5590.0")</f>
        <v>0</v>
      </c>
      <c r="H3759">
        <f>HYPERLINK("https://www.wikidata.org/wiki/Q2835374", "Q2835374")</f>
        <v>0</v>
      </c>
    </row>
    <row r="3760" spans="1:8">
      <c r="A3760" t="s">
        <v>3766</v>
      </c>
      <c r="B3760" t="s">
        <v>8213</v>
      </c>
      <c r="C3760" t="s">
        <v>7754</v>
      </c>
      <c r="D3760" t="s">
        <v>14773</v>
      </c>
      <c r="E3760" s="2">
        <v>4233</v>
      </c>
      <c r="G3760">
        <f>HYPERLINK("https://www.senat.fr/senateur-3eme-republique/obissier_louis0200r3.html", "obissier_louis0200r3")</f>
        <v>0</v>
      </c>
      <c r="H3760">
        <f>HYPERLINK("https://www.wikidata.org/wiki/Q16026221", "Q16026221")</f>
        <v>0</v>
      </c>
    </row>
    <row r="3761" spans="1:8">
      <c r="A3761" t="s">
        <v>3767</v>
      </c>
      <c r="B3761" t="s">
        <v>8214</v>
      </c>
      <c r="C3761" t="s">
        <v>7342</v>
      </c>
      <c r="D3761" t="s">
        <v>14376</v>
      </c>
      <c r="E3761" s="2">
        <v>1568</v>
      </c>
      <c r="F3761">
        <f>HYPERLINK("https://www2.assemblee-nationale.fr/sycomore/fiche/(num_dept)/5592", "5592.0")</f>
        <v>0</v>
      </c>
      <c r="H3761">
        <f>HYPERLINK("https://www.wikidata.org/wiki/Q16026223", "Q16026223")</f>
        <v>0</v>
      </c>
    </row>
    <row r="3762" spans="1:8">
      <c r="A3762" t="s">
        <v>3768</v>
      </c>
      <c r="B3762" t="s">
        <v>8215</v>
      </c>
      <c r="C3762" t="s">
        <v>7342</v>
      </c>
      <c r="D3762" t="s">
        <v>14774</v>
      </c>
      <c r="E3762" s="2">
        <v>27683</v>
      </c>
      <c r="F3762">
        <f>HYPERLINK("https://www2.assemblee-nationale.fr/sycomore/fiche/(num_dept)/5593", "5593.0")</f>
        <v>0</v>
      </c>
      <c r="G3762">
        <f>HYPERLINK("https://www.senat.fr/senateur-3eme-republique/odin_jean0202r3.html", "odin_jean0202r3")</f>
        <v>0</v>
      </c>
      <c r="H3762">
        <f>HYPERLINK("https://www.wikidata.org/wiki/Q3173771", "Q3173771")</f>
        <v>0</v>
      </c>
    </row>
    <row r="3763" spans="1:8">
      <c r="A3763" t="s">
        <v>3769</v>
      </c>
      <c r="B3763" t="s">
        <v>8216</v>
      </c>
      <c r="C3763" t="s">
        <v>8384</v>
      </c>
      <c r="D3763" t="s">
        <v>14775</v>
      </c>
      <c r="E3763" s="2">
        <v>20580</v>
      </c>
      <c r="F3763">
        <f>HYPERLINK("https://www2.assemblee-nationale.fr/sycomore/fiche/(num_dept)/5594", "5594.0")</f>
        <v>0</v>
      </c>
      <c r="H3763">
        <f>HYPERLINK("https://www.wikidata.org/wiki/Q16026226", "Q16026226")</f>
        <v>0</v>
      </c>
    </row>
    <row r="3764" spans="1:8">
      <c r="A3764" t="s">
        <v>3770</v>
      </c>
      <c r="B3764" t="s">
        <v>8217</v>
      </c>
      <c r="C3764" t="s">
        <v>10878</v>
      </c>
      <c r="D3764" t="s">
        <v>14776</v>
      </c>
      <c r="E3764" t="s">
        <v>16323</v>
      </c>
      <c r="F3764">
        <f>HYPERLINK("https://www2.assemblee-nationale.fr/sycomore/fiche/(num_dept)/2770", "2770.0")</f>
        <v>0</v>
      </c>
      <c r="H3764">
        <f>HYPERLINK("https://www.wikidata.org/wiki/Q16025658", "Q16025658")</f>
        <v>0</v>
      </c>
    </row>
    <row r="3765" spans="1:8">
      <c r="A3765" t="s">
        <v>3771</v>
      </c>
      <c r="B3765" t="s">
        <v>8218</v>
      </c>
      <c r="C3765" t="s">
        <v>9868</v>
      </c>
      <c r="D3765" t="s">
        <v>14777</v>
      </c>
      <c r="E3765" s="2">
        <v>11778</v>
      </c>
      <c r="H3765">
        <f>HYPERLINK("https://www.wikidata.org/wiki/Q286257", "Q286257")</f>
        <v>0</v>
      </c>
    </row>
    <row r="3766" spans="1:8">
      <c r="A3766" t="s">
        <v>3772</v>
      </c>
      <c r="B3766" t="s">
        <v>8219</v>
      </c>
      <c r="C3766" t="s">
        <v>10064</v>
      </c>
      <c r="D3766" t="s">
        <v>14778</v>
      </c>
      <c r="E3766" s="2">
        <v>7183</v>
      </c>
      <c r="F3766">
        <f>HYPERLINK("https://www2.assemblee-nationale.fr/sycomore/fiche/(num_dept)/5598", "5598.0")</f>
        <v>0</v>
      </c>
      <c r="H3766">
        <f>HYPERLINK("https://www.wikidata.org/wiki/Q16026228", "Q16026228")</f>
        <v>0</v>
      </c>
    </row>
    <row r="3767" spans="1:8">
      <c r="A3767" t="s">
        <v>3773</v>
      </c>
      <c r="B3767" t="s">
        <v>8220</v>
      </c>
      <c r="C3767" t="s">
        <v>9548</v>
      </c>
      <c r="D3767" t="s">
        <v>14779</v>
      </c>
      <c r="E3767" s="2">
        <v>15416</v>
      </c>
      <c r="F3767">
        <f>HYPERLINK("https://www2.assemblee-nationale.fr/sycomore/fiche/(num_dept)/5599", "5599.0")</f>
        <v>0</v>
      </c>
      <c r="H3767">
        <f>HYPERLINK("https://www.wikidata.org/wiki/Q2977904", "Q2977904")</f>
        <v>0</v>
      </c>
    </row>
    <row r="3768" spans="1:8">
      <c r="A3768" t="s">
        <v>3774</v>
      </c>
      <c r="B3768" t="s">
        <v>8221</v>
      </c>
      <c r="C3768" t="s">
        <v>9337</v>
      </c>
      <c r="D3768" t="s">
        <v>14780</v>
      </c>
      <c r="E3768" s="2">
        <v>5930</v>
      </c>
      <c r="F3768">
        <f>HYPERLINK("https://www2.assemblee-nationale.fr/sycomore/fiche/(num_dept)/5601", "5601.0")</f>
        <v>0</v>
      </c>
      <c r="G3768">
        <f>HYPERLINK("https://www.senat.fr/senateur-3eme-republique/ollivier_auguste0590r3.html", "ollivier_auguste0590r3")</f>
        <v>0</v>
      </c>
      <c r="H3768">
        <f>HYPERLINK("https://www.wikidata.org/wiki/Q2871344", "Q2871344")</f>
        <v>0</v>
      </c>
    </row>
    <row r="3769" spans="1:8">
      <c r="A3769" t="s">
        <v>3775</v>
      </c>
      <c r="B3769" t="s">
        <v>8221</v>
      </c>
      <c r="C3769" t="s">
        <v>10879</v>
      </c>
      <c r="D3769" t="s">
        <v>14781</v>
      </c>
      <c r="E3769" s="2">
        <v>11597</v>
      </c>
      <c r="F3769">
        <f>HYPERLINK("https://www2.assemblee-nationale.fr/sycomore/fiche/(num_dept)/5602", "5602.0")</f>
        <v>0</v>
      </c>
      <c r="H3769">
        <f>HYPERLINK("https://www.wikidata.org/wiki/Q3261974", "Q3261974")</f>
        <v>0</v>
      </c>
    </row>
    <row r="3770" spans="1:8">
      <c r="A3770" t="s">
        <v>3776</v>
      </c>
      <c r="B3770" t="s">
        <v>8222</v>
      </c>
      <c r="C3770" t="s">
        <v>7314</v>
      </c>
      <c r="D3770" t="s">
        <v>14782</v>
      </c>
      <c r="E3770" s="2">
        <v>542</v>
      </c>
      <c r="F3770">
        <f>HYPERLINK("https://www2.assemblee-nationale.fr/sycomore/fiche/(num_dept)/5606", "5606.0")</f>
        <v>0</v>
      </c>
      <c r="H3770">
        <f>HYPERLINK("https://www.wikidata.org/wiki/Q16026230", "Q16026230")</f>
        <v>0</v>
      </c>
    </row>
    <row r="3771" spans="1:8">
      <c r="A3771" t="s">
        <v>3777</v>
      </c>
      <c r="B3771" t="s">
        <v>8223</v>
      </c>
      <c r="C3771" t="s">
        <v>10880</v>
      </c>
      <c r="D3771" t="s">
        <v>11817</v>
      </c>
      <c r="E3771" t="s">
        <v>16324</v>
      </c>
      <c r="F3771">
        <f>HYPERLINK("https://www2.assemblee-nationale.fr/sycomore/fiche/(num_dept)/5609", "5609.0")</f>
        <v>0</v>
      </c>
      <c r="H3771">
        <f>HYPERLINK("https://www.wikidata.org/wiki/Q16026232", "Q16026232")</f>
        <v>0</v>
      </c>
    </row>
    <row r="3772" spans="1:8">
      <c r="A3772" t="s">
        <v>3778</v>
      </c>
      <c r="B3772" t="s">
        <v>8223</v>
      </c>
      <c r="C3772" t="s">
        <v>10881</v>
      </c>
      <c r="D3772" t="s">
        <v>14783</v>
      </c>
      <c r="E3772" s="2">
        <v>12685</v>
      </c>
      <c r="F3772">
        <f>HYPERLINK("https://www2.assemblee-nationale.fr/sycomore/fiche/(num_dept)/5610", "5610.0")</f>
        <v>0</v>
      </c>
      <c r="G3772">
        <f>HYPERLINK("https://www.senat.fr/senateur-3eme-republique/ordinaire_maurice0679r3.html", "ordinaire_maurice0679r3")</f>
        <v>0</v>
      </c>
      <c r="H3772">
        <f>HYPERLINK("https://www.wikidata.org/wiki/Q3301228", "Q3301228")</f>
        <v>0</v>
      </c>
    </row>
    <row r="3773" spans="1:8">
      <c r="A3773" t="s">
        <v>3779</v>
      </c>
      <c r="B3773" t="s">
        <v>8224</v>
      </c>
      <c r="C3773" t="s">
        <v>10882</v>
      </c>
      <c r="D3773" t="s">
        <v>14784</v>
      </c>
      <c r="E3773" s="2">
        <v>9805</v>
      </c>
      <c r="F3773">
        <f>HYPERLINK("https://www2.assemblee-nationale.fr/sycomore/fiche/(num_dept)/5611", "5611.0")</f>
        <v>0</v>
      </c>
      <c r="H3773">
        <f>HYPERLINK("https://www.wikidata.org/wiki/Q16026235", "Q16026235")</f>
        <v>0</v>
      </c>
    </row>
    <row r="3774" spans="1:8">
      <c r="A3774" t="s">
        <v>3780</v>
      </c>
      <c r="B3774" t="s">
        <v>8225</v>
      </c>
      <c r="C3774" t="s">
        <v>9564</v>
      </c>
      <c r="D3774" t="s">
        <v>12634</v>
      </c>
      <c r="E3774" s="2">
        <v>10678</v>
      </c>
      <c r="G3774">
        <f>HYPERLINK("https://www.senat.fr/senateur-3eme-republique/oriot_alfred0919r3.html", "oriot_alfred0919r3")</f>
        <v>0</v>
      </c>
      <c r="H3774">
        <f>HYPERLINK("https://www.wikidata.org/wiki/Q2835377", "Q2835377")</f>
        <v>0</v>
      </c>
    </row>
    <row r="3775" spans="1:8">
      <c r="A3775" t="s">
        <v>3781</v>
      </c>
      <c r="B3775" t="s">
        <v>8226</v>
      </c>
      <c r="C3775" t="s">
        <v>7782</v>
      </c>
      <c r="D3775" t="s">
        <v>14785</v>
      </c>
      <c r="E3775" t="s">
        <v>16325</v>
      </c>
      <c r="F3775">
        <f>HYPERLINK("https://www2.assemblee-nationale.fr/sycomore/fiche/(num_dept)/5615", "5615.0")</f>
        <v>0</v>
      </c>
      <c r="H3775">
        <f>HYPERLINK("https://www.wikidata.org/wiki/Q3271242", "Q3271242")</f>
        <v>0</v>
      </c>
    </row>
    <row r="3776" spans="1:8">
      <c r="A3776" t="s">
        <v>3782</v>
      </c>
      <c r="B3776" t="s">
        <v>8227</v>
      </c>
      <c r="C3776" t="s">
        <v>9373</v>
      </c>
      <c r="D3776" t="s">
        <v>14786</v>
      </c>
      <c r="E3776" s="2">
        <v>7706</v>
      </c>
      <c r="F3776">
        <f>HYPERLINK("https://www2.assemblee-nationale.fr/sycomore/fiche/(num_dept)/5620", "5620.0")</f>
        <v>0</v>
      </c>
      <c r="H3776">
        <f>HYPERLINK("https://www.wikidata.org/wiki/Q3185434", "Q3185434")</f>
        <v>0</v>
      </c>
    </row>
    <row r="3777" spans="1:8">
      <c r="A3777" t="s">
        <v>3783</v>
      </c>
      <c r="B3777" t="s">
        <v>8228</v>
      </c>
      <c r="C3777" t="s">
        <v>9344</v>
      </c>
      <c r="D3777" t="s">
        <v>14787</v>
      </c>
      <c r="E3777" s="2">
        <v>5561</v>
      </c>
      <c r="F3777">
        <f>HYPERLINK("https://www2.assemblee-nationale.fr/sycomore/fiche/(num_dept)/5623", "5623.0")</f>
        <v>0</v>
      </c>
      <c r="H3777">
        <f>HYPERLINK("https://www.wikidata.org/wiki/Q3010485", "Q3010485")</f>
        <v>0</v>
      </c>
    </row>
    <row r="3778" spans="1:8">
      <c r="A3778" t="s">
        <v>3784</v>
      </c>
      <c r="B3778" t="s">
        <v>8228</v>
      </c>
      <c r="C3778" t="s">
        <v>7342</v>
      </c>
      <c r="D3778" t="s">
        <v>14788</v>
      </c>
      <c r="E3778" s="2">
        <v>11809</v>
      </c>
      <c r="F3778">
        <f>HYPERLINK("https://www2.assemblee-nationale.fr/sycomore/fiche/(num_dept)/5624", "5624.0")</f>
        <v>0</v>
      </c>
      <c r="H3778">
        <f>HYPERLINK("https://www.wikidata.org/wiki/Q3173799", "Q3173799")</f>
        <v>0</v>
      </c>
    </row>
    <row r="3779" spans="1:8">
      <c r="A3779" t="s">
        <v>3785</v>
      </c>
      <c r="B3779" t="s">
        <v>8229</v>
      </c>
      <c r="C3779" t="s">
        <v>9430</v>
      </c>
      <c r="D3779" t="s">
        <v>14789</v>
      </c>
      <c r="E3779" s="2">
        <v>20723</v>
      </c>
      <c r="G3779">
        <f>HYPERLINK("https://www.senat.fr/senateur-3eme-republique/ostermann_paul1118r3.html", "ostermann_paul1118r3")</f>
        <v>0</v>
      </c>
      <c r="H3779">
        <f>HYPERLINK("https://www.wikidata.org/wiki/Q3371940", "Q3371940")</f>
        <v>0</v>
      </c>
    </row>
    <row r="3780" spans="1:8">
      <c r="A3780" t="s">
        <v>3786</v>
      </c>
      <c r="B3780" t="s">
        <v>8230</v>
      </c>
      <c r="C3780" t="s">
        <v>9429</v>
      </c>
      <c r="D3780" t="s">
        <v>14790</v>
      </c>
      <c r="E3780" t="s">
        <v>16326</v>
      </c>
      <c r="G3780">
        <f>HYPERLINK("https://www.senat.fr/senateur-3eme-republique/oudet_alexandre0681r3.html", "oudet_alexandre0681r3")</f>
        <v>0</v>
      </c>
      <c r="H3780">
        <f>HYPERLINK("https://www.wikidata.org/wiki/Q3121281", "Q3121281")</f>
        <v>0</v>
      </c>
    </row>
    <row r="3781" spans="1:8">
      <c r="A3781" t="s">
        <v>3787</v>
      </c>
      <c r="B3781" t="s">
        <v>8231</v>
      </c>
      <c r="C3781" t="s">
        <v>9324</v>
      </c>
      <c r="D3781" t="s">
        <v>14791</v>
      </c>
      <c r="E3781" s="2">
        <v>8584</v>
      </c>
      <c r="F3781">
        <f>HYPERLINK("https://www2.assemblee-nationale.fr/sycomore/fiche/(num_dept)/5627", "5627.0")</f>
        <v>0</v>
      </c>
      <c r="H3781">
        <f>HYPERLINK("https://www.wikidata.org/wiki/Q16026237", "Q16026237")</f>
        <v>0</v>
      </c>
    </row>
    <row r="3782" spans="1:8">
      <c r="A3782" t="s">
        <v>3788</v>
      </c>
      <c r="B3782" t="s">
        <v>8231</v>
      </c>
      <c r="C3782" t="s">
        <v>9362</v>
      </c>
      <c r="D3782" t="s">
        <v>14792</v>
      </c>
      <c r="E3782" s="2">
        <v>12443</v>
      </c>
      <c r="F3782">
        <f>HYPERLINK("https://www2.assemblee-nationale.fr/sycomore/fiche/(num_dept)/5626", "5626.0")</f>
        <v>0</v>
      </c>
      <c r="H3782">
        <f>HYPERLINK("https://www.wikidata.org/wiki/Q13077207", "Q13077207")</f>
        <v>0</v>
      </c>
    </row>
    <row r="3783" spans="1:8">
      <c r="A3783" t="s">
        <v>3789</v>
      </c>
      <c r="B3783" t="s">
        <v>8232</v>
      </c>
      <c r="C3783" t="s">
        <v>9352</v>
      </c>
      <c r="D3783" t="s">
        <v>14793</v>
      </c>
      <c r="E3783" s="2">
        <v>9187</v>
      </c>
      <c r="G3783">
        <f>HYPERLINK("https://www.senat.fr/senateur-3eme-republique/ournac_camille0079r3.html", "ournac_camille0079r3")</f>
        <v>0</v>
      </c>
      <c r="H3783">
        <f>HYPERLINK("https://www.wikidata.org/wiki/Q2935021", "Q2935021")</f>
        <v>0</v>
      </c>
    </row>
    <row r="3784" spans="1:8">
      <c r="A3784" t="s">
        <v>3790</v>
      </c>
      <c r="B3784" t="s">
        <v>8233</v>
      </c>
      <c r="C3784" t="s">
        <v>9512</v>
      </c>
      <c r="D3784" t="s">
        <v>14794</v>
      </c>
      <c r="E3784" s="2">
        <v>2691</v>
      </c>
      <c r="G3784">
        <f>HYPERLINK("https://www.senat.fr/senateur-3eme-republique/outhenin_chalandre_gaston1177r3.html", "outhenin_chalandre_gaston1177r3")</f>
        <v>0</v>
      </c>
      <c r="H3784">
        <f>HYPERLINK("https://www.wikidata.org/wiki/Q3099106", "Q3099106")</f>
        <v>0</v>
      </c>
    </row>
    <row r="3785" spans="1:8">
      <c r="A3785" t="s">
        <v>3791</v>
      </c>
      <c r="B3785" t="s">
        <v>8234</v>
      </c>
      <c r="C3785" t="s">
        <v>9332</v>
      </c>
      <c r="D3785" t="s">
        <v>14795</v>
      </c>
      <c r="E3785" s="2">
        <v>15256</v>
      </c>
      <c r="F3785">
        <f>HYPERLINK("https://www2.assemblee-nationale.fr/sycomore/fiche/(num_dept)/5636", "5636.0")</f>
        <v>0</v>
      </c>
      <c r="H3785">
        <f>HYPERLINK("https://www.wikidata.org/wiki/Q3057112", "Q3057112")</f>
        <v>0</v>
      </c>
    </row>
    <row r="3786" spans="1:8">
      <c r="A3786" t="s">
        <v>3792</v>
      </c>
      <c r="B3786" t="s">
        <v>8235</v>
      </c>
      <c r="C3786" t="s">
        <v>10883</v>
      </c>
      <c r="D3786" t="s">
        <v>14309</v>
      </c>
      <c r="F3786">
        <f>HYPERLINK("https://www2.assemblee-nationale.fr/sycomore/fiche/(num_dept)/8194", "8194.0")</f>
        <v>0</v>
      </c>
      <c r="H3786">
        <f>HYPERLINK("https://www.wikidata.org/wiki/Q2839932", "Q2839932")</f>
        <v>0</v>
      </c>
    </row>
    <row r="3787" spans="1:8">
      <c r="A3787" t="s">
        <v>3793</v>
      </c>
      <c r="B3787" t="s">
        <v>8236</v>
      </c>
      <c r="C3787" t="s">
        <v>5058</v>
      </c>
      <c r="D3787" t="s">
        <v>14796</v>
      </c>
      <c r="E3787" s="2">
        <v>15653</v>
      </c>
      <c r="G3787">
        <f>HYPERLINK("https://www.senat.fr/senateur-3eme-republique/ouvre_albert1607r3.html", "ouvre_albert1607r3")</f>
        <v>0</v>
      </c>
      <c r="H3787">
        <f>HYPERLINK("https://www.wikidata.org/wiki/Q2831442", "Q2831442")</f>
        <v>0</v>
      </c>
    </row>
    <row r="3788" spans="1:8">
      <c r="A3788" t="s">
        <v>3794</v>
      </c>
      <c r="B3788" t="s">
        <v>8237</v>
      </c>
      <c r="C3788" t="s">
        <v>9533</v>
      </c>
      <c r="D3788" t="s">
        <v>14797</v>
      </c>
      <c r="E3788" s="2">
        <v>8721</v>
      </c>
      <c r="G3788">
        <f>HYPERLINK("https://www.senat.fr/senateur-3eme-republique/ouvrier_antoine0287r3.html", "ouvrier_antoine0287r3")</f>
        <v>0</v>
      </c>
      <c r="H3788">
        <f>HYPERLINK("https://www.wikidata.org/wiki/Q2854298", "Q2854298")</f>
        <v>0</v>
      </c>
    </row>
    <row r="3789" spans="1:8">
      <c r="A3789" t="s">
        <v>3795</v>
      </c>
      <c r="B3789" t="s">
        <v>8238</v>
      </c>
      <c r="C3789" t="s">
        <v>5096</v>
      </c>
      <c r="D3789" t="s">
        <v>14798</v>
      </c>
      <c r="E3789" s="2">
        <v>6841</v>
      </c>
      <c r="F3789">
        <f>HYPERLINK("https://www2.assemblee-nationale.fr/sycomore/fiche/(num_dept)/5638", "5638.0")</f>
        <v>0</v>
      </c>
      <c r="H3789">
        <f>HYPERLINK("https://www.wikidata.org/wiki/Q27899334", "Q27899334")</f>
        <v>0</v>
      </c>
    </row>
    <row r="3790" spans="1:8">
      <c r="A3790" t="s">
        <v>3796</v>
      </c>
      <c r="B3790" t="s">
        <v>8238</v>
      </c>
      <c r="C3790" t="s">
        <v>5058</v>
      </c>
      <c r="D3790" t="s">
        <v>14796</v>
      </c>
      <c r="E3790" s="2">
        <v>15653</v>
      </c>
      <c r="F3790">
        <f>HYPERLINK("https://www2.assemblee-nationale.fr/sycomore/fiche/(num_dept)/5637", "5637.0")</f>
        <v>0</v>
      </c>
      <c r="H3790">
        <f>HYPERLINK("https://www.wikidata.org/wiki/Q2831442", "Q2831442")</f>
        <v>0</v>
      </c>
    </row>
    <row r="3791" spans="1:8">
      <c r="A3791" t="s">
        <v>3797</v>
      </c>
      <c r="B3791" t="s">
        <v>8239</v>
      </c>
      <c r="C3791" t="s">
        <v>9634</v>
      </c>
      <c r="D3791" t="s">
        <v>14799</v>
      </c>
      <c r="E3791" s="2">
        <v>2757</v>
      </c>
      <c r="F3791">
        <f>HYPERLINK("https://www2.assemblee-nationale.fr/sycomore/fiche/(num_dept)/5641", "5641.0")</f>
        <v>0</v>
      </c>
      <c r="H3791">
        <f>HYPERLINK("https://www.wikidata.org/wiki/Q16025703", "Q16025703")</f>
        <v>0</v>
      </c>
    </row>
    <row r="3792" spans="1:8">
      <c r="A3792" t="s">
        <v>3798</v>
      </c>
      <c r="B3792" t="s">
        <v>8240</v>
      </c>
      <c r="C3792" t="s">
        <v>9359</v>
      </c>
      <c r="D3792" t="s">
        <v>14800</v>
      </c>
      <c r="E3792" s="2">
        <v>11778</v>
      </c>
      <c r="F3792">
        <f>HYPERLINK("https://www2.assemblee-nationale.fr/sycomore/fiche/(num_dept)/5642", "5642.0")</f>
        <v>0</v>
      </c>
      <c r="H3792">
        <f>HYPERLINK("https://www.wikidata.org/wiki/Q16026241", "Q16026241")</f>
        <v>0</v>
      </c>
    </row>
    <row r="3793" spans="1:8">
      <c r="A3793" t="s">
        <v>3799</v>
      </c>
      <c r="B3793" t="s">
        <v>8241</v>
      </c>
      <c r="C3793" t="s">
        <v>9373</v>
      </c>
      <c r="D3793" t="s">
        <v>14801</v>
      </c>
      <c r="E3793" s="2">
        <v>13821</v>
      </c>
      <c r="F3793">
        <f>HYPERLINK("https://www2.assemblee-nationale.fr/sycomore/fiche/(num_dept)/5646", "5646.0")</f>
        <v>0</v>
      </c>
      <c r="G3793">
        <f>HYPERLINK("https://www.senat.fr/senateur-3eme-republique/paganon_joseph1203r3.html", "paganon_joseph1203r3")</f>
        <v>0</v>
      </c>
      <c r="H3793">
        <f>HYPERLINK("https://www.wikidata.org/wiki/Q3185441", "Q3185441")</f>
        <v>0</v>
      </c>
    </row>
    <row r="3794" spans="1:8">
      <c r="A3794" t="s">
        <v>3800</v>
      </c>
      <c r="B3794" t="s">
        <v>8242</v>
      </c>
      <c r="C3794" t="s">
        <v>7782</v>
      </c>
      <c r="D3794" t="s">
        <v>14802</v>
      </c>
      <c r="E3794" t="s">
        <v>16327</v>
      </c>
      <c r="F3794">
        <f>HYPERLINK("https://www2.assemblee-nationale.fr/sycomore/fiche/(num_dept)/8278", "8278.0")</f>
        <v>0</v>
      </c>
      <c r="H3794">
        <f>HYPERLINK("https://www.wikidata.org/wiki/Q16026246", "Q16026246")</f>
        <v>0</v>
      </c>
    </row>
    <row r="3795" spans="1:8">
      <c r="A3795" t="s">
        <v>3801</v>
      </c>
      <c r="B3795" t="s">
        <v>8243</v>
      </c>
      <c r="C3795" t="s">
        <v>10884</v>
      </c>
      <c r="D3795" t="s">
        <v>14803</v>
      </c>
      <c r="E3795" s="2">
        <v>1987</v>
      </c>
      <c r="F3795">
        <f>HYPERLINK("https://www2.assemblee-nationale.fr/sycomore/fiche/(num_dept)/8018", "8018.0")</f>
        <v>0</v>
      </c>
      <c r="H3795">
        <f>HYPERLINK("https://www.wikidata.org/wiki/Q2994832", "Q2994832")</f>
        <v>0</v>
      </c>
    </row>
    <row r="3796" spans="1:8">
      <c r="A3796" t="s">
        <v>3802</v>
      </c>
      <c r="B3796" t="s">
        <v>8244</v>
      </c>
      <c r="C3796" t="s">
        <v>10885</v>
      </c>
      <c r="D3796" t="s">
        <v>11882</v>
      </c>
      <c r="E3796" s="2">
        <v>10987</v>
      </c>
      <c r="F3796">
        <f>HYPERLINK("https://www2.assemblee-nationale.fr/sycomore/fiche/(num_dept)/953", "953.0")</f>
        <v>0</v>
      </c>
      <c r="H3796">
        <f>HYPERLINK("https://www.wikidata.org/wiki/Q3184631", "Q3184631")</f>
        <v>0</v>
      </c>
    </row>
    <row r="3797" spans="1:8">
      <c r="A3797" t="s">
        <v>3803</v>
      </c>
      <c r="B3797" t="s">
        <v>8245</v>
      </c>
      <c r="C3797" t="s">
        <v>10886</v>
      </c>
      <c r="D3797" t="s">
        <v>14804</v>
      </c>
      <c r="E3797" t="s">
        <v>16328</v>
      </c>
      <c r="F3797">
        <f>HYPERLINK("https://www2.assemblee-nationale.fr/sycomore/fiche/(num_dept)/8019", "8019.0")</f>
        <v>0</v>
      </c>
      <c r="H3797">
        <f>HYPERLINK("https://www.wikidata.org/wiki/Q16026248", "Q16026248")</f>
        <v>0</v>
      </c>
    </row>
    <row r="3798" spans="1:8">
      <c r="A3798" t="s">
        <v>3804</v>
      </c>
      <c r="B3798" t="s">
        <v>8245</v>
      </c>
      <c r="C3798" t="s">
        <v>7942</v>
      </c>
      <c r="D3798" t="s">
        <v>14805</v>
      </c>
      <c r="E3798" s="2">
        <v>17755</v>
      </c>
      <c r="F3798">
        <f>HYPERLINK("https://www2.assemblee-nationale.fr/sycomore/fiche/(num_dept)/5652", "5652.0")</f>
        <v>0</v>
      </c>
      <c r="H3798">
        <f>HYPERLINK("https://www.wikidata.org/wiki/Q16026250", "Q16026250")</f>
        <v>0</v>
      </c>
    </row>
    <row r="3799" spans="1:8">
      <c r="A3799" t="s">
        <v>3805</v>
      </c>
      <c r="B3799" t="s">
        <v>8246</v>
      </c>
      <c r="C3799" t="s">
        <v>9430</v>
      </c>
      <c r="D3799" t="s">
        <v>14806</v>
      </c>
      <c r="E3799" s="2">
        <v>12356</v>
      </c>
      <c r="F3799">
        <f>HYPERLINK("https://www2.assemblee-nationale.fr/sycomore/fiche/(num_dept)/5653", "5653.0")</f>
        <v>0</v>
      </c>
      <c r="H3799">
        <f>HYPERLINK("https://www.wikidata.org/wiki/Q315434", "Q315434")</f>
        <v>0</v>
      </c>
    </row>
    <row r="3800" spans="1:8">
      <c r="A3800" t="s">
        <v>3806</v>
      </c>
      <c r="B3800" t="s">
        <v>8247</v>
      </c>
      <c r="C3800" t="s">
        <v>5096</v>
      </c>
      <c r="D3800" t="s">
        <v>14807</v>
      </c>
      <c r="E3800" s="2">
        <v>9594</v>
      </c>
      <c r="F3800">
        <f>HYPERLINK("https://www2.assemblee-nationale.fr/sycomore/fiche/(num_dept)/5654", "5654.0")</f>
        <v>0</v>
      </c>
      <c r="H3800">
        <f>HYPERLINK("https://www.wikidata.org/wiki/Q2848387", "Q2848387")</f>
        <v>0</v>
      </c>
    </row>
    <row r="3801" spans="1:8">
      <c r="A3801" t="s">
        <v>3807</v>
      </c>
      <c r="B3801" t="s">
        <v>8248</v>
      </c>
      <c r="C3801" t="s">
        <v>9471</v>
      </c>
      <c r="D3801" t="s">
        <v>14808</v>
      </c>
      <c r="E3801" t="s">
        <v>16329</v>
      </c>
      <c r="G3801">
        <f>HYPERLINK("https://www.senat.fr/senateur-3eme-republique/pajot_jules1518r3.html", "pajot_jules1518r3")</f>
        <v>0</v>
      </c>
      <c r="H3801">
        <f>HYPERLINK("https://www.wikidata.org/wiki/Q3188826", "Q3188826")</f>
        <v>0</v>
      </c>
    </row>
    <row r="3802" spans="1:8">
      <c r="A3802" t="s">
        <v>3808</v>
      </c>
      <c r="B3802" t="s">
        <v>8249</v>
      </c>
      <c r="C3802" t="s">
        <v>10887</v>
      </c>
      <c r="D3802" t="s">
        <v>14809</v>
      </c>
      <c r="E3802" s="2">
        <v>10629</v>
      </c>
      <c r="F3802">
        <f>HYPERLINK("https://www2.assemblee-nationale.fr/sycomore/fiche/(num_dept)/5657", "5657.0")</f>
        <v>0</v>
      </c>
      <c r="G3802">
        <f>HYPERLINK("https://www.senat.fr/senateur-3eme-republique/pajot_christophe0430r3.html", "pajot_christophe0430r3")</f>
        <v>0</v>
      </c>
      <c r="H3802">
        <f>HYPERLINK("https://www.wikidata.org/wiki/Q2966424", "Q2966424")</f>
        <v>0</v>
      </c>
    </row>
    <row r="3803" spans="1:8">
      <c r="A3803" t="s">
        <v>3809</v>
      </c>
      <c r="B3803" t="s">
        <v>8250</v>
      </c>
      <c r="C3803" t="s">
        <v>9324</v>
      </c>
      <c r="D3803" t="s">
        <v>14810</v>
      </c>
      <c r="E3803" s="2">
        <v>13294</v>
      </c>
      <c r="F3803">
        <f>HYPERLINK("https://www2.assemblee-nationale.fr/sycomore/fiche/(num_dept)/5660", "5660.0")</f>
        <v>0</v>
      </c>
      <c r="H3803">
        <f>HYPERLINK("https://www.wikidata.org/wiki/Q13635790", "Q13635790")</f>
        <v>0</v>
      </c>
    </row>
    <row r="3804" spans="1:8">
      <c r="A3804" t="s">
        <v>3810</v>
      </c>
      <c r="B3804" t="s">
        <v>8251</v>
      </c>
      <c r="C3804" t="s">
        <v>10888</v>
      </c>
      <c r="D3804" t="s">
        <v>14811</v>
      </c>
      <c r="E3804" t="s">
        <v>16330</v>
      </c>
      <c r="F3804">
        <f>HYPERLINK("https://www2.assemblee-nationale.fr/sycomore/fiche/(num_dept)/5661", "5661.0")</f>
        <v>0</v>
      </c>
      <c r="H3804">
        <f>HYPERLINK("https://www.wikidata.org/wiki/Q16026252", "Q16026252")</f>
        <v>0</v>
      </c>
    </row>
    <row r="3805" spans="1:8">
      <c r="A3805" t="s">
        <v>3811</v>
      </c>
      <c r="B3805" t="s">
        <v>8252</v>
      </c>
      <c r="C3805" t="s">
        <v>7942</v>
      </c>
      <c r="D3805" t="s">
        <v>13208</v>
      </c>
      <c r="E3805" s="2">
        <v>20092</v>
      </c>
      <c r="F3805">
        <f>HYPERLINK("https://www2.assemblee-nationale.fr/sycomore/fiche/(num_dept)/5662", "5662.0")</f>
        <v>0</v>
      </c>
      <c r="G3805">
        <f>HYPERLINK("https://www.senat.fr/senateur-3eme-republique/palmade_maurice0409r3.html", "palmade_maurice0409r3")</f>
        <v>0</v>
      </c>
      <c r="H3805">
        <f>HYPERLINK("https://www.wikidata.org/wiki/Q3301240", "Q3301240")</f>
        <v>0</v>
      </c>
    </row>
    <row r="3806" spans="1:8">
      <c r="A3806" t="s">
        <v>3812</v>
      </c>
      <c r="B3806" t="s">
        <v>8253</v>
      </c>
      <c r="C3806" t="s">
        <v>10889</v>
      </c>
      <c r="D3806" t="s">
        <v>14812</v>
      </c>
      <c r="E3806" s="2">
        <v>11090</v>
      </c>
      <c r="F3806">
        <f>HYPERLINK("https://www2.assemblee-nationale.fr/sycomore/fiche/(num_dept)/5665", "5665.0")</f>
        <v>0</v>
      </c>
      <c r="G3806">
        <f>HYPERLINK("https://www.senat.fr/senateur-3eme-republique/pams_jules1089r3.html", "pams_jules1089r3")</f>
        <v>0</v>
      </c>
      <c r="H3806">
        <f>HYPERLINK("https://www.wikidata.org/wiki/Q3188830", "Q3188830")</f>
        <v>0</v>
      </c>
    </row>
    <row r="3807" spans="1:8">
      <c r="A3807" t="s">
        <v>3813</v>
      </c>
      <c r="B3807" t="s">
        <v>8254</v>
      </c>
      <c r="C3807" t="s">
        <v>5058</v>
      </c>
      <c r="D3807" t="s">
        <v>14813</v>
      </c>
      <c r="E3807" s="2">
        <v>6858</v>
      </c>
      <c r="F3807">
        <f>HYPERLINK("https://www2.assemblee-nationale.fr/sycomore/fiche/(num_dept)/5670", "5670.0")</f>
        <v>0</v>
      </c>
      <c r="H3807">
        <f>HYPERLINK("https://www.wikidata.org/wiki/Q16026255", "Q16026255")</f>
        <v>0</v>
      </c>
    </row>
    <row r="3808" spans="1:8">
      <c r="A3808" t="s">
        <v>3814</v>
      </c>
      <c r="B3808" t="s">
        <v>8255</v>
      </c>
      <c r="C3808" t="s">
        <v>8384</v>
      </c>
      <c r="D3808" t="s">
        <v>14814</v>
      </c>
      <c r="E3808" s="2">
        <v>190</v>
      </c>
      <c r="F3808">
        <f>HYPERLINK("https://www2.assemblee-nationale.fr/sycomore/fiche/(num_dept)/5672", "5672.0")</f>
        <v>0</v>
      </c>
      <c r="H3808">
        <f>HYPERLINK("https://www.wikidata.org/wiki/Q16026257", "Q16026257")</f>
        <v>0</v>
      </c>
    </row>
    <row r="3809" spans="1:8">
      <c r="A3809" t="s">
        <v>3815</v>
      </c>
      <c r="B3809" t="s">
        <v>8256</v>
      </c>
      <c r="C3809" t="s">
        <v>9429</v>
      </c>
      <c r="D3809" t="s">
        <v>14815</v>
      </c>
      <c r="E3809" t="s">
        <v>16331</v>
      </c>
      <c r="F3809">
        <f>HYPERLINK("https://www2.assemblee-nationale.fr/sycomore/fiche/(num_dept)/5673", "5673.0")</f>
        <v>0</v>
      </c>
      <c r="H3809">
        <f>HYPERLINK("https://www.wikidata.org/wiki/Q8309254", "Q8309254")</f>
        <v>0</v>
      </c>
    </row>
    <row r="3810" spans="1:8">
      <c r="A3810" t="s">
        <v>3816</v>
      </c>
      <c r="B3810" t="s">
        <v>8257</v>
      </c>
      <c r="C3810" t="s">
        <v>10211</v>
      </c>
      <c r="D3810" t="s">
        <v>14816</v>
      </c>
      <c r="E3810" s="2">
        <v>16020</v>
      </c>
      <c r="F3810">
        <f>HYPERLINK("https://www2.assemblee-nationale.fr/sycomore/fiche/(num_dept)/5677", "5677.0")</f>
        <v>0</v>
      </c>
      <c r="H3810">
        <f>HYPERLINK("https://www.wikidata.org/wiki/Q16026259", "Q16026259")</f>
        <v>0</v>
      </c>
    </row>
    <row r="3811" spans="1:8">
      <c r="A3811" t="s">
        <v>3817</v>
      </c>
      <c r="B3811" t="s">
        <v>8258</v>
      </c>
      <c r="C3811" t="s">
        <v>9373</v>
      </c>
      <c r="D3811" t="s">
        <v>14817</v>
      </c>
      <c r="E3811" s="2">
        <v>14864</v>
      </c>
      <c r="F3811">
        <f>HYPERLINK("https://www2.assemblee-nationale.fr/sycomore/fiche/(num_dept)/5679", "5679.0")</f>
        <v>0</v>
      </c>
      <c r="G3811">
        <f>HYPERLINK("https://www.senat.fr/senateur-3eme-republique/parayre_joseph1092r3.html", "parayre_joseph1092r3")</f>
        <v>0</v>
      </c>
      <c r="H3811">
        <f>HYPERLINK("https://www.wikidata.org/wiki/Q3185447", "Q3185447")</f>
        <v>0</v>
      </c>
    </row>
    <row r="3812" spans="1:8">
      <c r="A3812" t="s">
        <v>3818</v>
      </c>
      <c r="B3812" t="s">
        <v>8259</v>
      </c>
      <c r="C3812" t="s">
        <v>8182</v>
      </c>
      <c r="D3812" t="s">
        <v>14818</v>
      </c>
      <c r="E3812" t="s">
        <v>16332</v>
      </c>
      <c r="G3812">
        <f>HYPERLINK("https://www.senat.fr/senateur-3eme-republique/parent_nicolas1299r3.html", "parent_nicolas1299r3")</f>
        <v>0</v>
      </c>
      <c r="H3812">
        <f>HYPERLINK("https://www.wikidata.org/wiki/Q3340651", "Q3340651")</f>
        <v>0</v>
      </c>
    </row>
    <row r="3813" spans="1:8">
      <c r="A3813" t="s">
        <v>3819</v>
      </c>
      <c r="B3813" t="s">
        <v>8260</v>
      </c>
      <c r="C3813" t="s">
        <v>9320</v>
      </c>
      <c r="D3813" t="s">
        <v>14819</v>
      </c>
      <c r="E3813" s="2">
        <v>15637</v>
      </c>
      <c r="F3813">
        <f>HYPERLINK("https://www2.assemblee-nationale.fr/sycomore/fiche/(num_dept)/5682", "5682.0")</f>
        <v>0</v>
      </c>
      <c r="H3813">
        <f>HYPERLINK("https://www.wikidata.org/wiki/Q16026261", "Q16026261")</f>
        <v>0</v>
      </c>
    </row>
    <row r="3814" spans="1:8">
      <c r="A3814" t="s">
        <v>3820</v>
      </c>
      <c r="B3814" t="s">
        <v>8261</v>
      </c>
      <c r="C3814" t="s">
        <v>9337</v>
      </c>
      <c r="D3814" t="s">
        <v>14820</v>
      </c>
      <c r="E3814" t="s">
        <v>16333</v>
      </c>
      <c r="G3814">
        <f>HYPERLINK("https://www.senat.fr/senateur-3eme-republique/paris_auguste0921r3.html", "paris_auguste0921r3")</f>
        <v>0</v>
      </c>
      <c r="H3814">
        <f>HYPERLINK("https://www.wikidata.org/wiki/Q766851", "Q766851")</f>
        <v>0</v>
      </c>
    </row>
    <row r="3815" spans="1:8">
      <c r="A3815" t="s">
        <v>3821</v>
      </c>
      <c r="B3815" t="s">
        <v>8262</v>
      </c>
      <c r="C3815" t="s">
        <v>7754</v>
      </c>
      <c r="D3815" t="s">
        <v>14821</v>
      </c>
      <c r="E3815" s="2">
        <v>5512</v>
      </c>
      <c r="G3815">
        <f>HYPERLINK("https://www.senat.fr/senateur-3eme-republique/parisot_louis1804r3.html", "parisot_louis1804r3")</f>
        <v>0</v>
      </c>
      <c r="H3815">
        <f>HYPERLINK("https://www.wikidata.org/wiki/Q3262842", "Q3262842")</f>
        <v>0</v>
      </c>
    </row>
    <row r="3816" spans="1:8">
      <c r="A3816" t="s">
        <v>3822</v>
      </c>
      <c r="B3816" t="s">
        <v>8263</v>
      </c>
      <c r="C3816" t="s">
        <v>5058</v>
      </c>
      <c r="D3816" t="s">
        <v>14822</v>
      </c>
      <c r="E3816" s="2">
        <v>4205</v>
      </c>
      <c r="G3816">
        <f>HYPERLINK("https://www.senat.fr/senateur-3eme-republique/parissot_albert0757r3.html", "parissot_albert0757r3")</f>
        <v>0</v>
      </c>
      <c r="H3816">
        <f>HYPERLINK("https://www.wikidata.org/wiki/Q2831450", "Q2831450")</f>
        <v>0</v>
      </c>
    </row>
    <row r="3817" spans="1:8">
      <c r="A3817" t="s">
        <v>3823</v>
      </c>
      <c r="B3817" t="s">
        <v>8264</v>
      </c>
      <c r="C3817" t="s">
        <v>5096</v>
      </c>
      <c r="D3817" t="s">
        <v>14823</v>
      </c>
      <c r="E3817" s="2">
        <v>33336</v>
      </c>
      <c r="F3817">
        <f>HYPERLINK("https://www2.assemblee-nationale.fr/sycomore/fiche/(num_dept)/5686", "5686.0")</f>
        <v>0</v>
      </c>
      <c r="H3817">
        <f>HYPERLINK("https://www.wikidata.org/wiki/Q2848395", "Q2848395")</f>
        <v>0</v>
      </c>
    </row>
    <row r="3818" spans="1:8">
      <c r="A3818" t="s">
        <v>3824</v>
      </c>
      <c r="B3818" t="s">
        <v>8265</v>
      </c>
      <c r="C3818" t="s">
        <v>10890</v>
      </c>
      <c r="D3818" t="s">
        <v>14824</v>
      </c>
      <c r="E3818" s="2">
        <v>341</v>
      </c>
      <c r="F3818">
        <f>HYPERLINK("https://www2.assemblee-nationale.fr/sycomore/fiche/(num_dept)/8110", "8110.0")</f>
        <v>0</v>
      </c>
      <c r="G3818">
        <f>HYPERLINK("https://www.senat.fr/senateur-3eme-republique/parry_eugene0623r3.html", "parry_eugene0623r3")</f>
        <v>0</v>
      </c>
      <c r="H3818">
        <f>HYPERLINK("https://www.wikidata.org/wiki/Q3060079", "Q3060079")</f>
        <v>0</v>
      </c>
    </row>
    <row r="3819" spans="1:8">
      <c r="A3819" t="s">
        <v>3825</v>
      </c>
      <c r="B3819" t="s">
        <v>8266</v>
      </c>
      <c r="C3819" t="s">
        <v>9337</v>
      </c>
      <c r="D3819" t="s">
        <v>14825</v>
      </c>
      <c r="E3819" s="2">
        <v>12547</v>
      </c>
      <c r="F3819">
        <f>HYPERLINK("https://www2.assemblee-nationale.fr/sycomore/fiche/(num_dept)/5691", "5691.0")</f>
        <v>0</v>
      </c>
      <c r="H3819">
        <f>HYPERLINK("https://www.wikidata.org/wiki/Q16026264", "Q16026264")</f>
        <v>0</v>
      </c>
    </row>
    <row r="3820" spans="1:8">
      <c r="A3820" t="s">
        <v>3826</v>
      </c>
      <c r="B3820" t="s">
        <v>8267</v>
      </c>
      <c r="C3820" t="s">
        <v>7342</v>
      </c>
      <c r="D3820" t="s">
        <v>14826</v>
      </c>
      <c r="E3820" s="2">
        <v>12323</v>
      </c>
      <c r="F3820">
        <f>HYPERLINK("https://www2.assemblee-nationale.fr/sycomore/fiche/(num_dept)/5693", "5693.0")</f>
        <v>0</v>
      </c>
      <c r="H3820">
        <f>HYPERLINK("https://www.wikidata.org/wiki/Q16026269", "Q16026269")</f>
        <v>0</v>
      </c>
    </row>
    <row r="3821" spans="1:8">
      <c r="A3821" t="s">
        <v>3827</v>
      </c>
      <c r="B3821" t="s">
        <v>8268</v>
      </c>
      <c r="C3821" t="s">
        <v>8006</v>
      </c>
      <c r="D3821" t="s">
        <v>14827</v>
      </c>
      <c r="E3821" s="2">
        <v>24414</v>
      </c>
      <c r="F3821">
        <f>HYPERLINK("https://www2.assemblee-nationale.fr/sycomore/fiche/(num_dept)/5683", "5683.0")</f>
        <v>0</v>
      </c>
      <c r="H3821">
        <f>HYPERLINK("https://www.wikidata.org/wiki/Q16004087", "Q16004087")</f>
        <v>0</v>
      </c>
    </row>
    <row r="3822" spans="1:8">
      <c r="A3822" t="s">
        <v>3828</v>
      </c>
      <c r="B3822" t="s">
        <v>8269</v>
      </c>
      <c r="C3822" t="s">
        <v>10207</v>
      </c>
      <c r="D3822" t="s">
        <v>11430</v>
      </c>
      <c r="E3822" s="2">
        <v>8621</v>
      </c>
      <c r="F3822">
        <f>HYPERLINK("https://www2.assemblee-nationale.fr/sycomore/fiche/(num_dept)/5695", "5695.0")</f>
        <v>0</v>
      </c>
      <c r="H3822">
        <f>HYPERLINK("https://www.wikidata.org/wiki/Q3271603", "Q3271603")</f>
        <v>0</v>
      </c>
    </row>
    <row r="3823" spans="1:8">
      <c r="A3823" t="s">
        <v>3829</v>
      </c>
      <c r="B3823" t="s">
        <v>8270</v>
      </c>
      <c r="C3823" t="s">
        <v>10891</v>
      </c>
      <c r="D3823" t="s">
        <v>14828</v>
      </c>
      <c r="E3823" s="2">
        <v>20557</v>
      </c>
      <c r="F3823">
        <f>HYPERLINK("https://www2.assemblee-nationale.fr/sycomore/fiche/(num_dept)/5697", "5697.0")</f>
        <v>0</v>
      </c>
      <c r="H3823">
        <f>HYPERLINK("https://www.wikidata.org/wiki/Q3579986", "Q3579986")</f>
        <v>0</v>
      </c>
    </row>
    <row r="3824" spans="1:8">
      <c r="A3824" t="s">
        <v>3830</v>
      </c>
      <c r="B3824" t="s">
        <v>8271</v>
      </c>
      <c r="C3824" t="s">
        <v>7782</v>
      </c>
      <c r="D3824" t="s">
        <v>14829</v>
      </c>
      <c r="E3824" s="2">
        <v>9926</v>
      </c>
      <c r="F3824">
        <f>HYPERLINK("https://www2.assemblee-nationale.fr/sycomore/fiche/(num_dept)/5699", "5699.0")</f>
        <v>0</v>
      </c>
      <c r="G3824">
        <f>HYPERLINK("https://www.senat.fr/senateur-3eme-republique/pasqual_leon1381r3.html", "pasqual_leon1381r3")</f>
        <v>0</v>
      </c>
      <c r="H3824">
        <f>HYPERLINK("https://www.wikidata.org/wiki/Q3271250", "Q3271250")</f>
        <v>0</v>
      </c>
    </row>
    <row r="3825" spans="1:8">
      <c r="A3825" t="s">
        <v>3831</v>
      </c>
      <c r="B3825" t="s">
        <v>8272</v>
      </c>
      <c r="C3825" t="s">
        <v>7754</v>
      </c>
      <c r="D3825" t="s">
        <v>14830</v>
      </c>
      <c r="E3825" s="2">
        <v>11442</v>
      </c>
      <c r="G3825">
        <f>HYPERLINK("https://www.senat.fr/senateur-3eme-republique/pasquet_louis0313r3.html", "pasquet_louis0313r3")</f>
        <v>0</v>
      </c>
      <c r="H3825">
        <f>HYPERLINK("https://www.wikidata.org/wiki/Q1871907", "Q1871907")</f>
        <v>0</v>
      </c>
    </row>
    <row r="3826" spans="1:8">
      <c r="A3826" t="s">
        <v>3832</v>
      </c>
      <c r="B3826" t="s">
        <v>8273</v>
      </c>
      <c r="C3826" t="s">
        <v>9471</v>
      </c>
      <c r="D3826" t="s">
        <v>14831</v>
      </c>
      <c r="E3826" s="2">
        <v>10297</v>
      </c>
      <c r="F3826">
        <f>HYPERLINK("https://www2.assemblee-nationale.fr/sycomore/fiche/(num_dept)/5700", "5700.0")</f>
        <v>0</v>
      </c>
      <c r="H3826">
        <f>HYPERLINK("https://www.wikidata.org/wiki/Q15971936", "Q15971936")</f>
        <v>0</v>
      </c>
    </row>
    <row r="3827" spans="1:8">
      <c r="A3827" t="s">
        <v>3833</v>
      </c>
      <c r="B3827" t="s">
        <v>8274</v>
      </c>
      <c r="C3827" t="s">
        <v>9634</v>
      </c>
      <c r="D3827" t="s">
        <v>14832</v>
      </c>
      <c r="E3827" s="2">
        <v>4545</v>
      </c>
      <c r="F3827">
        <f>HYPERLINK("https://www2.assemblee-nationale.fr/sycomore/fiche/(num_dept)/8021", "8021.0")</f>
        <v>0</v>
      </c>
      <c r="H3827">
        <f>HYPERLINK("https://www.wikidata.org/wiki/Q180409", "Q180409")</f>
        <v>0</v>
      </c>
    </row>
    <row r="3828" spans="1:8">
      <c r="A3828" t="s">
        <v>3834</v>
      </c>
      <c r="B3828" t="s">
        <v>8274</v>
      </c>
      <c r="C3828" t="s">
        <v>10892</v>
      </c>
      <c r="D3828" t="s">
        <v>14833</v>
      </c>
      <c r="E3828" s="2">
        <v>4961</v>
      </c>
      <c r="F3828">
        <f>HYPERLINK("https://www2.assemblee-nationale.fr/sycomore/fiche/(num_dept)/5702", "5702.0")</f>
        <v>0</v>
      </c>
      <c r="H3828">
        <f>HYPERLINK("https://www.wikidata.org/wiki/Q3262846", "Q3262846")</f>
        <v>0</v>
      </c>
    </row>
    <row r="3829" spans="1:8">
      <c r="A3829" t="s">
        <v>3835</v>
      </c>
      <c r="B3829" t="s">
        <v>8275</v>
      </c>
      <c r="C3829" t="s">
        <v>10893</v>
      </c>
      <c r="D3829" t="s">
        <v>14834</v>
      </c>
      <c r="E3829" s="2">
        <v>10987</v>
      </c>
      <c r="F3829">
        <f>HYPERLINK("https://www2.assemblee-nationale.fr/sycomore/fiche/(num_dept)/5704", "5704.0")</f>
        <v>0</v>
      </c>
      <c r="H3829">
        <f>HYPERLINK("https://www.wikidata.org/wiki/Q82209", "Q82209")</f>
        <v>0</v>
      </c>
    </row>
    <row r="3830" spans="1:8">
      <c r="A3830" t="s">
        <v>3836</v>
      </c>
      <c r="B3830" t="s">
        <v>8276</v>
      </c>
      <c r="C3830" t="s">
        <v>10894</v>
      </c>
      <c r="D3830" t="s">
        <v>14835</v>
      </c>
      <c r="E3830" s="2">
        <v>21237</v>
      </c>
      <c r="F3830">
        <f>HYPERLINK("https://www2.assemblee-nationale.fr/sycomore/fiche/(num_dept)/5708", "5708.0")</f>
        <v>0</v>
      </c>
      <c r="H3830">
        <f>HYPERLINK("https://www.wikidata.org/wiki/Q8306122", "Q8306122")</f>
        <v>0</v>
      </c>
    </row>
    <row r="3831" spans="1:8">
      <c r="A3831" t="s">
        <v>3837</v>
      </c>
      <c r="B3831" t="s">
        <v>8277</v>
      </c>
      <c r="C3831" t="s">
        <v>9386</v>
      </c>
      <c r="D3831" s="2">
        <v>213</v>
      </c>
      <c r="E3831" s="2">
        <v>18798</v>
      </c>
      <c r="F3831">
        <f>HYPERLINK("https://www2.assemblee-nationale.fr/sycomore/fiche/(num_dept)/5707", "5707.0")</f>
        <v>0</v>
      </c>
      <c r="H3831">
        <f>HYPERLINK("https://www.wikidata.org/wiki/Q2569191", "Q2569191")</f>
        <v>0</v>
      </c>
    </row>
    <row r="3832" spans="1:8">
      <c r="A3832" t="s">
        <v>3838</v>
      </c>
      <c r="B3832" t="s">
        <v>8278</v>
      </c>
      <c r="C3832" t="s">
        <v>9324</v>
      </c>
      <c r="D3832" t="s">
        <v>14836</v>
      </c>
      <c r="E3832" s="2">
        <v>21983</v>
      </c>
      <c r="G3832">
        <f>HYPERLINK("https://www.senat.fr/senateur-3eme-republique/patizel_henri0636r3.html", "patizel_henri0636r3")</f>
        <v>0</v>
      </c>
      <c r="H3832">
        <f>HYPERLINK("https://www.wikidata.org/wiki/Q3131747", "Q3131747")</f>
        <v>0</v>
      </c>
    </row>
    <row r="3833" spans="1:8">
      <c r="A3833" t="s">
        <v>3839</v>
      </c>
      <c r="B3833" t="s">
        <v>8279</v>
      </c>
      <c r="C3833" t="s">
        <v>9430</v>
      </c>
      <c r="D3833" t="s">
        <v>14837</v>
      </c>
      <c r="E3833" s="2">
        <v>7872</v>
      </c>
      <c r="F3833">
        <f>HYPERLINK("https://www2.assemblee-nationale.fr/sycomore/fiche/(num_dept)/5716", "5716.0")</f>
        <v>0</v>
      </c>
      <c r="H3833">
        <f>HYPERLINK("https://www.wikidata.org/wiki/Q3371965", "Q3371965")</f>
        <v>0</v>
      </c>
    </row>
    <row r="3834" spans="1:8">
      <c r="A3834" t="s">
        <v>3840</v>
      </c>
      <c r="B3834" t="s">
        <v>8280</v>
      </c>
      <c r="C3834" t="s">
        <v>10895</v>
      </c>
      <c r="D3834" t="s">
        <v>14838</v>
      </c>
      <c r="E3834" s="2">
        <v>16556</v>
      </c>
      <c r="F3834">
        <f>HYPERLINK("https://www2.assemblee-nationale.fr/sycomore/fiche/(num_dept)/5718", "5718.0")</f>
        <v>0</v>
      </c>
      <c r="H3834">
        <f>HYPERLINK("https://www.wikidata.org/wiki/Q3185457", "Q3185457")</f>
        <v>0</v>
      </c>
    </row>
    <row r="3835" spans="1:8">
      <c r="A3835" t="s">
        <v>3841</v>
      </c>
      <c r="B3835" t="s">
        <v>8280</v>
      </c>
      <c r="C3835" t="s">
        <v>10896</v>
      </c>
      <c r="D3835" t="s">
        <v>14839</v>
      </c>
      <c r="E3835" s="2">
        <v>21186</v>
      </c>
      <c r="F3835">
        <f>HYPERLINK("https://www2.assemblee-nationale.fr/sycomore/fiche/(num_dept)/5717", "5717.0")</f>
        <v>0</v>
      </c>
      <c r="H3835">
        <f>HYPERLINK("https://www.wikidata.org/wiki/Q2852484", "Q2852484")</f>
        <v>0</v>
      </c>
    </row>
    <row r="3836" spans="1:8">
      <c r="A3836" t="s">
        <v>3842</v>
      </c>
      <c r="B3836" t="s">
        <v>8281</v>
      </c>
      <c r="C3836" t="s">
        <v>9524</v>
      </c>
      <c r="D3836" t="s">
        <v>14279</v>
      </c>
      <c r="E3836" s="2">
        <v>16397</v>
      </c>
      <c r="F3836">
        <f>HYPERLINK("https://www2.assemblee-nationale.fr/sycomore/fiche/(num_dept)/5719", "5719.0")</f>
        <v>0</v>
      </c>
      <c r="H3836">
        <f>HYPERLINK("https://www.wikidata.org/wiki/Q16026275", "Q16026275")</f>
        <v>0</v>
      </c>
    </row>
    <row r="3837" spans="1:8">
      <c r="A3837" t="s">
        <v>3843</v>
      </c>
      <c r="B3837" t="s">
        <v>8282</v>
      </c>
      <c r="C3837" t="s">
        <v>7233</v>
      </c>
      <c r="D3837" t="s">
        <v>12942</v>
      </c>
      <c r="E3837" s="2">
        <v>15668</v>
      </c>
      <c r="F3837">
        <f>HYPERLINK("https://www2.assemblee-nationale.fr/sycomore/fiche/(num_dept)/5706", "5706.0")</f>
        <v>0</v>
      </c>
      <c r="H3837">
        <f>HYPERLINK("https://www.wikidata.org/wiki/Q3132997", "Q3132997")</f>
        <v>0</v>
      </c>
    </row>
    <row r="3838" spans="1:8">
      <c r="A3838" t="s">
        <v>3844</v>
      </c>
      <c r="B3838" t="s">
        <v>8283</v>
      </c>
      <c r="C3838" t="s">
        <v>9373</v>
      </c>
      <c r="D3838" t="s">
        <v>14840</v>
      </c>
      <c r="E3838" s="2">
        <v>26386</v>
      </c>
      <c r="F3838">
        <f>HYPERLINK("https://www2.assemblee-nationale.fr/sycomore/fiche/(num_dept)/5724", "5724.0")</f>
        <v>0</v>
      </c>
      <c r="G3838">
        <f>HYPERLINK("https://www.senat.fr/senateur-3eme-republique/paul_boncour_joseph0550r4.html", "paul_boncour_joseph0550r4")</f>
        <v>0</v>
      </c>
      <c r="H3838">
        <f>HYPERLINK("https://www.wikidata.org/wiki/Q285865", "Q285865")</f>
        <v>0</v>
      </c>
    </row>
    <row r="3839" spans="1:8">
      <c r="A3839" t="s">
        <v>3845</v>
      </c>
      <c r="B3839" t="s">
        <v>8284</v>
      </c>
      <c r="C3839" t="s">
        <v>9430</v>
      </c>
      <c r="D3839" t="s">
        <v>11645</v>
      </c>
      <c r="F3839">
        <f>HYPERLINK("https://www2.assemblee-nationale.fr/sycomore/fiche/(num_dept)/5725", "5725.0")</f>
        <v>0</v>
      </c>
      <c r="H3839">
        <f>HYPERLINK("https://www.wikidata.org/wiki/Q3371192", "Q3371192")</f>
        <v>0</v>
      </c>
    </row>
    <row r="3840" spans="1:8">
      <c r="A3840" t="s">
        <v>3846</v>
      </c>
      <c r="B3840" t="s">
        <v>8285</v>
      </c>
      <c r="C3840" t="s">
        <v>9373</v>
      </c>
      <c r="D3840" t="s">
        <v>14841</v>
      </c>
      <c r="E3840" s="2">
        <v>3452</v>
      </c>
      <c r="G3840">
        <f>HYPERLINK("https://www.senat.fr/senateur-3eme-republique/pauliac_joseph0617r3.html", "pauliac_joseph0617r3")</f>
        <v>0</v>
      </c>
      <c r="H3840">
        <f>HYPERLINK("https://www.wikidata.org/wiki/Q3185462", "Q3185462")</f>
        <v>0</v>
      </c>
    </row>
    <row r="3841" spans="1:8">
      <c r="A3841" t="s">
        <v>3847</v>
      </c>
      <c r="B3841" t="s">
        <v>8286</v>
      </c>
      <c r="C3841" t="s">
        <v>7754</v>
      </c>
      <c r="D3841" t="s">
        <v>14842</v>
      </c>
      <c r="E3841" s="2">
        <v>5744</v>
      </c>
      <c r="G3841">
        <f>HYPERLINK("https://www.senat.fr/senateur-3eme-republique/pauliat_louis0443r3.html", "pauliat_louis0443r3")</f>
        <v>0</v>
      </c>
      <c r="H3841">
        <f>HYPERLINK("https://www.wikidata.org/wiki/Q3262853", "Q3262853")</f>
        <v>0</v>
      </c>
    </row>
    <row r="3842" spans="1:8">
      <c r="A3842" t="s">
        <v>3848</v>
      </c>
      <c r="B3842" t="s">
        <v>8287</v>
      </c>
      <c r="C3842" t="s">
        <v>10897</v>
      </c>
      <c r="D3842" t="s">
        <v>14843</v>
      </c>
      <c r="E3842" s="2">
        <v>4774</v>
      </c>
      <c r="F3842">
        <f>HYPERLINK("https://www2.assemblee-nationale.fr/sycomore/fiche/(num_dept)/5728", "5728.0")</f>
        <v>0</v>
      </c>
      <c r="H3842">
        <f>HYPERLINK("https://www.wikidata.org/wiki/Q3372672", "Q3372672")</f>
        <v>0</v>
      </c>
    </row>
    <row r="3843" spans="1:8">
      <c r="A3843" t="s">
        <v>3849</v>
      </c>
      <c r="B3843" t="s">
        <v>8288</v>
      </c>
      <c r="C3843" t="s">
        <v>5058</v>
      </c>
      <c r="D3843" t="s">
        <v>14844</v>
      </c>
      <c r="E3843" s="2">
        <v>20392</v>
      </c>
      <c r="F3843">
        <f>HYPERLINK("https://www2.assemblee-nationale.fr/sycomore/fiche/(num_dept)/5726", "5726.0")</f>
        <v>0</v>
      </c>
      <c r="H3843">
        <f>HYPERLINK("https://www.wikidata.org/wiki/Q2831455", "Q2831455")</f>
        <v>0</v>
      </c>
    </row>
    <row r="3844" spans="1:8">
      <c r="A3844" t="s">
        <v>3850</v>
      </c>
      <c r="B3844" t="s">
        <v>8289</v>
      </c>
      <c r="C3844" t="s">
        <v>9355</v>
      </c>
      <c r="D3844" t="s">
        <v>14845</v>
      </c>
      <c r="E3844" t="s">
        <v>16334</v>
      </c>
      <c r="G3844">
        <f>HYPERLINK("https://www.senat.fr/senateur-3eme-republique/paulmier_charles0332r3.html", "paulmier_charles0332r3")</f>
        <v>0</v>
      </c>
      <c r="H3844">
        <f>HYPERLINK("https://www.wikidata.org/wiki/Q17350278", "Q17350278")</f>
        <v>0</v>
      </c>
    </row>
    <row r="3845" spans="1:8">
      <c r="A3845" t="s">
        <v>3851</v>
      </c>
      <c r="B3845" t="s">
        <v>8290</v>
      </c>
      <c r="C3845" t="s">
        <v>10898</v>
      </c>
      <c r="D3845" t="s">
        <v>14846</v>
      </c>
      <c r="E3845" s="2">
        <v>2791</v>
      </c>
      <c r="F3845">
        <f>HYPERLINK("https://www2.assemblee-nationale.fr/sycomore/fiche/(num_dept)/5729", "5729.0")</f>
        <v>0</v>
      </c>
      <c r="H3845">
        <f>HYPERLINK("https://www.wikidata.org/wiki/Q17350275", "Q17350275")</f>
        <v>0</v>
      </c>
    </row>
    <row r="3846" spans="1:8">
      <c r="A3846" t="s">
        <v>3852</v>
      </c>
      <c r="B3846" t="s">
        <v>8291</v>
      </c>
      <c r="C3846" t="s">
        <v>6864</v>
      </c>
      <c r="D3846" t="s">
        <v>14847</v>
      </c>
      <c r="E3846" s="2">
        <v>5892</v>
      </c>
      <c r="F3846">
        <f>HYPERLINK("https://www2.assemblee-nationale.fr/sycomore/fiche/(num_dept)/5731", "5731.0")</f>
        <v>0</v>
      </c>
      <c r="H3846">
        <f>HYPERLINK("https://www.wikidata.org/wiki/Q16026282", "Q16026282")</f>
        <v>0</v>
      </c>
    </row>
    <row r="3847" spans="1:8">
      <c r="A3847" t="s">
        <v>3853</v>
      </c>
      <c r="B3847" t="s">
        <v>8292</v>
      </c>
      <c r="C3847" t="s">
        <v>9346</v>
      </c>
      <c r="D3847" t="s">
        <v>14848</v>
      </c>
      <c r="E3847" s="2">
        <v>22046</v>
      </c>
      <c r="F3847">
        <f>HYPERLINK("https://www2.assemblee-nationale.fr/sycomore/fiche/(num_dept)/5733", "5733.0")</f>
        <v>0</v>
      </c>
      <c r="H3847">
        <f>HYPERLINK("https://www.wikidata.org/wiki/Q16798528", "Q16798528")</f>
        <v>0</v>
      </c>
    </row>
    <row r="3848" spans="1:8">
      <c r="A3848" t="s">
        <v>3854</v>
      </c>
      <c r="B3848" t="s">
        <v>8292</v>
      </c>
      <c r="C3848" t="s">
        <v>10899</v>
      </c>
      <c r="D3848" t="s">
        <v>14849</v>
      </c>
      <c r="E3848" s="2">
        <v>11902</v>
      </c>
      <c r="F3848">
        <f>HYPERLINK("https://www2.assemblee-nationale.fr/sycomore/fiche/(num_dept)/5734", "5734.0")</f>
        <v>0</v>
      </c>
      <c r="H3848">
        <f>HYPERLINK("https://www.wikidata.org/wiki/Q3054472", "Q3054472")</f>
        <v>0</v>
      </c>
    </row>
    <row r="3849" spans="1:8">
      <c r="A3849" t="s">
        <v>3855</v>
      </c>
      <c r="B3849" t="s">
        <v>8293</v>
      </c>
      <c r="C3849" t="s">
        <v>5096</v>
      </c>
      <c r="D3849" t="s">
        <v>14850</v>
      </c>
      <c r="E3849" s="2">
        <v>19524</v>
      </c>
      <c r="F3849">
        <f>HYPERLINK("https://www2.assemblee-nationale.fr/sycomore/fiche/(num_dept)/5735", "5735.0")</f>
        <v>0</v>
      </c>
      <c r="H3849">
        <f>HYPERLINK("https://www.wikidata.org/wiki/Q13077231", "Q13077231")</f>
        <v>0</v>
      </c>
    </row>
    <row r="3850" spans="1:8">
      <c r="A3850" t="s">
        <v>3856</v>
      </c>
      <c r="B3850" t="s">
        <v>8294</v>
      </c>
      <c r="C3850" t="s">
        <v>7342</v>
      </c>
      <c r="D3850" t="s">
        <v>14851</v>
      </c>
      <c r="E3850" s="2">
        <v>13664</v>
      </c>
      <c r="F3850">
        <f>HYPERLINK("https://www2.assemblee-nationale.fr/sycomore/fiche/(num_dept)/5736", "5736.0")</f>
        <v>0</v>
      </c>
      <c r="G3850">
        <f>HYPERLINK("https://www.senat.fr/senateur-3eme-republique/payra_jean1091r3.html", "payra_jean1091r3")</f>
        <v>0</v>
      </c>
      <c r="H3850">
        <f>HYPERLINK("https://www.wikidata.org/wiki/Q3173886", "Q3173886")</f>
        <v>0</v>
      </c>
    </row>
    <row r="3851" spans="1:8">
      <c r="A3851" t="s">
        <v>3857</v>
      </c>
      <c r="B3851" t="s">
        <v>8295</v>
      </c>
      <c r="C3851" t="s">
        <v>8384</v>
      </c>
      <c r="D3851" t="s">
        <v>14852</v>
      </c>
      <c r="E3851" s="2">
        <v>21263</v>
      </c>
      <c r="F3851">
        <f>HYPERLINK("https://www2.assemblee-nationale.fr/sycomore/fiche/(num_dept)/5737", "5737.0")</f>
        <v>0</v>
      </c>
      <c r="H3851">
        <f>HYPERLINK("https://www.wikidata.org/wiki/Q16026284", "Q16026284")</f>
        <v>0</v>
      </c>
    </row>
    <row r="3852" spans="1:8">
      <c r="A3852" t="s">
        <v>3858</v>
      </c>
      <c r="B3852" t="s">
        <v>8296</v>
      </c>
      <c r="C3852" t="s">
        <v>7754</v>
      </c>
      <c r="D3852" t="s">
        <v>14853</v>
      </c>
      <c r="E3852" t="s">
        <v>16335</v>
      </c>
      <c r="G3852">
        <f>HYPERLINK("https://www.senat.fr/senateur-3eme-republique/pazat_louis0338r3.html", "pazat_louis0338r3")</f>
        <v>0</v>
      </c>
      <c r="H3852">
        <f>HYPERLINK("https://www.wikidata.org/wiki/Q3262859", "Q3262859")</f>
        <v>0</v>
      </c>
    </row>
    <row r="3853" spans="1:8">
      <c r="A3853" t="s">
        <v>3859</v>
      </c>
      <c r="B3853" t="s">
        <v>8297</v>
      </c>
      <c r="C3853" t="s">
        <v>9159</v>
      </c>
      <c r="D3853" t="s">
        <v>14854</v>
      </c>
      <c r="E3853" s="2">
        <v>5516</v>
      </c>
      <c r="G3853">
        <f>HYPERLINK("https://www.senat.fr/senateur-3eme-republique/peaudecerf_valentin0434r3.html", "peaudecerf_valentin0434r3")</f>
        <v>0</v>
      </c>
      <c r="H3853">
        <f>HYPERLINK("https://www.wikidata.org/wiki/Q3553599", "Q3553599")</f>
        <v>0</v>
      </c>
    </row>
    <row r="3854" spans="1:8">
      <c r="A3854" t="s">
        <v>3860</v>
      </c>
      <c r="B3854" t="s">
        <v>8298</v>
      </c>
      <c r="C3854" t="s">
        <v>9621</v>
      </c>
      <c r="D3854" t="s">
        <v>14855</v>
      </c>
      <c r="E3854" s="2">
        <v>9216</v>
      </c>
      <c r="G3854">
        <f>HYPERLINK("https://www.senat.fr/senateur-3eme-republique/pedebidou_adolphe1079r3.html", "pedebidou_adolphe1079r3")</f>
        <v>0</v>
      </c>
      <c r="H3854">
        <f>HYPERLINK("https://www.wikidata.org/wiki/Q2839931", "Q2839931")</f>
        <v>0</v>
      </c>
    </row>
    <row r="3855" spans="1:8">
      <c r="A3855" t="s">
        <v>3861</v>
      </c>
      <c r="B3855" t="s">
        <v>8299</v>
      </c>
      <c r="C3855" t="s">
        <v>6686</v>
      </c>
      <c r="D3855" t="s">
        <v>12813</v>
      </c>
      <c r="E3855" s="2">
        <v>16813</v>
      </c>
      <c r="F3855">
        <f>HYPERLINK("https://www2.assemblee-nationale.fr/sycomore/fiche/(num_dept)/5749", "5749.0")</f>
        <v>0</v>
      </c>
      <c r="H3855">
        <f>HYPERLINK("https://www.wikidata.org/wiki/Q16026293", "Q16026293")</f>
        <v>0</v>
      </c>
    </row>
    <row r="3856" spans="1:8">
      <c r="A3856" t="s">
        <v>3862</v>
      </c>
      <c r="B3856" t="s">
        <v>8300</v>
      </c>
      <c r="C3856" t="s">
        <v>10900</v>
      </c>
      <c r="D3856" t="s">
        <v>14856</v>
      </c>
      <c r="E3856" s="2">
        <v>10854</v>
      </c>
      <c r="F3856">
        <f>HYPERLINK("https://www2.assemblee-nationale.fr/sycomore/fiche/(num_dept)/5748", "5748.0")</f>
        <v>0</v>
      </c>
      <c r="H3856">
        <f>HYPERLINK("https://www.wikidata.org/wiki/Q16026291", "Q16026291")</f>
        <v>0</v>
      </c>
    </row>
    <row r="3857" spans="1:8">
      <c r="A3857" t="s">
        <v>3863</v>
      </c>
      <c r="B3857" t="s">
        <v>8301</v>
      </c>
      <c r="C3857" t="s">
        <v>10901</v>
      </c>
      <c r="D3857" t="s">
        <v>14857</v>
      </c>
      <c r="E3857" s="2">
        <v>13031</v>
      </c>
      <c r="F3857">
        <f>HYPERLINK("https://www2.assemblee-nationale.fr/sycomore/fiche/(num_dept)/5752", "5752.0")</f>
        <v>0</v>
      </c>
      <c r="H3857">
        <f>HYPERLINK("https://www.wikidata.org/wiki/Q74670", "Q74670")</f>
        <v>0</v>
      </c>
    </row>
    <row r="3858" spans="1:8">
      <c r="A3858" t="s">
        <v>3864</v>
      </c>
      <c r="B3858" t="s">
        <v>8302</v>
      </c>
      <c r="C3858" t="s">
        <v>6864</v>
      </c>
      <c r="D3858" t="s">
        <v>14858</v>
      </c>
      <c r="E3858" s="2">
        <v>16146</v>
      </c>
      <c r="F3858">
        <f>HYPERLINK("https://www2.assemblee-nationale.fr/sycomore/fiche/(num_dept)/5753", "5753.0")</f>
        <v>0</v>
      </c>
      <c r="H3858">
        <f>HYPERLINK("https://www.wikidata.org/wiki/Q3085524", "Q3085524")</f>
        <v>0</v>
      </c>
    </row>
    <row r="3859" spans="1:8">
      <c r="A3859" t="s">
        <v>3865</v>
      </c>
      <c r="B3859" t="s">
        <v>8303</v>
      </c>
      <c r="C3859" t="s">
        <v>10902</v>
      </c>
      <c r="D3859" t="s">
        <v>14859</v>
      </c>
      <c r="E3859" s="2">
        <v>14331</v>
      </c>
      <c r="F3859">
        <f>HYPERLINK("https://www2.assemblee-nationale.fr/sycomore/fiche/(num_dept)/8165", "8165.0")</f>
        <v>0</v>
      </c>
      <c r="H3859">
        <f>HYPERLINK("https://www.wikidata.org/wiki/Q16026296", "Q16026296")</f>
        <v>0</v>
      </c>
    </row>
    <row r="3860" spans="1:8">
      <c r="A3860" t="s">
        <v>3866</v>
      </c>
      <c r="B3860" t="s">
        <v>8304</v>
      </c>
      <c r="C3860" t="s">
        <v>9430</v>
      </c>
      <c r="D3860" t="s">
        <v>14860</v>
      </c>
      <c r="E3860" s="2">
        <v>14074</v>
      </c>
      <c r="G3860">
        <f>HYPERLINK("https://www.senat.fr/senateur-3eme-republique/pelisse_paul0240r3.html", "pelisse_paul0240r3")</f>
        <v>0</v>
      </c>
      <c r="H3860">
        <f>HYPERLINK("https://www.wikidata.org/wiki/Q3371975", "Q3371975")</f>
        <v>0</v>
      </c>
    </row>
    <row r="3861" spans="1:8">
      <c r="A3861" t="s">
        <v>3867</v>
      </c>
      <c r="B3861" t="s">
        <v>8305</v>
      </c>
      <c r="C3861" t="s">
        <v>6888</v>
      </c>
      <c r="D3861" t="s">
        <v>14861</v>
      </c>
      <c r="E3861" t="s">
        <v>14827</v>
      </c>
      <c r="G3861">
        <f>HYPERLINK("https://www.senat.fr/senateur-3eme-republique/pelissier_felix0863r3.html", "pelissier_felix0863r3")</f>
        <v>0</v>
      </c>
      <c r="H3861">
        <f>HYPERLINK("https://www.wikidata.org/wiki/Q3092583", "Q3092583")</f>
        <v>0</v>
      </c>
    </row>
    <row r="3862" spans="1:8">
      <c r="A3862" t="s">
        <v>3868</v>
      </c>
      <c r="B3862" t="s">
        <v>8305</v>
      </c>
      <c r="C3862" t="s">
        <v>9352</v>
      </c>
      <c r="D3862" t="s">
        <v>14862</v>
      </c>
      <c r="E3862" s="2">
        <v>15977</v>
      </c>
      <c r="G3862">
        <f>HYPERLINK("https://www.senat.fr/senateur-3eme-republique/pelissier_camille0061r3.html", "pelissier_camille0061r3")</f>
        <v>0</v>
      </c>
      <c r="H3862">
        <f>HYPERLINK("https://www.wikidata.org/wiki/Q2935036", "Q2935036")</f>
        <v>0</v>
      </c>
    </row>
    <row r="3863" spans="1:8">
      <c r="A3863" t="s">
        <v>3869</v>
      </c>
      <c r="B3863" t="s">
        <v>8306</v>
      </c>
      <c r="C3863" t="s">
        <v>10903</v>
      </c>
      <c r="D3863" t="s">
        <v>14863</v>
      </c>
      <c r="E3863" s="2">
        <v>15684</v>
      </c>
      <c r="F3863">
        <f>HYPERLINK("https://www2.assemblee-nationale.fr/sycomore/fiche/(num_dept)/8131", "8131.0")</f>
        <v>0</v>
      </c>
      <c r="H3863">
        <f>HYPERLINK("https://www.wikidata.org/wiki/Q3289608", "Q3289608")</f>
        <v>0</v>
      </c>
    </row>
    <row r="3864" spans="1:8">
      <c r="A3864" t="s">
        <v>3870</v>
      </c>
      <c r="B3864" t="s">
        <v>8307</v>
      </c>
      <c r="C3864" t="s">
        <v>9368</v>
      </c>
      <c r="D3864" t="s">
        <v>14864</v>
      </c>
      <c r="E3864" t="s">
        <v>16336</v>
      </c>
      <c r="G3864">
        <f>HYPERLINK("https://www.senat.fr/senateur-3eme-republique/pelletan_eugene1519r3.html", "pelletan_eugene1519r3")</f>
        <v>0</v>
      </c>
      <c r="H3864">
        <f>HYPERLINK("https://www.wikidata.org/wiki/Q764156", "Q764156")</f>
        <v>0</v>
      </c>
    </row>
    <row r="3865" spans="1:8">
      <c r="A3865" t="s">
        <v>3871</v>
      </c>
      <c r="B3865" t="s">
        <v>8308</v>
      </c>
      <c r="C3865" t="s">
        <v>9352</v>
      </c>
      <c r="D3865" t="s">
        <v>14865</v>
      </c>
      <c r="E3865" s="2">
        <v>5634</v>
      </c>
      <c r="F3865">
        <f>HYPERLINK("https://www2.assemblee-nationale.fr/sycomore/fiche/(num_dept)/5764", "5764.0")</f>
        <v>0</v>
      </c>
      <c r="G3865">
        <f>HYPERLINK("https://www.senat.fr/senateur-3eme-republique/pelletan_camille0312r3.html", "pelletan_camille0312r3")</f>
        <v>0</v>
      </c>
      <c r="H3865">
        <f>HYPERLINK("https://www.wikidata.org/wiki/Q2862434", "Q2862434")</f>
        <v>0</v>
      </c>
    </row>
    <row r="3866" spans="1:8">
      <c r="A3866" t="s">
        <v>3872</v>
      </c>
      <c r="B3866" t="s">
        <v>8309</v>
      </c>
      <c r="C3866" t="s">
        <v>7342</v>
      </c>
      <c r="D3866" t="s">
        <v>14866</v>
      </c>
      <c r="E3866" s="2">
        <v>16186</v>
      </c>
      <c r="G3866">
        <f>HYPERLINK("https://www.senat.fr/senateur-3eme-republique/pelletier_jean1228r3.html", "pelletier_jean1228r3")</f>
        <v>0</v>
      </c>
      <c r="H3866">
        <f>HYPERLINK("https://www.wikidata.org/wiki/Q3173890", "Q3173890")</f>
        <v>0</v>
      </c>
    </row>
    <row r="3867" spans="1:8">
      <c r="A3867" t="s">
        <v>3873</v>
      </c>
      <c r="B3867" t="s">
        <v>8310</v>
      </c>
      <c r="C3867" t="s">
        <v>10904</v>
      </c>
      <c r="D3867" t="s">
        <v>13313</v>
      </c>
      <c r="E3867" s="2">
        <v>23027</v>
      </c>
      <c r="F3867">
        <f>HYPERLINK("https://www2.assemblee-nationale.fr/sycomore/fiche/(num_dept)/5762", "5762.0")</f>
        <v>0</v>
      </c>
      <c r="H3867">
        <f>HYPERLINK("https://www.wikidata.org/wiki/Q3271258", "Q3271258")</f>
        <v>0</v>
      </c>
    </row>
    <row r="3868" spans="1:8">
      <c r="A3868" t="s">
        <v>3874</v>
      </c>
      <c r="B3868" t="s">
        <v>8311</v>
      </c>
      <c r="C3868" t="s">
        <v>9368</v>
      </c>
      <c r="D3868" t="s">
        <v>14867</v>
      </c>
      <c r="E3868" s="2">
        <v>20274</v>
      </c>
      <c r="G3868">
        <f>HYPERLINK("https://www.senat.fr/senateur-3eme-republique/penancier_eugene1605r3.html", "penancier_eugene1605r3")</f>
        <v>0</v>
      </c>
      <c r="H3868">
        <f>HYPERLINK("https://www.wikidata.org/wiki/Q3060086", "Q3060086")</f>
        <v>0</v>
      </c>
    </row>
    <row r="3869" spans="1:8">
      <c r="A3869" t="s">
        <v>3875</v>
      </c>
      <c r="B3869" t="s">
        <v>8312</v>
      </c>
      <c r="C3869" t="s">
        <v>9368</v>
      </c>
      <c r="D3869" t="s">
        <v>14868</v>
      </c>
      <c r="E3869" s="2">
        <v>20274</v>
      </c>
      <c r="H3869">
        <f>HYPERLINK("https://www.wikidata.org/wiki/Q3060086", "Q3060086")</f>
        <v>0</v>
      </c>
    </row>
    <row r="3870" spans="1:8">
      <c r="A3870" t="s">
        <v>3876</v>
      </c>
      <c r="B3870" t="s">
        <v>8313</v>
      </c>
      <c r="C3870" t="s">
        <v>9320</v>
      </c>
      <c r="D3870" t="s">
        <v>14869</v>
      </c>
      <c r="E3870" t="s">
        <v>16337</v>
      </c>
      <c r="G3870">
        <f>HYPERLINK("https://www.senat.fr/senateur-3eme-republique/penicaud_rene1784r3.html", "penicaud_rene1784r3")</f>
        <v>0</v>
      </c>
      <c r="H3870">
        <f>HYPERLINK("https://www.wikidata.org/wiki/Q3426787", "Q3426787")</f>
        <v>0</v>
      </c>
    </row>
    <row r="3871" spans="1:8">
      <c r="A3871" t="s">
        <v>3877</v>
      </c>
      <c r="B3871" t="s">
        <v>8314</v>
      </c>
      <c r="C3871" t="s">
        <v>10905</v>
      </c>
      <c r="D3871" t="s">
        <v>14870</v>
      </c>
      <c r="E3871" s="2">
        <v>5163</v>
      </c>
      <c r="F3871">
        <f>HYPERLINK("https://www2.assemblee-nationale.fr/sycomore/fiche/(num_dept)/8097", "8097.0")</f>
        <v>0</v>
      </c>
      <c r="G3871">
        <f>HYPERLINK("https://www.senat.fr/senateur-3eme-republique/peraldi_nicolas0476r3.html", "peraldi_nicolas0476r3")</f>
        <v>0</v>
      </c>
      <c r="H3871">
        <f>HYPERLINK("https://www.wikidata.org/wiki/Q3340709", "Q3340709")</f>
        <v>0</v>
      </c>
    </row>
    <row r="3872" spans="1:8">
      <c r="A3872" t="s">
        <v>3878</v>
      </c>
      <c r="B3872" t="s">
        <v>8315</v>
      </c>
      <c r="C3872" t="s">
        <v>10906</v>
      </c>
      <c r="D3872" t="s">
        <v>14871</v>
      </c>
      <c r="E3872" s="2">
        <v>17052</v>
      </c>
      <c r="F3872">
        <f>HYPERLINK("https://www2.assemblee-nationale.fr/sycomore/fiche/(num_dept)/5775", "5775.0")</f>
        <v>0</v>
      </c>
      <c r="G3872">
        <f>HYPERLINK("https://www.senat.fr/senateur-3eme-republique/perchot_justin0062r3.html", "perchot_justin0062r3")</f>
        <v>0</v>
      </c>
      <c r="H3872">
        <f>HYPERLINK("https://www.wikidata.org/wiki/Q3190486", "Q3190486")</f>
        <v>0</v>
      </c>
    </row>
    <row r="3873" spans="1:8">
      <c r="A3873" t="s">
        <v>3879</v>
      </c>
      <c r="B3873" t="s">
        <v>8316</v>
      </c>
      <c r="C3873" t="s">
        <v>9324</v>
      </c>
      <c r="D3873" t="s">
        <v>14872</v>
      </c>
      <c r="E3873" s="2">
        <v>17631</v>
      </c>
      <c r="G3873">
        <f>HYPERLINK("https://www.senat.fr/senateur-3eme-republique/perdrix_henri0730r3.html", "perdrix_henri0730r3")</f>
        <v>0</v>
      </c>
      <c r="H3873">
        <f>HYPERLINK("https://www.wikidata.org/wiki/Q3131758", "Q3131758")</f>
        <v>0</v>
      </c>
    </row>
    <row r="3874" spans="1:8">
      <c r="A3874" t="s">
        <v>3880</v>
      </c>
      <c r="B3874" t="s">
        <v>8317</v>
      </c>
      <c r="C3874" t="s">
        <v>9368</v>
      </c>
      <c r="D3874" t="s">
        <v>14873</v>
      </c>
      <c r="E3874" s="2">
        <v>14289</v>
      </c>
      <c r="G3874">
        <f>HYPERLINK("https://www.senat.fr/senateur-3eme-republique/peres_eugene0189r3.html", "peres_eugene0189r3")</f>
        <v>0</v>
      </c>
      <c r="H3874">
        <f>HYPERLINK("https://www.wikidata.org/wiki/Q3060087", "Q3060087")</f>
        <v>0</v>
      </c>
    </row>
    <row r="3875" spans="1:8">
      <c r="A3875" t="s">
        <v>3881</v>
      </c>
      <c r="B3875" t="s">
        <v>8318</v>
      </c>
      <c r="C3875" t="s">
        <v>9359</v>
      </c>
      <c r="D3875" t="s">
        <v>14874</v>
      </c>
      <c r="E3875" s="2">
        <v>15544</v>
      </c>
      <c r="G3875">
        <f>HYPERLINK("https://www.senat.fr/senateur-3eme-republique/peret_raoul1766r3.html", "peret_raoul1766r3")</f>
        <v>0</v>
      </c>
      <c r="H3875">
        <f>HYPERLINK("https://www.wikidata.org/wiki/Q3419252", "Q3419252")</f>
        <v>0</v>
      </c>
    </row>
    <row r="3876" spans="1:8">
      <c r="A3876" t="s">
        <v>3882</v>
      </c>
      <c r="B3876" t="s">
        <v>8319</v>
      </c>
      <c r="C3876" t="s">
        <v>10907</v>
      </c>
      <c r="D3876" t="s">
        <v>14875</v>
      </c>
      <c r="E3876" s="2">
        <v>20794</v>
      </c>
      <c r="F3876">
        <f>HYPERLINK("https://www2.assemblee-nationale.fr/sycomore/fiche/(num_dept)/5784", "5784.0")</f>
        <v>0</v>
      </c>
      <c r="H3876">
        <f>HYPERLINK("https://www.wikidata.org/wiki/Q2935032", "Q2935032")</f>
        <v>0</v>
      </c>
    </row>
    <row r="3877" spans="1:8">
      <c r="A3877" t="s">
        <v>3883</v>
      </c>
      <c r="B3877" t="s">
        <v>8320</v>
      </c>
      <c r="C3877" t="s">
        <v>7008</v>
      </c>
      <c r="D3877" t="s">
        <v>14876</v>
      </c>
      <c r="E3877" s="2">
        <v>6043</v>
      </c>
      <c r="F3877">
        <f>HYPERLINK("https://www2.assemblee-nationale.fr/sycomore/fiche/(num_dept)/5788", "5788.0")</f>
        <v>0</v>
      </c>
      <c r="H3877">
        <f>HYPERLINK("https://www.wikidata.org/wiki/Q8306474", "Q8306474")</f>
        <v>0</v>
      </c>
    </row>
    <row r="3878" spans="1:8">
      <c r="A3878" t="s">
        <v>3884</v>
      </c>
      <c r="B3878" t="s">
        <v>8321</v>
      </c>
      <c r="C3878" t="s">
        <v>10908</v>
      </c>
      <c r="D3878" t="s">
        <v>14877</v>
      </c>
      <c r="E3878" s="2">
        <v>2506</v>
      </c>
      <c r="F3878">
        <f>HYPERLINK("https://www2.assemblee-nationale.fr/sycomore/fiche/(num_dept)/8145", "8145.0")</f>
        <v>0</v>
      </c>
      <c r="H3878">
        <f>HYPERLINK("https://www.wikidata.org/wiki/Q16026307", "Q16026307")</f>
        <v>0</v>
      </c>
    </row>
    <row r="3879" spans="1:8">
      <c r="A3879" t="s">
        <v>3885</v>
      </c>
      <c r="B3879" t="s">
        <v>8322</v>
      </c>
      <c r="C3879" t="s">
        <v>9773</v>
      </c>
      <c r="D3879" t="s">
        <v>14878</v>
      </c>
      <c r="E3879" s="2">
        <v>5494</v>
      </c>
      <c r="F3879">
        <f>HYPERLINK("https://www2.assemblee-nationale.fr/sycomore/fiche/(num_dept)/5798", "5798.0")</f>
        <v>0</v>
      </c>
      <c r="H3879">
        <f>HYPERLINK("https://www.wikidata.org/wiki/Q16026311", "Q16026311")</f>
        <v>0</v>
      </c>
    </row>
    <row r="3880" spans="1:8">
      <c r="A3880" t="s">
        <v>3886</v>
      </c>
      <c r="B3880" t="s">
        <v>8323</v>
      </c>
      <c r="C3880" t="s">
        <v>7001</v>
      </c>
      <c r="D3880" t="s">
        <v>14879</v>
      </c>
      <c r="E3880" s="2">
        <v>22903</v>
      </c>
      <c r="F3880">
        <f>HYPERLINK("https://www2.assemblee-nationale.fr/sycomore/fiche/(num_dept)/5799", "5799.0")</f>
        <v>0</v>
      </c>
      <c r="G3880">
        <f>HYPERLINK("https://www.senat.fr/senateur-3eme-republique/pernot_georges0335r4.html", "pernot_georges0335r4")</f>
        <v>0</v>
      </c>
      <c r="H3880">
        <f>HYPERLINK("https://www.wikidata.org/wiki/Q2670356", "Q2670356")</f>
        <v>0</v>
      </c>
    </row>
    <row r="3881" spans="1:8">
      <c r="A3881" t="s">
        <v>3887</v>
      </c>
      <c r="B3881" t="s">
        <v>8324</v>
      </c>
      <c r="C3881" t="s">
        <v>7754</v>
      </c>
      <c r="D3881" t="s">
        <v>14880</v>
      </c>
      <c r="E3881" t="s">
        <v>16338</v>
      </c>
      <c r="G3881">
        <f>HYPERLINK("https://www.senat.fr/senateur-3eme-republique/peronne_louis0160r3.html", "peronne_louis0160r3")</f>
        <v>0</v>
      </c>
      <c r="H3881">
        <f>HYPERLINK("https://www.wikidata.org/wiki/Q3261856", "Q3261856")</f>
        <v>0</v>
      </c>
    </row>
    <row r="3882" spans="1:8">
      <c r="A3882" t="s">
        <v>3888</v>
      </c>
      <c r="B3882" t="s">
        <v>8325</v>
      </c>
      <c r="C3882" t="s">
        <v>10909</v>
      </c>
      <c r="D3882" t="s">
        <v>14881</v>
      </c>
      <c r="E3882" t="s">
        <v>16339</v>
      </c>
      <c r="F3882">
        <f>HYPERLINK("https://www2.assemblee-nationale.fr/sycomore/fiche/(num_dept)/8227", "8227.0")</f>
        <v>0</v>
      </c>
      <c r="G3882">
        <f>HYPERLINK("https://www.senat.fr/senateur-3eme-republique/perras_jean_claude1141r3.html", "perras_jean_claude1141r3")</f>
        <v>0</v>
      </c>
      <c r="H3882">
        <f>HYPERLINK("https://www.wikidata.org/wiki/Q3165165", "Q3165165")</f>
        <v>0</v>
      </c>
    </row>
    <row r="3883" spans="1:8">
      <c r="A3883" t="s">
        <v>3889</v>
      </c>
      <c r="B3883" t="s">
        <v>8326</v>
      </c>
      <c r="C3883" t="s">
        <v>7342</v>
      </c>
      <c r="D3883" t="s">
        <v>14882</v>
      </c>
      <c r="E3883" s="2">
        <v>2980</v>
      </c>
      <c r="G3883">
        <f>HYPERLINK("https://www.senat.fr/senateur-3eme-republique/perreal_jean0244r3.html", "perreal_jean0244r3")</f>
        <v>0</v>
      </c>
      <c r="H3883">
        <f>HYPERLINK("https://www.wikidata.org/wiki/Q3057126", "Q3057126")</f>
        <v>0</v>
      </c>
    </row>
    <row r="3884" spans="1:8">
      <c r="A3884" t="s">
        <v>3890</v>
      </c>
      <c r="B3884" t="s">
        <v>8327</v>
      </c>
      <c r="C3884" t="s">
        <v>10910</v>
      </c>
      <c r="D3884" t="s">
        <v>14883</v>
      </c>
      <c r="E3884" s="2">
        <v>4418</v>
      </c>
      <c r="F3884">
        <f>HYPERLINK("https://www2.assemblee-nationale.fr/sycomore/fiche/(num_dept)/5807", "5807.0")</f>
        <v>0</v>
      </c>
      <c r="H3884">
        <f>HYPERLINK("https://www.wikidata.org/wiki/Q16026315", "Q16026315")</f>
        <v>0</v>
      </c>
    </row>
    <row r="3885" spans="1:8">
      <c r="A3885" t="s">
        <v>3891</v>
      </c>
      <c r="B3885" t="s">
        <v>8327</v>
      </c>
      <c r="C3885" t="s">
        <v>8384</v>
      </c>
      <c r="D3885" t="s">
        <v>14884</v>
      </c>
      <c r="E3885" s="2">
        <v>25439</v>
      </c>
      <c r="F3885">
        <f>HYPERLINK("https://www2.assemblee-nationale.fr/sycomore/fiche/(num_dept)/5808", "5808.0")</f>
        <v>0</v>
      </c>
      <c r="H3885">
        <f>HYPERLINK("https://www.wikidata.org/wiki/Q3386559", "Q3386559")</f>
        <v>0</v>
      </c>
    </row>
    <row r="3886" spans="1:8">
      <c r="A3886" t="s">
        <v>3892</v>
      </c>
      <c r="B3886" t="s">
        <v>8328</v>
      </c>
      <c r="C3886" t="s">
        <v>9503</v>
      </c>
      <c r="D3886" t="s">
        <v>14885</v>
      </c>
      <c r="E3886" s="2">
        <v>16762</v>
      </c>
      <c r="G3886">
        <f>HYPERLINK("https://www.senat.fr/senateur-3eme-republique/perreau_gustave0413r3.html", "perreau_gustave0413r3")</f>
        <v>0</v>
      </c>
      <c r="H3886">
        <f>HYPERLINK("https://www.wikidata.org/wiki/Q3121289", "Q3121289")</f>
        <v>0</v>
      </c>
    </row>
    <row r="3887" spans="1:8">
      <c r="A3887" t="s">
        <v>3893</v>
      </c>
      <c r="B3887" t="s">
        <v>8329</v>
      </c>
      <c r="C3887" t="s">
        <v>9352</v>
      </c>
      <c r="D3887" t="s">
        <v>14886</v>
      </c>
      <c r="E3887" s="2">
        <v>19208</v>
      </c>
      <c r="F3887">
        <f>HYPERLINK("https://www2.assemblee-nationale.fr/sycomore/fiche/(num_dept)/5806", "5806.0")</f>
        <v>0</v>
      </c>
      <c r="H3887">
        <f>HYPERLINK("https://www.wikidata.org/wiki/Q1029240", "Q1029240")</f>
        <v>0</v>
      </c>
    </row>
    <row r="3888" spans="1:8">
      <c r="A3888" t="s">
        <v>3894</v>
      </c>
      <c r="B3888" t="s">
        <v>8330</v>
      </c>
      <c r="C3888" t="s">
        <v>10911</v>
      </c>
      <c r="D3888" t="s">
        <v>14887</v>
      </c>
      <c r="E3888" s="2">
        <v>24352</v>
      </c>
      <c r="F3888">
        <f>HYPERLINK("https://www2.assemblee-nationale.fr/sycomore/fiche/(num_dept)/5809", "5809.0")</f>
        <v>0</v>
      </c>
      <c r="H3888">
        <f>HYPERLINK("https://www.wikidata.org/wiki/Q3588690", "Q3588690")</f>
        <v>0</v>
      </c>
    </row>
    <row r="3889" spans="1:8">
      <c r="A3889" t="s">
        <v>3895</v>
      </c>
      <c r="B3889" t="s">
        <v>8331</v>
      </c>
      <c r="C3889" t="s">
        <v>9312</v>
      </c>
      <c r="D3889" t="s">
        <v>14888</v>
      </c>
      <c r="E3889" t="s">
        <v>16340</v>
      </c>
      <c r="G3889">
        <f>HYPERLINK("https://www.senat.fr/senateur-3eme-republique/perret_jean_baptiste1132r3.html", "perret_jean_baptiste1132r3")</f>
        <v>0</v>
      </c>
      <c r="H3889">
        <f>HYPERLINK("https://www.wikidata.org/wiki/Q3164344", "Q3164344")</f>
        <v>0</v>
      </c>
    </row>
    <row r="3890" spans="1:8">
      <c r="A3890" t="s">
        <v>3896</v>
      </c>
      <c r="B3890" t="s">
        <v>8332</v>
      </c>
      <c r="C3890" t="s">
        <v>9533</v>
      </c>
      <c r="D3890" t="s">
        <v>14889</v>
      </c>
      <c r="E3890" s="2">
        <v>5211</v>
      </c>
      <c r="G3890">
        <f>HYPERLINK("https://www.senat.fr/senateur-3eme-republique/perrier_antoine1304r3.html", "perrier_antoine1304r3")</f>
        <v>0</v>
      </c>
      <c r="H3890">
        <f>HYPERLINK("https://www.wikidata.org/wiki/Q2856600", "Q2856600")</f>
        <v>0</v>
      </c>
    </row>
    <row r="3891" spans="1:8">
      <c r="A3891" t="s">
        <v>3897</v>
      </c>
      <c r="B3891" t="s">
        <v>8333</v>
      </c>
      <c r="C3891" t="s">
        <v>9533</v>
      </c>
      <c r="D3891" t="s">
        <v>14890</v>
      </c>
      <c r="E3891" s="2">
        <v>5211</v>
      </c>
      <c r="F3891">
        <f>HYPERLINK("https://www2.assemblee-nationale.fr/sycomore/fiche/(num_dept)/5810", "5810.0")</f>
        <v>0</v>
      </c>
      <c r="H3891">
        <f>HYPERLINK("https://www.wikidata.org/wiki/Q2856600", "Q2856600")</f>
        <v>0</v>
      </c>
    </row>
    <row r="3892" spans="1:8">
      <c r="A3892" t="s">
        <v>3898</v>
      </c>
      <c r="B3892" t="s">
        <v>8333</v>
      </c>
      <c r="C3892" t="s">
        <v>7782</v>
      </c>
      <c r="D3892" t="s">
        <v>14891</v>
      </c>
      <c r="E3892" s="2">
        <v>17891</v>
      </c>
      <c r="F3892">
        <f>HYPERLINK("https://www2.assemblee-nationale.fr/sycomore/fiche/(num_dept)/5811", "5811.0")</f>
        <v>0</v>
      </c>
      <c r="G3892">
        <f>HYPERLINK("https://www.senat.fr/senateur-3eme-republique/perrier_leon1193r3.html", "perrier_leon1193r3")</f>
        <v>0</v>
      </c>
      <c r="H3892">
        <f>HYPERLINK("https://www.wikidata.org/wiki/Q3271259", "Q3271259")</f>
        <v>0</v>
      </c>
    </row>
    <row r="3893" spans="1:8">
      <c r="A3893" t="s">
        <v>3899</v>
      </c>
      <c r="B3893" t="s">
        <v>8334</v>
      </c>
      <c r="C3893" t="s">
        <v>10912</v>
      </c>
      <c r="D3893" t="s">
        <v>14892</v>
      </c>
      <c r="E3893" s="2">
        <v>1708</v>
      </c>
      <c r="F3893">
        <f>HYPERLINK("https://www2.assemblee-nationale.fr/sycomore/fiche/(num_dept)/5815", "5815.0")</f>
        <v>0</v>
      </c>
      <c r="H3893">
        <f>HYPERLINK("https://www.wikidata.org/wiki/Q16026317", "Q16026317")</f>
        <v>0</v>
      </c>
    </row>
    <row r="3894" spans="1:8">
      <c r="A3894" t="s">
        <v>3900</v>
      </c>
      <c r="B3894" t="s">
        <v>8334</v>
      </c>
      <c r="C3894" t="s">
        <v>7342</v>
      </c>
      <c r="D3894" t="s">
        <v>14893</v>
      </c>
      <c r="E3894" s="2">
        <v>15448</v>
      </c>
      <c r="H3894">
        <f>HYPERLINK("https://www.wikidata.org/wiki/Q134085", "Q134085")</f>
        <v>0</v>
      </c>
    </row>
    <row r="3895" spans="1:8">
      <c r="A3895" t="s">
        <v>3901</v>
      </c>
      <c r="B3895" t="s">
        <v>8334</v>
      </c>
      <c r="C3895" t="s">
        <v>5058</v>
      </c>
      <c r="D3895" t="s">
        <v>14894</v>
      </c>
      <c r="E3895" s="2">
        <v>14380</v>
      </c>
      <c r="F3895">
        <f>HYPERLINK("https://www2.assemblee-nationale.fr/sycomore/fiche/(num_dept)/5813", "5813.0")</f>
        <v>0</v>
      </c>
      <c r="H3895">
        <f>HYPERLINK("https://www.wikidata.org/wiki/Q2831460", "Q2831460")</f>
        <v>0</v>
      </c>
    </row>
    <row r="3896" spans="1:8">
      <c r="A3896" t="s">
        <v>3902</v>
      </c>
      <c r="B3896" t="s">
        <v>8334</v>
      </c>
      <c r="C3896" t="s">
        <v>9430</v>
      </c>
      <c r="D3896" t="s">
        <v>14895</v>
      </c>
      <c r="E3896" s="2">
        <v>18475</v>
      </c>
      <c r="F3896">
        <f>HYPERLINK("https://www2.assemblee-nationale.fr/sycomore/fiche/(num_dept)/5818", "5818.0")</f>
        <v>0</v>
      </c>
      <c r="H3896">
        <f>HYPERLINK("https://www.wikidata.org/wiki/Q3371987", "Q3371987")</f>
        <v>0</v>
      </c>
    </row>
    <row r="3897" spans="1:8">
      <c r="A3897" t="s">
        <v>3903</v>
      </c>
      <c r="B3897" t="s">
        <v>8335</v>
      </c>
      <c r="C3897" t="s">
        <v>9340</v>
      </c>
      <c r="D3897" t="s">
        <v>14896</v>
      </c>
      <c r="E3897" s="2">
        <v>20571</v>
      </c>
      <c r="F3897">
        <f>HYPERLINK("https://www2.assemblee-nationale.fr/sycomore/fiche/(num_dept)/5820", "5820.0")</f>
        <v>0</v>
      </c>
      <c r="H3897">
        <f>HYPERLINK("https://www.wikidata.org/wiki/Q16026319", "Q16026319")</f>
        <v>0</v>
      </c>
    </row>
    <row r="3898" spans="1:8">
      <c r="A3898" t="s">
        <v>3904</v>
      </c>
      <c r="B3898" t="s">
        <v>8336</v>
      </c>
      <c r="C3898" t="s">
        <v>10913</v>
      </c>
      <c r="D3898" t="s">
        <v>14897</v>
      </c>
      <c r="E3898" s="2">
        <v>6429</v>
      </c>
      <c r="F3898">
        <f>HYPERLINK("https://www2.assemblee-nationale.fr/sycomore/fiche/(num_dept)/5821", "5821.0")</f>
        <v>0</v>
      </c>
      <c r="H3898">
        <f>HYPERLINK("https://www.wikidata.org/wiki/Q16026321", "Q16026321")</f>
        <v>0</v>
      </c>
    </row>
    <row r="3899" spans="1:8">
      <c r="A3899" t="s">
        <v>3905</v>
      </c>
      <c r="B3899" t="s">
        <v>8337</v>
      </c>
      <c r="C3899" t="s">
        <v>10914</v>
      </c>
      <c r="D3899" t="s">
        <v>14898</v>
      </c>
      <c r="E3899" t="s">
        <v>16341</v>
      </c>
      <c r="F3899">
        <f>HYPERLINK("https://www2.assemblee-nationale.fr/sycomore/fiche/(num_dept)/8240", "8240.0")</f>
        <v>0</v>
      </c>
      <c r="H3899">
        <f>HYPERLINK("https://www.wikidata.org/wiki/Q16026323", "Q16026323")</f>
        <v>0</v>
      </c>
    </row>
    <row r="3900" spans="1:8">
      <c r="A3900" t="s">
        <v>3906</v>
      </c>
      <c r="B3900" t="s">
        <v>8338</v>
      </c>
      <c r="C3900" t="s">
        <v>7754</v>
      </c>
      <c r="D3900" t="s">
        <v>14899</v>
      </c>
      <c r="E3900" s="2">
        <v>7627</v>
      </c>
      <c r="F3900">
        <f>HYPERLINK("https://www2.assemblee-nationale.fr/sycomore/fiche/(num_dept)/5822", "5822.0")</f>
        <v>0</v>
      </c>
      <c r="H3900">
        <f>HYPERLINK("https://www.wikidata.org/wiki/Q3262871", "Q3262871")</f>
        <v>0</v>
      </c>
    </row>
    <row r="3901" spans="1:8">
      <c r="A3901" t="s">
        <v>3907</v>
      </c>
      <c r="B3901" t="s">
        <v>8339</v>
      </c>
      <c r="C3901" t="s">
        <v>8716</v>
      </c>
      <c r="D3901" t="s">
        <v>14900</v>
      </c>
      <c r="E3901" s="2">
        <v>14333</v>
      </c>
      <c r="F3901">
        <f>HYPERLINK("https://www2.assemblee-nationale.fr/sycomore/fiche/(num_dept)/5823", "5823.0")</f>
        <v>0</v>
      </c>
      <c r="H3901">
        <f>HYPERLINK("https://www.wikidata.org/wiki/Q3439357", "Q3439357")</f>
        <v>0</v>
      </c>
    </row>
    <row r="3902" spans="1:8">
      <c r="A3902" t="s">
        <v>3908</v>
      </c>
      <c r="B3902" t="s">
        <v>8340</v>
      </c>
      <c r="C3902" t="s">
        <v>7342</v>
      </c>
      <c r="D3902" t="s">
        <v>14901</v>
      </c>
      <c r="E3902" s="2">
        <v>27781</v>
      </c>
      <c r="F3902">
        <f>HYPERLINK("https://www2.assemblee-nationale.fr/sycomore/fiche/(num_dept)/5825", "5825.0")</f>
        <v>0</v>
      </c>
      <c r="H3902">
        <f>HYPERLINK("https://www.wikidata.org/wiki/Q3173921", "Q3173921")</f>
        <v>0</v>
      </c>
    </row>
    <row r="3903" spans="1:8">
      <c r="A3903" t="s">
        <v>3909</v>
      </c>
      <c r="B3903" t="s">
        <v>8341</v>
      </c>
      <c r="C3903" t="s">
        <v>10915</v>
      </c>
      <c r="D3903" t="s">
        <v>14902</v>
      </c>
      <c r="E3903" s="2">
        <v>22461</v>
      </c>
      <c r="F3903">
        <f>HYPERLINK("https://www2.assemblee-nationale.fr/sycomore/fiche/(num_dept)/5829", "5829.0")</f>
        <v>0</v>
      </c>
      <c r="H3903">
        <f>HYPERLINK("https://www.wikidata.org/wiki/Q16026324", "Q16026324")</f>
        <v>0</v>
      </c>
    </row>
    <row r="3904" spans="1:8">
      <c r="A3904" t="s">
        <v>3910</v>
      </c>
      <c r="B3904" t="s">
        <v>8342</v>
      </c>
      <c r="C3904" t="s">
        <v>10916</v>
      </c>
      <c r="D3904" t="s">
        <v>14903</v>
      </c>
      <c r="E3904" s="2">
        <v>10332</v>
      </c>
      <c r="F3904">
        <f>HYPERLINK("https://www2.assemblee-nationale.fr/sycomore/fiche/(num_dept)/5835", "5835.0")</f>
        <v>0</v>
      </c>
      <c r="G3904">
        <f>HYPERLINK("https://www.senat.fr/senateur-3eme-republique/peschaud_gabriel0371r3.html", "peschaud_gabriel0371r3")</f>
        <v>0</v>
      </c>
      <c r="H3904">
        <f>HYPERLINK("https://www.wikidata.org/wiki/Q3093908", "Q3093908")</f>
        <v>0</v>
      </c>
    </row>
    <row r="3905" spans="1:8">
      <c r="A3905" t="s">
        <v>3911</v>
      </c>
      <c r="B3905" t="s">
        <v>8343</v>
      </c>
      <c r="C3905" t="s">
        <v>5058</v>
      </c>
      <c r="D3905" t="s">
        <v>14904</v>
      </c>
      <c r="E3905" t="s">
        <v>16342</v>
      </c>
      <c r="F3905">
        <f>HYPERLINK("https://www2.assemblee-nationale.fr/sycomore/fiche/(num_dept)/5837", "5837.0")</f>
        <v>0</v>
      </c>
      <c r="H3905">
        <f>HYPERLINK("https://www.wikidata.org/wiki/Q11984911", "Q11984911")</f>
        <v>0</v>
      </c>
    </row>
    <row r="3906" spans="1:8">
      <c r="A3906" t="s">
        <v>3912</v>
      </c>
      <c r="B3906" t="s">
        <v>8344</v>
      </c>
      <c r="C3906" t="s">
        <v>10917</v>
      </c>
      <c r="D3906" t="s">
        <v>14905</v>
      </c>
      <c r="E3906" s="2">
        <v>27061</v>
      </c>
      <c r="F3906">
        <f>HYPERLINK("https://www2.assemblee-nationale.fr/sycomore/fiche/(num_dept)/5838", "5838.0")</f>
        <v>0</v>
      </c>
      <c r="H3906">
        <f>HYPERLINK("https://www.wikidata.org/wiki/Q3588694", "Q3588694")</f>
        <v>0</v>
      </c>
    </row>
    <row r="3907" spans="1:8">
      <c r="A3907" t="s">
        <v>3913</v>
      </c>
      <c r="B3907" t="s">
        <v>8345</v>
      </c>
      <c r="C3907" t="s">
        <v>9634</v>
      </c>
      <c r="D3907" t="s">
        <v>14906</v>
      </c>
      <c r="G3907">
        <f>HYPERLINK("https://www.senat.fr/senateur-3eme-republique/petit_frederic1677r3.html", "petit_frederic1677r3")</f>
        <v>0</v>
      </c>
      <c r="H3907">
        <f>HYPERLINK("https://www.wikidata.org/wiki/Q3090122", "Q3090122")</f>
        <v>0</v>
      </c>
    </row>
    <row r="3908" spans="1:8">
      <c r="A3908" t="s">
        <v>3914</v>
      </c>
      <c r="B3908" t="s">
        <v>8345</v>
      </c>
      <c r="C3908" t="s">
        <v>10064</v>
      </c>
      <c r="D3908" t="s">
        <v>14907</v>
      </c>
      <c r="E3908" s="2">
        <v>9737</v>
      </c>
      <c r="G3908">
        <f>HYPERLINK("https://www.senat.fr/senateur-3eme-republique/petit_amedee0950r3.html", "petit_amedee0950r3")</f>
        <v>0</v>
      </c>
      <c r="H3908">
        <f>HYPERLINK("https://www.wikidata.org/wiki/Q2844692", "Q2844692")</f>
        <v>0</v>
      </c>
    </row>
    <row r="3909" spans="1:8">
      <c r="A3909" t="s">
        <v>3915</v>
      </c>
      <c r="B3909" t="s">
        <v>8346</v>
      </c>
      <c r="C3909" t="s">
        <v>9548</v>
      </c>
      <c r="D3909" t="s">
        <v>14908</v>
      </c>
      <c r="F3909">
        <f>HYPERLINK("https://www2.assemblee-nationale.fr/sycomore/fiche/(num_dept)/5843", "5843.0")</f>
        <v>0</v>
      </c>
      <c r="H3909">
        <f>HYPERLINK("https://www.wikidata.org/wiki/Q13626561", "Q13626561")</f>
        <v>0</v>
      </c>
    </row>
    <row r="3910" spans="1:8">
      <c r="A3910" t="s">
        <v>3916</v>
      </c>
      <c r="B3910" t="s">
        <v>8346</v>
      </c>
      <c r="C3910" t="s">
        <v>10918</v>
      </c>
      <c r="D3910" t="s">
        <v>14909</v>
      </c>
      <c r="E3910" s="2">
        <v>1678</v>
      </c>
      <c r="F3910">
        <f>HYPERLINK("https://www2.assemblee-nationale.fr/sycomore/fiche/(num_dept)/5844", "5844.0")</f>
        <v>0</v>
      </c>
      <c r="H3910">
        <f>HYPERLINK("https://www.wikidata.org/wiki/Q16638922", "Q16638922")</f>
        <v>0</v>
      </c>
    </row>
    <row r="3911" spans="1:8">
      <c r="A3911" t="s">
        <v>3917</v>
      </c>
      <c r="B3911" t="s">
        <v>8347</v>
      </c>
      <c r="C3911" t="s">
        <v>10919</v>
      </c>
      <c r="D3911" t="s">
        <v>14910</v>
      </c>
      <c r="E3911" t="s">
        <v>16343</v>
      </c>
      <c r="F3911">
        <f>HYPERLINK("https://www2.assemblee-nationale.fr/sycomore/fiche/(num_dept)/8182", "8182.0")</f>
        <v>0</v>
      </c>
      <c r="H3911">
        <f>HYPERLINK("https://www.wikidata.org/wiki/Q16026328", "Q16026328")</f>
        <v>0</v>
      </c>
    </row>
    <row r="3912" spans="1:8">
      <c r="A3912" t="s">
        <v>3918</v>
      </c>
      <c r="B3912" t="s">
        <v>8348</v>
      </c>
      <c r="C3912" t="s">
        <v>9482</v>
      </c>
      <c r="D3912" t="s">
        <v>14911</v>
      </c>
      <c r="E3912" s="2">
        <v>18601</v>
      </c>
      <c r="F3912">
        <f>HYPERLINK("https://www2.assemblee-nationale.fr/sycomore/fiche/(num_dept)/5848", "5848.0")</f>
        <v>0</v>
      </c>
      <c r="H3912">
        <f>HYPERLINK("https://www.wikidata.org/wiki/Q15972003", "Q15972003")</f>
        <v>0</v>
      </c>
    </row>
    <row r="3913" spans="1:8">
      <c r="A3913" t="s">
        <v>3919</v>
      </c>
      <c r="B3913" t="s">
        <v>8349</v>
      </c>
      <c r="C3913" t="s">
        <v>10920</v>
      </c>
      <c r="D3913" t="s">
        <v>14912</v>
      </c>
      <c r="E3913" s="2">
        <v>8914</v>
      </c>
      <c r="F3913">
        <f>HYPERLINK("https://www2.assemblee-nationale.fr/sycomore/fiche/(num_dept)/5849", "5849.0")</f>
        <v>0</v>
      </c>
      <c r="H3913">
        <f>HYPERLINK("https://www.wikidata.org/wiki/Q16026329", "Q16026329")</f>
        <v>0</v>
      </c>
    </row>
    <row r="3914" spans="1:8">
      <c r="A3914" t="s">
        <v>3920</v>
      </c>
      <c r="B3914" t="s">
        <v>8350</v>
      </c>
      <c r="C3914" t="s">
        <v>9438</v>
      </c>
      <c r="D3914" t="s">
        <v>14913</v>
      </c>
      <c r="E3914" s="2">
        <v>8389</v>
      </c>
      <c r="G3914">
        <f>HYPERLINK("https://www.senat.fr/senateur-3eme-republique/petitjean_victor1267r3.html", "petitjean_victor1267r3")</f>
        <v>0</v>
      </c>
      <c r="H3914">
        <f>HYPERLINK("https://www.wikidata.org/wiki/Q3557497", "Q3557497")</f>
        <v>0</v>
      </c>
    </row>
    <row r="3915" spans="1:8">
      <c r="A3915" t="s">
        <v>3921</v>
      </c>
      <c r="B3915" t="s">
        <v>8351</v>
      </c>
      <c r="C3915" t="s">
        <v>10921</v>
      </c>
      <c r="D3915" t="s">
        <v>14914</v>
      </c>
      <c r="E3915" s="2">
        <v>11984</v>
      </c>
      <c r="F3915">
        <f>HYPERLINK("https://www2.assemblee-nationale.fr/sycomore/fiche/(num_dept)/5852", "5852.0")</f>
        <v>0</v>
      </c>
      <c r="G3915">
        <f>HYPERLINK("https://www.senat.fr/senateur-3eme-republique/petitjean_claude1221r3.html", "petitjean_claude1221r3")</f>
        <v>0</v>
      </c>
      <c r="H3915">
        <f>HYPERLINK("https://www.wikidata.org/wiki/Q2977946", "Q2977946")</f>
        <v>0</v>
      </c>
    </row>
    <row r="3916" spans="1:8">
      <c r="A3916" t="s">
        <v>3922</v>
      </c>
      <c r="B3916" t="s">
        <v>8351</v>
      </c>
      <c r="C3916" t="s">
        <v>10922</v>
      </c>
      <c r="D3916" t="s">
        <v>14915</v>
      </c>
      <c r="E3916" s="2">
        <v>21942</v>
      </c>
      <c r="F3916">
        <f>HYPERLINK("https://www2.assemblee-nationale.fr/sycomore/fiche/(num_dept)/5851", "5851.0")</f>
        <v>0</v>
      </c>
      <c r="H3916">
        <f>HYPERLINK("https://www.wikidata.org/wiki/Q13080923", "Q13080923")</f>
        <v>0</v>
      </c>
    </row>
    <row r="3917" spans="1:8">
      <c r="A3917" t="s">
        <v>3923</v>
      </c>
      <c r="B3917" t="s">
        <v>8351</v>
      </c>
      <c r="C3917" t="s">
        <v>10923</v>
      </c>
      <c r="D3917" t="s">
        <v>14916</v>
      </c>
      <c r="E3917" s="2">
        <v>21600</v>
      </c>
      <c r="F3917">
        <f>HYPERLINK("https://www2.assemblee-nationale.fr/sycomore/fiche/(num_dept)/5850", "5850.0")</f>
        <v>0</v>
      </c>
      <c r="H3917">
        <f>HYPERLINK("https://www.wikidata.org/wiki/Q16026330", "Q16026330")</f>
        <v>0</v>
      </c>
    </row>
    <row r="3918" spans="1:8">
      <c r="A3918" t="s">
        <v>3924</v>
      </c>
      <c r="B3918" t="s">
        <v>8352</v>
      </c>
      <c r="C3918" t="s">
        <v>7942</v>
      </c>
      <c r="D3918" t="s">
        <v>14917</v>
      </c>
      <c r="E3918" s="2">
        <v>18887</v>
      </c>
      <c r="F3918">
        <f>HYPERLINK("https://www2.assemblee-nationale.fr/sycomore/fiche/(num_dept)/5854", "5854.0")</f>
        <v>0</v>
      </c>
      <c r="H3918">
        <f>HYPERLINK("https://www.wikidata.org/wiki/Q3301257", "Q3301257")</f>
        <v>0</v>
      </c>
    </row>
    <row r="3919" spans="1:8">
      <c r="A3919" t="s">
        <v>3925</v>
      </c>
      <c r="B3919" t="s">
        <v>8353</v>
      </c>
      <c r="C3919" t="s">
        <v>10924</v>
      </c>
      <c r="D3919" t="s">
        <v>14918</v>
      </c>
      <c r="E3919" t="s">
        <v>16344</v>
      </c>
      <c r="F3919">
        <f>HYPERLINK("https://www2.assemblee-nationale.fr/sycomore/fiche/(num_dept)/8254", "8254.0")</f>
        <v>0</v>
      </c>
      <c r="H3919">
        <f>HYPERLINK("https://www.wikidata.org/wiki/Q16026331", "Q16026331")</f>
        <v>0</v>
      </c>
    </row>
    <row r="3920" spans="1:8">
      <c r="A3920" t="s">
        <v>3926</v>
      </c>
      <c r="B3920" t="s">
        <v>8354</v>
      </c>
      <c r="C3920" t="s">
        <v>10925</v>
      </c>
      <c r="D3920" t="s">
        <v>14919</v>
      </c>
      <c r="E3920" s="2">
        <v>9906</v>
      </c>
      <c r="F3920">
        <f>HYPERLINK("https://www2.assemblee-nationale.fr/sycomore/fiche/(num_dept)/5858", "5858.0")</f>
        <v>0</v>
      </c>
      <c r="H3920">
        <f>HYPERLINK("https://www.wikidata.org/wiki/Q16026332", "Q16026332")</f>
        <v>0</v>
      </c>
    </row>
    <row r="3921" spans="1:8">
      <c r="A3921" t="s">
        <v>3927</v>
      </c>
      <c r="B3921" t="s">
        <v>8355</v>
      </c>
      <c r="C3921" t="s">
        <v>9457</v>
      </c>
      <c r="D3921" t="s">
        <v>14920</v>
      </c>
      <c r="E3921" t="s">
        <v>15832</v>
      </c>
      <c r="G3921">
        <f>HYPERLINK("https://www.senat.fr/senateur-3eme-republique/peyrat_alphonse1369r3.html", "peyrat_alphonse1369r3")</f>
        <v>0</v>
      </c>
      <c r="H3921">
        <f>HYPERLINK("https://www.wikidata.org/wiki/Q2839934", "Q2839934")</f>
        <v>0</v>
      </c>
    </row>
    <row r="3922" spans="1:8">
      <c r="A3922" t="s">
        <v>3928</v>
      </c>
      <c r="B3922" t="s">
        <v>8356</v>
      </c>
      <c r="C3922" t="s">
        <v>7342</v>
      </c>
      <c r="D3922" t="s">
        <v>14921</v>
      </c>
      <c r="E3922" s="2">
        <v>7894</v>
      </c>
      <c r="F3922">
        <f>HYPERLINK("https://www2.assemblee-nationale.fr/sycomore/fiche/(num_dept)/5864", "5864.0")</f>
        <v>0</v>
      </c>
      <c r="H3922">
        <f>HYPERLINK("https://www.wikidata.org/wiki/Q16026333", "Q16026333")</f>
        <v>0</v>
      </c>
    </row>
    <row r="3923" spans="1:8">
      <c r="A3923" t="s">
        <v>3929</v>
      </c>
      <c r="B3923" t="s">
        <v>8357</v>
      </c>
      <c r="C3923" t="s">
        <v>9429</v>
      </c>
      <c r="D3923" t="s">
        <v>12815</v>
      </c>
      <c r="E3923" t="s">
        <v>16345</v>
      </c>
      <c r="G3923">
        <f>HYPERLINK("https://www.senat.fr/senateur-3eme-republique/peyron_alexandre1521r3.html", "peyron_alexandre1521r3")</f>
        <v>0</v>
      </c>
      <c r="H3923">
        <f>HYPERLINK("https://www.wikidata.org/wiki/Q2833962", "Q2833962")</f>
        <v>0</v>
      </c>
    </row>
    <row r="3924" spans="1:8">
      <c r="A3924" t="s">
        <v>3930</v>
      </c>
      <c r="B3924" t="s">
        <v>8358</v>
      </c>
      <c r="C3924" t="s">
        <v>5058</v>
      </c>
      <c r="D3924" t="s">
        <v>13514</v>
      </c>
      <c r="E3924" s="2">
        <v>21537</v>
      </c>
      <c r="G3924">
        <f>HYPERLINK("https://www.senat.fr/senateur-3eme-republique/peyronnet_albert0055r3.html", "peyronnet_albert0055r3")</f>
        <v>0</v>
      </c>
      <c r="H3924">
        <f>HYPERLINK("https://www.wikidata.org/wiki/Q2831464", "Q2831464")</f>
        <v>0</v>
      </c>
    </row>
    <row r="3925" spans="1:8">
      <c r="A3925" t="s">
        <v>3931</v>
      </c>
      <c r="B3925" t="s">
        <v>8359</v>
      </c>
      <c r="C3925" t="s">
        <v>7342</v>
      </c>
      <c r="D3925" t="s">
        <v>14922</v>
      </c>
      <c r="E3925" s="2">
        <v>6525</v>
      </c>
      <c r="G3925">
        <f>HYPERLINK("https://www.senat.fr/senateur-3eme-republique/peyrot_jean0662r3.html", "peyrot_jean0662r3")</f>
        <v>0</v>
      </c>
      <c r="H3925">
        <f>HYPERLINK("https://www.wikidata.org/wiki/Q3173948", "Q3173948")</f>
        <v>0</v>
      </c>
    </row>
    <row r="3926" spans="1:8">
      <c r="A3926" t="s">
        <v>3932</v>
      </c>
      <c r="B3926" t="s">
        <v>8360</v>
      </c>
      <c r="C3926" t="s">
        <v>10926</v>
      </c>
      <c r="D3926" t="s">
        <v>14923</v>
      </c>
      <c r="E3926" s="2">
        <v>16428</v>
      </c>
      <c r="F3926">
        <f>HYPERLINK("https://www2.assemblee-nationale.fr/sycomore/fiche/(num_dept)/5870", "5870.0")</f>
        <v>0</v>
      </c>
      <c r="H3926">
        <f>HYPERLINK("https://www.wikidata.org/wiki/Q16026334", "Q16026334")</f>
        <v>0</v>
      </c>
    </row>
    <row r="3927" spans="1:8">
      <c r="A3927" t="s">
        <v>3933</v>
      </c>
      <c r="B3927" t="s">
        <v>8361</v>
      </c>
      <c r="C3927" t="s">
        <v>10927</v>
      </c>
      <c r="D3927" t="s">
        <v>14924</v>
      </c>
      <c r="E3927" s="2">
        <v>6230</v>
      </c>
      <c r="F3927">
        <f>HYPERLINK("https://www2.assemblee-nationale.fr/sycomore/fiche/(num_dept)/5871", "5871.0")</f>
        <v>0</v>
      </c>
      <c r="H3927">
        <f>HYPERLINK("https://www.wikidata.org/wiki/Q16026335", "Q16026335")</f>
        <v>0</v>
      </c>
    </row>
    <row r="3928" spans="1:8">
      <c r="A3928" t="s">
        <v>3934</v>
      </c>
      <c r="B3928" t="s">
        <v>8362</v>
      </c>
      <c r="C3928" t="s">
        <v>10928</v>
      </c>
      <c r="D3928" t="s">
        <v>14925</v>
      </c>
      <c r="E3928" s="2">
        <v>7274</v>
      </c>
      <c r="F3928">
        <f>HYPERLINK("https://www2.assemblee-nationale.fr/sycomore/fiche/(num_dept)/5873", "5873.0")</f>
        <v>0</v>
      </c>
      <c r="G3928">
        <f>HYPERLINK("https://www.senat.fr/senateur-3eme-republique/peytral_paul0322r3.html", "peytral_paul0322r3")</f>
        <v>0</v>
      </c>
      <c r="H3928">
        <f>HYPERLINK("https://www.wikidata.org/wiki/Q179491", "Q179491")</f>
        <v>0</v>
      </c>
    </row>
    <row r="3929" spans="1:8">
      <c r="A3929" t="s">
        <v>3935</v>
      </c>
      <c r="B3929" t="s">
        <v>8362</v>
      </c>
      <c r="C3929" t="s">
        <v>9438</v>
      </c>
      <c r="D3929" t="s">
        <v>14926</v>
      </c>
      <c r="E3929" s="2">
        <v>23487</v>
      </c>
      <c r="G3929">
        <f>HYPERLINK("https://www.senat.fr/senateur-3eme-republique/peytral_victor0076r3.html", "peytral_victor0076r3")</f>
        <v>0</v>
      </c>
      <c r="H3929">
        <f>HYPERLINK("https://www.wikidata.org/wiki/Q3557505", "Q3557505")</f>
        <v>0</v>
      </c>
    </row>
    <row r="3930" spans="1:8">
      <c r="A3930" t="s">
        <v>3936</v>
      </c>
      <c r="B3930" t="s">
        <v>8362</v>
      </c>
      <c r="C3930" t="s">
        <v>9438</v>
      </c>
      <c r="D3930" t="s">
        <v>12760</v>
      </c>
      <c r="E3930" s="2">
        <v>23487</v>
      </c>
      <c r="F3930">
        <f>HYPERLINK("https://www2.assemblee-nationale.fr/sycomore/fiche/(num_dept)/5874", "5874.0")</f>
        <v>0</v>
      </c>
      <c r="H3930">
        <f>HYPERLINK("https://www.wikidata.org/wiki/Q3557505", "Q3557505")</f>
        <v>0</v>
      </c>
    </row>
    <row r="3931" spans="1:8">
      <c r="A3931" t="s">
        <v>3937</v>
      </c>
      <c r="B3931" t="s">
        <v>8363</v>
      </c>
      <c r="C3931" t="s">
        <v>9430</v>
      </c>
      <c r="D3931" t="s">
        <v>12527</v>
      </c>
      <c r="E3931" s="2">
        <v>14036</v>
      </c>
      <c r="F3931">
        <f>HYPERLINK("https://www2.assemblee-nationale.fr/sycomore/fiche/(num_dept)/5878", "5878.0")</f>
        <v>0</v>
      </c>
      <c r="H3931">
        <f>HYPERLINK("https://www.wikidata.org/wiki/Q16026336", "Q16026336")</f>
        <v>0</v>
      </c>
    </row>
    <row r="3932" spans="1:8">
      <c r="A3932" t="s">
        <v>3938</v>
      </c>
      <c r="B3932" t="s">
        <v>8363</v>
      </c>
      <c r="C3932" t="s">
        <v>10929</v>
      </c>
      <c r="D3932" t="s">
        <v>14927</v>
      </c>
      <c r="E3932" s="2">
        <v>24432</v>
      </c>
      <c r="F3932">
        <f>HYPERLINK("https://www2.assemblee-nationale.fr/sycomore/fiche/(num_dept)/5876", "5876.0")</f>
        <v>0</v>
      </c>
      <c r="H3932">
        <f>HYPERLINK("https://www.wikidata.org/wiki/Q3057133", "Q3057133")</f>
        <v>0</v>
      </c>
    </row>
    <row r="3933" spans="1:8">
      <c r="A3933" t="s">
        <v>3939</v>
      </c>
      <c r="B3933" t="s">
        <v>8364</v>
      </c>
      <c r="C3933" t="s">
        <v>7001</v>
      </c>
      <c r="D3933" t="s">
        <v>14928</v>
      </c>
      <c r="E3933" s="2">
        <v>15036</v>
      </c>
      <c r="G3933">
        <f>HYPERLINK("https://www.senat.fr/senateur-3eme-republique/pezieres_georges1099r3.html", "pezieres_georges1099r3")</f>
        <v>0</v>
      </c>
      <c r="H3933">
        <f>HYPERLINK("https://www.wikidata.org/wiki/Q3103381", "Q3103381")</f>
        <v>0</v>
      </c>
    </row>
    <row r="3934" spans="1:8">
      <c r="A3934" t="s">
        <v>3940</v>
      </c>
      <c r="B3934" t="s">
        <v>8365</v>
      </c>
      <c r="C3934" t="s">
        <v>9373</v>
      </c>
      <c r="D3934" t="s">
        <v>14929</v>
      </c>
      <c r="E3934" s="2">
        <v>20906</v>
      </c>
      <c r="F3934">
        <f>HYPERLINK("https://www2.assemblee-nationale.fr/sycomore/fiche/(num_dept)/5880", "5880.0")</f>
        <v>0</v>
      </c>
      <c r="G3934">
        <f>HYPERLINK("https://www.senat.fr/senateur-3eme-republique/pfleger_joseph0282r4.html", "pfleger_joseph0282r4")</f>
        <v>0</v>
      </c>
      <c r="H3934">
        <f>HYPERLINK("https://www.wikidata.org/wiki/Q1707820", "Q1707820")</f>
        <v>0</v>
      </c>
    </row>
    <row r="3935" spans="1:8">
      <c r="A3935" t="s">
        <v>3941</v>
      </c>
      <c r="B3935" t="s">
        <v>8366</v>
      </c>
      <c r="C3935" t="s">
        <v>9857</v>
      </c>
      <c r="D3935" t="s">
        <v>14930</v>
      </c>
      <c r="E3935" s="2">
        <v>10659</v>
      </c>
      <c r="F3935">
        <f>HYPERLINK("https://www2.assemblee-nationale.fr/sycomore/fiche/(num_dept)/5882", "5882.0")</f>
        <v>0</v>
      </c>
      <c r="H3935">
        <f>HYPERLINK("https://www.wikidata.org/wiki/Q16026337", "Q16026337")</f>
        <v>0</v>
      </c>
    </row>
    <row r="3936" spans="1:8">
      <c r="A3936" t="s">
        <v>3942</v>
      </c>
      <c r="B3936" t="s">
        <v>8367</v>
      </c>
      <c r="C3936" t="s">
        <v>7342</v>
      </c>
      <c r="D3936" t="s">
        <v>14931</v>
      </c>
      <c r="E3936" s="2">
        <v>19042</v>
      </c>
      <c r="G3936">
        <f>HYPERLINK("https://www.senat.fr/senateur-3eme-republique/philip_jean0155r3.html", "philip_jean0155r3")</f>
        <v>0</v>
      </c>
      <c r="H3936">
        <f>HYPERLINK("https://www.wikidata.org/wiki/Q3173958", "Q3173958")</f>
        <v>0</v>
      </c>
    </row>
    <row r="3937" spans="1:8">
      <c r="A3937" t="s">
        <v>3943</v>
      </c>
      <c r="B3937" t="s">
        <v>8368</v>
      </c>
      <c r="C3937" t="s">
        <v>10930</v>
      </c>
      <c r="D3937" t="s">
        <v>14932</v>
      </c>
      <c r="E3937" s="2">
        <v>9573</v>
      </c>
      <c r="F3937">
        <f>HYPERLINK("https://www2.assemblee-nationale.fr/sycomore/fiche/(num_dept)/5886", "5886.0")</f>
        <v>0</v>
      </c>
      <c r="H3937">
        <f>HYPERLINK("https://www.wikidata.org/wiki/Q8313632", "Q8313632")</f>
        <v>0</v>
      </c>
    </row>
    <row r="3938" spans="1:8">
      <c r="A3938" t="s">
        <v>3944</v>
      </c>
      <c r="B3938" t="s">
        <v>8369</v>
      </c>
      <c r="C3938" t="s">
        <v>10167</v>
      </c>
      <c r="D3938" t="s">
        <v>14933</v>
      </c>
      <c r="E3938" s="2">
        <v>8660</v>
      </c>
      <c r="G3938">
        <f>HYPERLINK("https://www.senat.fr/senateur-3eme-republique/philipot_anatole0532r3.html", "philipot_anatole0532r3")</f>
        <v>0</v>
      </c>
      <c r="H3938">
        <f>HYPERLINK("https://www.wikidata.org/wiki/Q2845600", "Q2845600")</f>
        <v>0</v>
      </c>
    </row>
    <row r="3939" spans="1:8">
      <c r="A3939" t="s">
        <v>3945</v>
      </c>
      <c r="B3939" t="s">
        <v>8370</v>
      </c>
      <c r="C3939" t="s">
        <v>10931</v>
      </c>
      <c r="D3939" t="s">
        <v>14934</v>
      </c>
      <c r="E3939" t="s">
        <v>16346</v>
      </c>
      <c r="F3939">
        <f>HYPERLINK("https://www2.assemblee-nationale.fr/sycomore/fiche/(num_dept)/8023", "8023.0")</f>
        <v>0</v>
      </c>
      <c r="H3939">
        <f>HYPERLINK("https://www.wikidata.org/wiki/Q3185480", "Q3185480")</f>
        <v>0</v>
      </c>
    </row>
    <row r="3940" spans="1:8">
      <c r="A3940" t="s">
        <v>3946</v>
      </c>
      <c r="B3940" t="s">
        <v>8370</v>
      </c>
      <c r="C3940" t="s">
        <v>9734</v>
      </c>
      <c r="D3940" t="s">
        <v>14935</v>
      </c>
      <c r="E3940" s="2">
        <v>13577</v>
      </c>
      <c r="F3940">
        <f>HYPERLINK("https://www2.assemblee-nationale.fr/sycomore/fiche/(num_dept)/5887", "5887.0")</f>
        <v>0</v>
      </c>
      <c r="H3940">
        <f>HYPERLINK("https://www.wikidata.org/wiki/Q2842400", "Q2842400")</f>
        <v>0</v>
      </c>
    </row>
    <row r="3941" spans="1:8">
      <c r="A3941" t="s">
        <v>3947</v>
      </c>
      <c r="B3941" t="s">
        <v>8371</v>
      </c>
      <c r="C3941" t="s">
        <v>9337</v>
      </c>
      <c r="D3941" t="s">
        <v>14936</v>
      </c>
      <c r="E3941" t="s">
        <v>16053</v>
      </c>
      <c r="F3941">
        <f>HYPERLINK("https://www2.assemblee-nationale.fr/sycomore/fiche/(num_dept)/5890", "5890.0")</f>
        <v>0</v>
      </c>
      <c r="H3941">
        <f>HYPERLINK("https://www.wikidata.org/wiki/Q2871355", "Q2871355")</f>
        <v>0</v>
      </c>
    </row>
    <row r="3942" spans="1:8">
      <c r="A3942" t="s">
        <v>3948</v>
      </c>
      <c r="B3942" t="s">
        <v>8371</v>
      </c>
      <c r="C3942" t="s">
        <v>9324</v>
      </c>
      <c r="D3942" t="s">
        <v>14937</v>
      </c>
      <c r="E3942" s="2">
        <v>13104</v>
      </c>
      <c r="F3942">
        <f>HYPERLINK("https://www2.assemblee-nationale.fr/sycomore/fiche/(num_dept)/5891", "5891.0")</f>
        <v>0</v>
      </c>
      <c r="G3942">
        <f>HYPERLINK("https://www.senat.fr/senateur-3eme-republique/philippoteaux_henri0169r3.html", "philippoteaux_henri0169r3")</f>
        <v>0</v>
      </c>
      <c r="H3942">
        <f>HYPERLINK("https://www.wikidata.org/wiki/Q3131770", "Q3131770")</f>
        <v>0</v>
      </c>
    </row>
    <row r="3943" spans="1:8">
      <c r="A3943" t="s">
        <v>3949</v>
      </c>
      <c r="B3943" t="s">
        <v>8372</v>
      </c>
      <c r="C3943" t="s">
        <v>9368</v>
      </c>
      <c r="D3943" t="s">
        <v>14938</v>
      </c>
      <c r="E3943" s="2">
        <v>6421</v>
      </c>
      <c r="G3943">
        <f>HYPERLINK("https://www.senat.fr/senateur-3eme-republique/pic_paris_eugene0305r3.html", "pic_paris_eugene0305r3")</f>
        <v>0</v>
      </c>
      <c r="H3943">
        <f>HYPERLINK("https://www.wikidata.org/wiki/Q3060094", "Q3060094")</f>
        <v>0</v>
      </c>
    </row>
    <row r="3944" spans="1:8">
      <c r="A3944" t="s">
        <v>3950</v>
      </c>
      <c r="B3944" t="s">
        <v>8373</v>
      </c>
      <c r="C3944" t="s">
        <v>9634</v>
      </c>
      <c r="D3944" t="s">
        <v>14939</v>
      </c>
      <c r="E3944" s="2">
        <v>22451</v>
      </c>
      <c r="F3944">
        <f>HYPERLINK("https://www2.assemblee-nationale.fr/sycomore/fiche/(num_dept)/5894", "5894.0")</f>
        <v>0</v>
      </c>
      <c r="H3944">
        <f>HYPERLINK("https://www.wikidata.org/wiki/Q3090114", "Q3090114")</f>
        <v>0</v>
      </c>
    </row>
    <row r="3945" spans="1:8">
      <c r="A3945" t="s">
        <v>3951</v>
      </c>
      <c r="B3945" t="s">
        <v>8374</v>
      </c>
      <c r="C3945" t="s">
        <v>10932</v>
      </c>
      <c r="D3945" t="s">
        <v>14940</v>
      </c>
      <c r="E3945" t="s">
        <v>16347</v>
      </c>
      <c r="F3945">
        <f>HYPERLINK("https://www2.assemblee-nationale.fr/sycomore/fiche/(num_dept)/5897", "5897.0")</f>
        <v>0</v>
      </c>
      <c r="H3945">
        <f>HYPERLINK("https://www.wikidata.org/wiki/Q2865091", "Q2865091")</f>
        <v>0</v>
      </c>
    </row>
    <row r="3946" spans="1:8">
      <c r="A3946" t="s">
        <v>3952</v>
      </c>
      <c r="B3946" t="s">
        <v>8374</v>
      </c>
      <c r="C3946" t="s">
        <v>9564</v>
      </c>
      <c r="D3946" t="s">
        <v>14941</v>
      </c>
      <c r="E3946" s="2">
        <v>4816</v>
      </c>
      <c r="H3946">
        <f>HYPERLINK("https://www.wikidata.org/wiki/Q2645477", "Q2645477")</f>
        <v>0</v>
      </c>
    </row>
    <row r="3947" spans="1:8">
      <c r="A3947" t="s">
        <v>3953</v>
      </c>
      <c r="B3947" t="s">
        <v>8374</v>
      </c>
      <c r="C3947" t="s">
        <v>9352</v>
      </c>
      <c r="D3947" t="s">
        <v>14942</v>
      </c>
      <c r="E3947" s="2">
        <v>15315</v>
      </c>
      <c r="F3947">
        <f>HYPERLINK("https://www2.assemblee-nationale.fr/sycomore/fiche/(num_dept)/5898", "5898.0")</f>
        <v>0</v>
      </c>
      <c r="H3947">
        <f>HYPERLINK("https://www.wikidata.org/wiki/Q16026338", "Q16026338")</f>
        <v>0</v>
      </c>
    </row>
    <row r="3948" spans="1:8">
      <c r="A3948" t="s">
        <v>3954</v>
      </c>
      <c r="B3948" t="s">
        <v>8375</v>
      </c>
      <c r="C3948" t="s">
        <v>9839</v>
      </c>
      <c r="D3948" t="s">
        <v>14943</v>
      </c>
      <c r="E3948" s="2">
        <v>5222</v>
      </c>
      <c r="F3948">
        <f>HYPERLINK("https://www2.assemblee-nationale.fr/sycomore/fiche/(num_dept)/5902", "5902.0")</f>
        <v>0</v>
      </c>
      <c r="H3948">
        <f>HYPERLINK("https://www.wikidata.org/wiki/Q16026340", "Q16026340")</f>
        <v>0</v>
      </c>
    </row>
    <row r="3949" spans="1:8">
      <c r="A3949" t="s">
        <v>3955</v>
      </c>
      <c r="B3949" t="s">
        <v>8376</v>
      </c>
      <c r="C3949" t="s">
        <v>8384</v>
      </c>
      <c r="D3949" t="s">
        <v>14944</v>
      </c>
      <c r="E3949" s="2">
        <v>19239</v>
      </c>
      <c r="F3949">
        <f>HYPERLINK("https://www2.assemblee-nationale.fr/sycomore/fiche/(num_dept)/5903", "5903.0")</f>
        <v>0</v>
      </c>
      <c r="G3949">
        <f>HYPERLINK("https://www.senat.fr/senateur-3eme-republique/pichery_pierre0386r3.html", "pichery_pierre0386r3")</f>
        <v>0</v>
      </c>
      <c r="H3949">
        <f>HYPERLINK("https://www.wikidata.org/wiki/Q3386607", "Q3386607")</f>
        <v>0</v>
      </c>
    </row>
    <row r="3950" spans="1:8">
      <c r="A3950" t="s">
        <v>3956</v>
      </c>
      <c r="B3950" t="s">
        <v>8377</v>
      </c>
      <c r="C3950" t="s">
        <v>10780</v>
      </c>
      <c r="D3950" t="s">
        <v>14945</v>
      </c>
      <c r="E3950" s="2">
        <v>6069</v>
      </c>
      <c r="F3950">
        <f>HYPERLINK("https://www2.assemblee-nationale.fr/sycomore/fiche/(num_dept)/5904", "5904.0")</f>
        <v>0</v>
      </c>
      <c r="G3950">
        <f>HYPERLINK("https://www.senat.fr/senateur-3eme-republique/pichon_louis0791r3.html", "pichon_louis0791r3")</f>
        <v>0</v>
      </c>
      <c r="H3950">
        <f>HYPERLINK("https://www.wikidata.org/wiki/Q3262900", "Q3262900")</f>
        <v>0</v>
      </c>
    </row>
    <row r="3951" spans="1:8">
      <c r="A3951" t="s">
        <v>3957</v>
      </c>
      <c r="B3951" t="s">
        <v>8377</v>
      </c>
      <c r="C3951" t="s">
        <v>10933</v>
      </c>
      <c r="D3951" t="s">
        <v>14946</v>
      </c>
      <c r="E3951" s="2">
        <v>12315</v>
      </c>
      <c r="F3951">
        <f>HYPERLINK("https://www2.assemblee-nationale.fr/sycomore/fiche/(num_dept)/5905", "5905.0")</f>
        <v>0</v>
      </c>
      <c r="G3951">
        <f>HYPERLINK("https://www.senat.fr/senateur-3eme-republique/pichon_stephen0429r3.html", "pichon_stephen0429r3")</f>
        <v>0</v>
      </c>
      <c r="H3951">
        <f>HYPERLINK("https://www.wikidata.org/wiki/Q1069292", "Q1069292")</f>
        <v>0</v>
      </c>
    </row>
    <row r="3952" spans="1:8">
      <c r="A3952" t="s">
        <v>3958</v>
      </c>
      <c r="B3952" t="s">
        <v>8378</v>
      </c>
      <c r="C3952" t="s">
        <v>10934</v>
      </c>
      <c r="D3952" t="s">
        <v>14947</v>
      </c>
      <c r="E3952" s="2">
        <v>7049</v>
      </c>
      <c r="F3952">
        <f>HYPERLINK("https://www2.assemblee-nationale.fr/sycomore/fiche/(num_dept)/5907", "5907.0")</f>
        <v>0</v>
      </c>
      <c r="H3952">
        <f>HYPERLINK("https://www.wikidata.org/wiki/Q16026341", "Q16026341")</f>
        <v>0</v>
      </c>
    </row>
    <row r="3953" spans="1:8">
      <c r="A3953" t="s">
        <v>3959</v>
      </c>
      <c r="B3953" t="s">
        <v>8378</v>
      </c>
      <c r="C3953" t="s">
        <v>9677</v>
      </c>
      <c r="D3953" t="s">
        <v>14948</v>
      </c>
      <c r="E3953" s="2">
        <v>13989</v>
      </c>
      <c r="F3953">
        <f>HYPERLINK("https://www2.assemblee-nationale.fr/sycomore/fiche/(num_dept)/5908", "5908.0")</f>
        <v>0</v>
      </c>
      <c r="H3953">
        <f>HYPERLINK("https://www.wikidata.org/wiki/Q3573892", "Q3573892")</f>
        <v>0</v>
      </c>
    </row>
    <row r="3954" spans="1:8">
      <c r="A3954" t="s">
        <v>3960</v>
      </c>
      <c r="B3954" t="s">
        <v>8379</v>
      </c>
      <c r="C3954" t="s">
        <v>7001</v>
      </c>
      <c r="D3954" t="s">
        <v>14949</v>
      </c>
      <c r="E3954" s="2">
        <v>5132</v>
      </c>
      <c r="H3954">
        <f>HYPERLINK("https://www.wikidata.org/wiki/Q717539", "Q717539")</f>
        <v>0</v>
      </c>
    </row>
    <row r="3955" spans="1:8">
      <c r="A3955" t="s">
        <v>3961</v>
      </c>
      <c r="B3955" t="s">
        <v>8380</v>
      </c>
      <c r="C3955" t="s">
        <v>9324</v>
      </c>
      <c r="D3955" t="s">
        <v>13165</v>
      </c>
      <c r="E3955" s="2">
        <v>16438</v>
      </c>
      <c r="F3955">
        <f>HYPERLINK("https://www2.assemblee-nationale.fr/sycomore/fiche/(num_dept)/5913", "5913.0")</f>
        <v>0</v>
      </c>
      <c r="H3955">
        <f>HYPERLINK("https://www.wikidata.org/wiki/Q16026342", "Q16026342")</f>
        <v>0</v>
      </c>
    </row>
    <row r="3956" spans="1:8">
      <c r="A3956" t="s">
        <v>3962</v>
      </c>
      <c r="B3956" t="s">
        <v>8381</v>
      </c>
      <c r="C3956" t="s">
        <v>10935</v>
      </c>
      <c r="D3956" t="s">
        <v>14950</v>
      </c>
      <c r="E3956" s="2">
        <v>2233</v>
      </c>
      <c r="F3956">
        <f>HYPERLINK("https://www2.assemblee-nationale.fr/sycomore/fiche/(num_dept)/5919", "5919.0")</f>
        <v>0</v>
      </c>
      <c r="H3956">
        <f>HYPERLINK("https://www.wikidata.org/wiki/Q20204178", "Q20204178")</f>
        <v>0</v>
      </c>
    </row>
    <row r="3957" spans="1:8">
      <c r="A3957" t="s">
        <v>3963</v>
      </c>
      <c r="B3957" t="s">
        <v>8382</v>
      </c>
      <c r="C3957" t="s">
        <v>7342</v>
      </c>
      <c r="D3957" s="2">
        <v>1931</v>
      </c>
      <c r="E3957" s="2">
        <v>36236</v>
      </c>
      <c r="F3957">
        <f>HYPERLINK("https://www2.assemblee-nationale.fr/sycomore/fiche/(num_dept)/5920", "5920.0")</f>
        <v>0</v>
      </c>
      <c r="H3957">
        <f>HYPERLINK("https://www.wikidata.org/wiki/Q3173983", "Q3173983")</f>
        <v>0</v>
      </c>
    </row>
    <row r="3958" spans="1:8">
      <c r="A3958" t="s">
        <v>3964</v>
      </c>
      <c r="B3958" t="s">
        <v>8383</v>
      </c>
      <c r="C3958" t="s">
        <v>10936</v>
      </c>
      <c r="D3958" t="s">
        <v>14951</v>
      </c>
      <c r="E3958" s="2">
        <v>21122</v>
      </c>
      <c r="F3958">
        <f>HYPERLINK("https://www2.assemblee-nationale.fr/sycomore/fiche/(num_dept)/6016", "6016.0")</f>
        <v>0</v>
      </c>
      <c r="H3958">
        <f>HYPERLINK("https://www.wikidata.org/wiki/Q3386818", "Q3386818")</f>
        <v>0</v>
      </c>
    </row>
    <row r="3959" spans="1:8">
      <c r="A3959" t="s">
        <v>3965</v>
      </c>
      <c r="B3959" t="s">
        <v>8384</v>
      </c>
      <c r="C3959" t="s">
        <v>10937</v>
      </c>
      <c r="D3959" t="s">
        <v>14952</v>
      </c>
      <c r="E3959" s="2">
        <v>13858</v>
      </c>
      <c r="F3959">
        <f>HYPERLINK("https://www2.assemblee-nationale.fr/sycomore/fiche/(num_dept)/5917", "5917.0")</f>
        <v>0</v>
      </c>
      <c r="H3959">
        <f>HYPERLINK("https://www.wikidata.org/wiki/Q3060100", "Q3060100")</f>
        <v>0</v>
      </c>
    </row>
    <row r="3960" spans="1:8">
      <c r="A3960" t="s">
        <v>3966</v>
      </c>
      <c r="B3960" t="s">
        <v>8385</v>
      </c>
      <c r="C3960" t="s">
        <v>10064</v>
      </c>
      <c r="D3960" t="s">
        <v>14953</v>
      </c>
      <c r="E3960" s="2">
        <v>14656</v>
      </c>
      <c r="G3960">
        <f>HYPERLINK("https://www.senat.fr/senateur-3eme-republique/pierrin_amedee1673r3.html", "pierrin_amedee1673r3")</f>
        <v>0</v>
      </c>
      <c r="H3960">
        <f>HYPERLINK("https://www.wikidata.org/wiki/Q2844695", "Q2844695")</f>
        <v>0</v>
      </c>
    </row>
    <row r="3961" spans="1:8">
      <c r="A3961" t="s">
        <v>3967</v>
      </c>
      <c r="B3961" t="s">
        <v>8386</v>
      </c>
      <c r="C3961" t="s">
        <v>9373</v>
      </c>
      <c r="D3961" t="s">
        <v>14954</v>
      </c>
      <c r="G3961">
        <f>HYPERLINK("https://www.senat.fr/senateur-3eme-republique/pietri_joseph0471r3.html", "pietri_joseph0471r3")</f>
        <v>0</v>
      </c>
      <c r="H3961">
        <f>HYPERLINK("https://www.wikidata.org/wiki/Q3185309", "Q3185309")</f>
        <v>0</v>
      </c>
    </row>
    <row r="3962" spans="1:8">
      <c r="A3962" t="s">
        <v>3968</v>
      </c>
      <c r="B3962" t="s">
        <v>8387</v>
      </c>
      <c r="C3962" t="s">
        <v>6864</v>
      </c>
      <c r="D3962" t="s">
        <v>14955</v>
      </c>
      <c r="E3962" s="2">
        <v>24336</v>
      </c>
      <c r="H3962">
        <f>HYPERLINK("https://www.wikidata.org/wiki/Q3085590", "Q3085590")</f>
        <v>0</v>
      </c>
    </row>
    <row r="3963" spans="1:8">
      <c r="A3963" t="s">
        <v>3969</v>
      </c>
      <c r="B3963" t="s">
        <v>8388</v>
      </c>
      <c r="C3963" t="s">
        <v>7782</v>
      </c>
      <c r="D3963" t="s">
        <v>14956</v>
      </c>
      <c r="E3963" s="2">
        <v>4311</v>
      </c>
      <c r="G3963">
        <f>HYPERLINK("https://www.senat.fr/senateur-3eme-republique/piettre_leon1347r3.html", "piettre_leon1347r3")</f>
        <v>0</v>
      </c>
      <c r="H3963">
        <f>HYPERLINK("https://www.wikidata.org/wiki/Q13084812", "Q13084812")</f>
        <v>0</v>
      </c>
    </row>
    <row r="3964" spans="1:8">
      <c r="A3964" t="s">
        <v>3970</v>
      </c>
      <c r="B3964" t="s">
        <v>8389</v>
      </c>
      <c r="C3964" t="s">
        <v>10938</v>
      </c>
      <c r="D3964" t="s">
        <v>14957</v>
      </c>
      <c r="E3964" s="2">
        <v>12854</v>
      </c>
      <c r="F3964">
        <f>HYPERLINK("https://www2.assemblee-nationale.fr/sycomore/fiche/(num_dept)/5926", "5926.0")</f>
        <v>0</v>
      </c>
      <c r="G3964">
        <f>HYPERLINK("https://www.senat.fr/senateur-3eme-republique/pieyre_marius0448r3.html", "pieyre_marius0448r3")</f>
        <v>0</v>
      </c>
      <c r="H3964">
        <f>HYPERLINK("https://www.wikidata.org/wiki/Q3293843", "Q3293843")</f>
        <v>0</v>
      </c>
    </row>
    <row r="3965" spans="1:8">
      <c r="A3965" t="s">
        <v>3971</v>
      </c>
      <c r="B3965" t="s">
        <v>8390</v>
      </c>
      <c r="C3965" t="s">
        <v>7342</v>
      </c>
      <c r="D3965" t="s">
        <v>14014</v>
      </c>
      <c r="E3965" s="2">
        <v>6241</v>
      </c>
      <c r="F3965">
        <f>HYPERLINK("https://www2.assemblee-nationale.fr/sycomore/fiche/(num_dept)/5928", "5928.0")</f>
        <v>0</v>
      </c>
      <c r="H3965">
        <f>HYPERLINK("https://www.wikidata.org/wiki/Q16026343", "Q16026343")</f>
        <v>0</v>
      </c>
    </row>
    <row r="3966" spans="1:8">
      <c r="A3966" t="s">
        <v>3972</v>
      </c>
      <c r="B3966" t="s">
        <v>8391</v>
      </c>
      <c r="C3966" t="s">
        <v>10939</v>
      </c>
      <c r="D3966" t="s">
        <v>14958</v>
      </c>
      <c r="E3966" s="2">
        <v>12164</v>
      </c>
      <c r="F3966">
        <f>HYPERLINK("https://www2.assemblee-nationale.fr/sycomore/fiche/(num_dept)/5932", "5932.0")</f>
        <v>0</v>
      </c>
      <c r="H3966">
        <f>HYPERLINK("https://www.wikidata.org/wiki/Q16026345", "Q16026345")</f>
        <v>0</v>
      </c>
    </row>
    <row r="3967" spans="1:8">
      <c r="A3967" t="s">
        <v>3973</v>
      </c>
      <c r="B3967" t="s">
        <v>8392</v>
      </c>
      <c r="C3967" t="s">
        <v>9373</v>
      </c>
      <c r="D3967" t="s">
        <v>14959</v>
      </c>
      <c r="E3967" t="s">
        <v>16348</v>
      </c>
      <c r="G3967">
        <f>HYPERLINK("https://www.senat.fr/senateur-3eme-republique/pin_joseph1707r3.html", "pin_joseph1707r3")</f>
        <v>0</v>
      </c>
      <c r="H3967">
        <f>HYPERLINK("https://www.wikidata.org/wiki/Q3051912", "Q3051912")</f>
        <v>0</v>
      </c>
    </row>
    <row r="3968" spans="1:8">
      <c r="A3968" t="s">
        <v>3974</v>
      </c>
      <c r="B3968" t="s">
        <v>8393</v>
      </c>
      <c r="C3968" t="s">
        <v>9621</v>
      </c>
      <c r="D3968" t="s">
        <v>14960</v>
      </c>
      <c r="E3968" s="2">
        <v>12479</v>
      </c>
      <c r="F3968">
        <f>HYPERLINK("https://www2.assemblee-nationale.fr/sycomore/fiche/(num_dept)/5938", "5938.0")</f>
        <v>0</v>
      </c>
      <c r="H3968">
        <f>HYPERLINK("https://www.wikidata.org/wiki/Q365798", "Q365798")</f>
        <v>0</v>
      </c>
    </row>
    <row r="3969" spans="1:8">
      <c r="A3969" t="s">
        <v>3975</v>
      </c>
      <c r="B3969" t="s">
        <v>8394</v>
      </c>
      <c r="C3969" t="s">
        <v>10940</v>
      </c>
      <c r="D3969" t="s">
        <v>12123</v>
      </c>
      <c r="E3969" s="2">
        <v>4888</v>
      </c>
      <c r="F3969">
        <f>HYPERLINK("https://www2.assemblee-nationale.fr/sycomore/fiche/(num_dept)/5941", "5941.0")</f>
        <v>0</v>
      </c>
      <c r="G3969">
        <f>HYPERLINK("https://www.senat.fr/senateur-3eme-republique/pinault_eugene0540r3.html", "pinault_eugene0540r3")</f>
        <v>0</v>
      </c>
      <c r="H3969">
        <f>HYPERLINK("https://www.wikidata.org/wiki/Q3060101", "Q3060101")</f>
        <v>0</v>
      </c>
    </row>
    <row r="3970" spans="1:8">
      <c r="A3970" t="s">
        <v>3976</v>
      </c>
      <c r="B3970" t="s">
        <v>8394</v>
      </c>
      <c r="C3970" t="s">
        <v>10941</v>
      </c>
      <c r="D3970" t="s">
        <v>14961</v>
      </c>
      <c r="E3970" s="2">
        <v>15445</v>
      </c>
      <c r="F3970">
        <f>HYPERLINK("https://www2.assemblee-nationale.fr/sycomore/fiche/(num_dept)/5940", "5940.0")</f>
        <v>0</v>
      </c>
      <c r="H3970">
        <f>HYPERLINK("https://www.wikidata.org/wiki/Q3592333", "Q3592333")</f>
        <v>0</v>
      </c>
    </row>
    <row r="3971" spans="1:8">
      <c r="A3971" t="s">
        <v>3977</v>
      </c>
      <c r="B3971" t="s">
        <v>8395</v>
      </c>
      <c r="C3971" t="s">
        <v>9533</v>
      </c>
      <c r="D3971" t="s">
        <v>14962</v>
      </c>
      <c r="G3971">
        <f>HYPERLINK("https://www.senat.fr/senateur-3eme-republique/pinay_antoine1343r3.html", "pinay_antoine1343r3")</f>
        <v>0</v>
      </c>
      <c r="H3971">
        <f>HYPERLINK("https://www.wikidata.org/wiki/Q356724", "Q356724")</f>
        <v>0</v>
      </c>
    </row>
    <row r="3972" spans="1:8">
      <c r="A3972" t="s">
        <v>3978</v>
      </c>
      <c r="B3972" t="s">
        <v>8396</v>
      </c>
      <c r="C3972" t="s">
        <v>8208</v>
      </c>
      <c r="D3972" t="s">
        <v>14963</v>
      </c>
      <c r="E3972" s="2">
        <v>25605</v>
      </c>
      <c r="H3972">
        <f>HYPERLINK("https://www.wikidata.org/wiki/Q3345869", "Q3345869")</f>
        <v>0</v>
      </c>
    </row>
    <row r="3973" spans="1:8">
      <c r="A3973" t="s">
        <v>3979</v>
      </c>
      <c r="B3973" t="s">
        <v>8397</v>
      </c>
      <c r="C3973" t="s">
        <v>10942</v>
      </c>
      <c r="D3973" t="s">
        <v>14964</v>
      </c>
      <c r="E3973" s="2">
        <v>13185</v>
      </c>
      <c r="F3973">
        <f>HYPERLINK("https://www2.assemblee-nationale.fr/sycomore/fiche/(num_dept)/5949", "5949.0")</f>
        <v>0</v>
      </c>
      <c r="H3973">
        <f>HYPERLINK("https://www.wikidata.org/wiki/Q16026346", "Q16026346")</f>
        <v>0</v>
      </c>
    </row>
    <row r="3974" spans="1:8">
      <c r="A3974" t="s">
        <v>3980</v>
      </c>
      <c r="B3974" t="s">
        <v>8398</v>
      </c>
      <c r="C3974" t="s">
        <v>10108</v>
      </c>
      <c r="D3974" t="s">
        <v>14965</v>
      </c>
      <c r="E3974" s="2">
        <v>3595</v>
      </c>
      <c r="G3974">
        <f>HYPERLINK("https://www.senat.fr/senateur-3eme-republique/piot_edme0550r3.html", "piot_edme0550r3")</f>
        <v>0</v>
      </c>
      <c r="H3974">
        <f>HYPERLINK("https://www.wikidata.org/wiki/Q3047703", "Q3047703")</f>
        <v>0</v>
      </c>
    </row>
    <row r="3975" spans="1:8">
      <c r="A3975" t="s">
        <v>3981</v>
      </c>
      <c r="B3975" t="s">
        <v>8399</v>
      </c>
      <c r="C3975" t="s">
        <v>7342</v>
      </c>
      <c r="D3975" t="s">
        <v>14966</v>
      </c>
      <c r="E3975" s="2">
        <v>17689</v>
      </c>
      <c r="F3975">
        <f>HYPERLINK("https://www2.assemblee-nationale.fr/sycomore/fiche/(num_dept)/5955", "5955.0")</f>
        <v>0</v>
      </c>
      <c r="H3975">
        <f>HYPERLINK("https://www.wikidata.org/wiki/Q13080905", "Q13080905")</f>
        <v>0</v>
      </c>
    </row>
    <row r="3976" spans="1:8">
      <c r="A3976" t="s">
        <v>3982</v>
      </c>
      <c r="B3976" t="s">
        <v>8400</v>
      </c>
      <c r="C3976" t="s">
        <v>10943</v>
      </c>
      <c r="D3976" t="s">
        <v>14967</v>
      </c>
      <c r="E3976" s="2">
        <v>11821</v>
      </c>
      <c r="F3976">
        <f>HYPERLINK("https://www2.assemblee-nationale.fr/sycomore/fiche/(num_dept)/5956", "5956.0")</f>
        <v>0</v>
      </c>
      <c r="H3976">
        <f>HYPERLINK("https://www.wikidata.org/wiki/Q3159775", "Q3159775")</f>
        <v>0</v>
      </c>
    </row>
    <row r="3977" spans="1:8">
      <c r="A3977" t="s">
        <v>3983</v>
      </c>
      <c r="B3977" t="s">
        <v>8401</v>
      </c>
      <c r="C3977" t="s">
        <v>10944</v>
      </c>
      <c r="D3977" t="s">
        <v>14968</v>
      </c>
      <c r="E3977" s="2">
        <v>21275</v>
      </c>
      <c r="F3977">
        <f>HYPERLINK("https://www2.assemblee-nationale.fr/sycomore/fiche/(num_dept)/5957", "5957.0")</f>
        <v>0</v>
      </c>
      <c r="H3977">
        <f>HYPERLINK("https://www.wikidata.org/wiki/Q2833972", "Q2833972")</f>
        <v>0</v>
      </c>
    </row>
    <row r="3978" spans="1:8">
      <c r="A3978" t="s">
        <v>3984</v>
      </c>
      <c r="B3978" t="s">
        <v>8402</v>
      </c>
      <c r="C3978" t="s">
        <v>10945</v>
      </c>
      <c r="D3978" t="s">
        <v>14969</v>
      </c>
      <c r="E3978" s="2">
        <v>9223</v>
      </c>
      <c r="F3978">
        <f>HYPERLINK("https://www2.assemblee-nationale.fr/sycomore/fiche/(num_dept)/5962", "5962.0")</f>
        <v>0</v>
      </c>
      <c r="H3978">
        <f>HYPERLINK("https://www.wikidata.org/wiki/Q15971919", "Q15971919")</f>
        <v>0</v>
      </c>
    </row>
    <row r="3979" spans="1:8">
      <c r="A3979" t="s">
        <v>3985</v>
      </c>
      <c r="B3979" t="s">
        <v>8403</v>
      </c>
      <c r="C3979" t="s">
        <v>6864</v>
      </c>
      <c r="D3979" t="s">
        <v>14970</v>
      </c>
      <c r="E3979" t="s">
        <v>16129</v>
      </c>
      <c r="G3979">
        <f>HYPERLINK("https://www.senat.fr/senateur-3eme-republique/pitti_ferrandi_francois0477r3.html", "pitti_ferrandi_francois0477r3")</f>
        <v>0</v>
      </c>
      <c r="H3979">
        <f>HYPERLINK("https://www.wikidata.org/wiki/Q3085581", "Q3085581")</f>
        <v>0</v>
      </c>
    </row>
    <row r="3980" spans="1:8">
      <c r="A3980" t="s">
        <v>3986</v>
      </c>
      <c r="B3980" t="s">
        <v>8403</v>
      </c>
      <c r="C3980" t="s">
        <v>6864</v>
      </c>
      <c r="D3980" t="s">
        <v>14971</v>
      </c>
      <c r="G3980">
        <f>HYPERLINK("https://www.senat.fr/senateur-3eme-republique/pitti_ferrandi_francois0484r3.html", "pitti_ferrandi_francois0484r3")</f>
        <v>0</v>
      </c>
      <c r="H3980">
        <f>HYPERLINK("https://www.wikidata.org/wiki/Q3085581", "Q3085581")</f>
        <v>0</v>
      </c>
    </row>
    <row r="3981" spans="1:8">
      <c r="A3981" t="s">
        <v>3987</v>
      </c>
      <c r="B3981" t="s">
        <v>8404</v>
      </c>
      <c r="C3981" t="s">
        <v>5096</v>
      </c>
      <c r="D3981" t="s">
        <v>14972</v>
      </c>
      <c r="E3981" s="2">
        <v>2256</v>
      </c>
      <c r="F3981">
        <f>HYPERLINK("https://www2.assemblee-nationale.fr/sycomore/fiche/(num_dept)/5914", "5914.0")</f>
        <v>0</v>
      </c>
      <c r="H3981">
        <f>HYPERLINK("https://www.wikidata.org/wiki/Q13077232", "Q13077232")</f>
        <v>0</v>
      </c>
    </row>
    <row r="3982" spans="1:8">
      <c r="A3982" t="s">
        <v>3988</v>
      </c>
      <c r="B3982" t="s">
        <v>8405</v>
      </c>
      <c r="C3982" t="s">
        <v>10946</v>
      </c>
      <c r="D3982" t="s">
        <v>14955</v>
      </c>
      <c r="E3982" s="2">
        <v>24337</v>
      </c>
      <c r="F3982">
        <f>HYPERLINK("https://www2.assemblee-nationale.fr/sycomore/fiche/(num_dept)/5924", "5924.0")</f>
        <v>0</v>
      </c>
      <c r="H3982">
        <f>HYPERLINK("https://www.wikidata.org/wiki/Q3085590", "Q3085590")</f>
        <v>0</v>
      </c>
    </row>
    <row r="3983" spans="1:8">
      <c r="A3983" t="s">
        <v>3989</v>
      </c>
      <c r="B3983" t="s">
        <v>8406</v>
      </c>
      <c r="C3983" t="s">
        <v>10947</v>
      </c>
      <c r="D3983" t="s">
        <v>14953</v>
      </c>
      <c r="E3983" s="2">
        <v>2596</v>
      </c>
      <c r="F3983">
        <f>HYPERLINK("https://www2.assemblee-nationale.fr/sycomore/fiche/(num_dept)/4904", "4904.0")</f>
        <v>0</v>
      </c>
      <c r="H3983">
        <f>HYPERLINK("https://www.wikidata.org/wiki/Q3261098", "Q3261098")</f>
        <v>0</v>
      </c>
    </row>
    <row r="3984" spans="1:8">
      <c r="A3984" t="s">
        <v>3990</v>
      </c>
      <c r="B3984" t="s">
        <v>8407</v>
      </c>
      <c r="C3984" t="s">
        <v>10070</v>
      </c>
      <c r="D3984" t="s">
        <v>14973</v>
      </c>
      <c r="E3984" s="2">
        <v>21535</v>
      </c>
      <c r="F3984">
        <f>HYPERLINK("https://www2.assemblee-nationale.fr/sycomore/fiche/(num_dept)/5965", "5965.0")</f>
        <v>0</v>
      </c>
      <c r="G3984">
        <f>HYPERLINK("https://www.senat.fr/senateur-3eme-republique/plaisant_marcel0005r4.html", "plaisant_marcel0005r4")</f>
        <v>0</v>
      </c>
      <c r="H3984">
        <f>HYPERLINK("https://www.wikidata.org/wiki/Q3289294", "Q3289294")</f>
        <v>0</v>
      </c>
    </row>
    <row r="3985" spans="1:8">
      <c r="A3985" t="s">
        <v>3991</v>
      </c>
      <c r="B3985" t="s">
        <v>8408</v>
      </c>
      <c r="C3985" t="s">
        <v>7025</v>
      </c>
      <c r="D3985" t="s">
        <v>14974</v>
      </c>
      <c r="E3985" s="2">
        <v>8911</v>
      </c>
      <c r="F3985">
        <f>HYPERLINK("https://www2.assemblee-nationale.fr/sycomore/fiche/(num_dept)/5967", "5967.0")</f>
        <v>0</v>
      </c>
      <c r="H3985">
        <f>HYPERLINK("https://www.wikidata.org/wiki/Q3084727", "Q3084727")</f>
        <v>0</v>
      </c>
    </row>
    <row r="3986" spans="1:8">
      <c r="A3986" t="s">
        <v>3992</v>
      </c>
      <c r="B3986" t="s">
        <v>8408</v>
      </c>
      <c r="C3986" t="s">
        <v>9352</v>
      </c>
      <c r="D3986" t="s">
        <v>14975</v>
      </c>
      <c r="E3986" s="2">
        <v>22402</v>
      </c>
      <c r="F3986">
        <f>HYPERLINK("https://www2.assemblee-nationale.fr/sycomore/fiche/(num_dept)/5966", "5966.0")</f>
        <v>0</v>
      </c>
      <c r="H3986">
        <f>HYPERLINK("https://www.wikidata.org/wiki/Q2935039", "Q2935039")</f>
        <v>0</v>
      </c>
    </row>
    <row r="3987" spans="1:8">
      <c r="A3987" t="s">
        <v>3993</v>
      </c>
      <c r="B3987" t="s">
        <v>8409</v>
      </c>
      <c r="C3987" t="s">
        <v>10948</v>
      </c>
      <c r="D3987" t="s">
        <v>12670</v>
      </c>
      <c r="E3987" s="2">
        <v>10074</v>
      </c>
      <c r="F3987">
        <f>HYPERLINK("https://www2.assemblee-nationale.fr/sycomore/fiche/(num_dept)/5968", "5968.0")</f>
        <v>0</v>
      </c>
      <c r="H3987">
        <f>HYPERLINK("https://www.wikidata.org/wiki/Q8299181", "Q8299181")</f>
        <v>0</v>
      </c>
    </row>
    <row r="3988" spans="1:8">
      <c r="A3988" t="s">
        <v>3994</v>
      </c>
      <c r="B3988" t="s">
        <v>8410</v>
      </c>
      <c r="C3988" t="s">
        <v>10949</v>
      </c>
      <c r="D3988" t="s">
        <v>14976</v>
      </c>
      <c r="E3988" s="2">
        <v>2316</v>
      </c>
      <c r="F3988">
        <f>HYPERLINK("https://www2.assemblee-nationale.fr/sycomore/fiche/(num_dept)/8025", "8025.0")</f>
        <v>0</v>
      </c>
      <c r="H3988">
        <f>HYPERLINK("https://www.wikidata.org/wiki/Q16026347", "Q16026347")</f>
        <v>0</v>
      </c>
    </row>
    <row r="3989" spans="1:8">
      <c r="A3989" t="s">
        <v>3995</v>
      </c>
      <c r="B3989" t="s">
        <v>8411</v>
      </c>
      <c r="C3989" t="s">
        <v>9312</v>
      </c>
      <c r="D3989" t="s">
        <v>14977</v>
      </c>
      <c r="E3989" t="s">
        <v>16349</v>
      </c>
      <c r="G3989">
        <f>HYPERLINK("https://www.senat.fr/senateur-3eme-republique/plantie_jean_baptiste1066r3.html", "plantie_jean_baptiste1066r3")</f>
        <v>0</v>
      </c>
      <c r="H3989">
        <f>HYPERLINK("https://www.wikidata.org/wiki/Q3164364", "Q3164364")</f>
        <v>0</v>
      </c>
    </row>
    <row r="3990" spans="1:8">
      <c r="A3990" t="s">
        <v>3996</v>
      </c>
      <c r="B3990" t="s">
        <v>8412</v>
      </c>
      <c r="C3990" t="s">
        <v>10950</v>
      </c>
      <c r="D3990" t="s">
        <v>14978</v>
      </c>
      <c r="E3990" t="s">
        <v>16349</v>
      </c>
      <c r="F3990">
        <f>HYPERLINK("https://www2.assemblee-nationale.fr/sycomore/fiche/(num_dept)/8216", "8216.0")</f>
        <v>0</v>
      </c>
      <c r="H3990">
        <f>HYPERLINK("https://www.wikidata.org/wiki/Q3164364", "Q3164364")</f>
        <v>0</v>
      </c>
    </row>
    <row r="3991" spans="1:8">
      <c r="A3991" t="s">
        <v>3997</v>
      </c>
      <c r="B3991" t="s">
        <v>8413</v>
      </c>
      <c r="C3991" t="s">
        <v>9320</v>
      </c>
      <c r="D3991" t="s">
        <v>14979</v>
      </c>
      <c r="E3991" s="2">
        <v>17067</v>
      </c>
      <c r="F3991">
        <f>HYPERLINK("https://www2.assemblee-nationale.fr/sycomore/fiche/(num_dept)/5976", "5976.0")</f>
        <v>0</v>
      </c>
      <c r="H3991">
        <f>HYPERLINK("https://www.wikidata.org/wiki/Q3426754", "Q3426754")</f>
        <v>0</v>
      </c>
    </row>
    <row r="3992" spans="1:8">
      <c r="A3992" t="s">
        <v>3998</v>
      </c>
      <c r="B3992" t="s">
        <v>8414</v>
      </c>
      <c r="C3992" t="s">
        <v>10951</v>
      </c>
      <c r="D3992" t="s">
        <v>14980</v>
      </c>
      <c r="E3992" t="s">
        <v>16310</v>
      </c>
      <c r="F3992">
        <f>HYPERLINK("https://www2.assemblee-nationale.fr/sycomore/fiche/(num_dept)/5978", "5978.0")</f>
        <v>0</v>
      </c>
      <c r="H3992">
        <f>HYPERLINK("https://www.wikidata.org/wiki/Q2960325", "Q2960325")</f>
        <v>0</v>
      </c>
    </row>
    <row r="3993" spans="1:8">
      <c r="A3993" t="s">
        <v>3999</v>
      </c>
      <c r="B3993" t="s">
        <v>8415</v>
      </c>
      <c r="C3993" t="s">
        <v>10503</v>
      </c>
      <c r="D3993" t="s">
        <v>14981</v>
      </c>
      <c r="E3993" t="s">
        <v>16350</v>
      </c>
      <c r="F3993">
        <f>HYPERLINK("https://www2.assemblee-nationale.fr/sycomore/fiche/(num_dept)/8257", "8257.0")</f>
        <v>0</v>
      </c>
      <c r="H3993">
        <f>HYPERLINK("https://www.wikidata.org/wiki/Q16026348", "Q16026348")</f>
        <v>0</v>
      </c>
    </row>
    <row r="3994" spans="1:8">
      <c r="A3994" t="s">
        <v>4000</v>
      </c>
      <c r="B3994" t="s">
        <v>8416</v>
      </c>
      <c r="C3994" t="s">
        <v>9332</v>
      </c>
      <c r="D3994" t="s">
        <v>14982</v>
      </c>
      <c r="E3994" s="2">
        <v>10737</v>
      </c>
      <c r="F3994">
        <f>HYPERLINK("https://www2.assemblee-nationale.fr/sycomore/fiche/(num_dept)/5979", "5979.0")</f>
        <v>0</v>
      </c>
      <c r="H3994">
        <f>HYPERLINK("https://www.wikidata.org/wiki/Q3057138", "Q3057138")</f>
        <v>0</v>
      </c>
    </row>
    <row r="3995" spans="1:8">
      <c r="A3995" t="s">
        <v>4001</v>
      </c>
      <c r="B3995" t="s">
        <v>8417</v>
      </c>
      <c r="C3995" t="s">
        <v>10952</v>
      </c>
      <c r="D3995" t="s">
        <v>14983</v>
      </c>
      <c r="E3995" t="s">
        <v>16351</v>
      </c>
      <c r="F3995">
        <f>HYPERLINK("https://www2.assemblee-nationale.fr/sycomore/fiche/(num_dept)/8024", "8024.0")</f>
        <v>0</v>
      </c>
      <c r="H3995">
        <f>HYPERLINK("https://www.wikidata.org/wiki/Q2960028", "Q2960028")</f>
        <v>0</v>
      </c>
    </row>
    <row r="3996" spans="1:8">
      <c r="A3996" t="s">
        <v>4002</v>
      </c>
      <c r="B3996" t="s">
        <v>8417</v>
      </c>
      <c r="C3996" t="s">
        <v>10953</v>
      </c>
      <c r="D3996" t="s">
        <v>14944</v>
      </c>
      <c r="E3996" s="2">
        <v>13415</v>
      </c>
      <c r="F3996">
        <f>HYPERLINK("https://www2.assemblee-nationale.fr/sycomore/fiche/(num_dept)/5981", "5981.0")</f>
        <v>0</v>
      </c>
      <c r="G3996">
        <f>HYPERLINK("https://www.senat.fr/senateur-3eme-republique/plichon_jean1422r3.html", "plichon_jean1422r3")</f>
        <v>0</v>
      </c>
      <c r="H3996">
        <f>HYPERLINK("https://www.wikidata.org/wiki/Q3174051", "Q3174051")</f>
        <v>0</v>
      </c>
    </row>
    <row r="3997" spans="1:8">
      <c r="A3997" t="s">
        <v>4003</v>
      </c>
      <c r="B3997" t="s">
        <v>8418</v>
      </c>
      <c r="C3997" t="s">
        <v>8928</v>
      </c>
      <c r="D3997" t="s">
        <v>14984</v>
      </c>
      <c r="E3997" s="2">
        <v>11601</v>
      </c>
      <c r="F3997">
        <f>HYPERLINK("https://www2.assemblee-nationale.fr/sycomore/fiche/(num_dept)/5983", "5983.0")</f>
        <v>0</v>
      </c>
      <c r="H3997">
        <f>HYPERLINK("https://www.wikidata.org/wiki/Q3484416", "Q3484416")</f>
        <v>0</v>
      </c>
    </row>
    <row r="3998" spans="1:8">
      <c r="A3998" t="s">
        <v>4004</v>
      </c>
      <c r="B3998" t="s">
        <v>8419</v>
      </c>
      <c r="C3998" t="s">
        <v>9794</v>
      </c>
      <c r="D3998" t="s">
        <v>14649</v>
      </c>
      <c r="E3998" s="2">
        <v>7590</v>
      </c>
      <c r="F3998">
        <f>HYPERLINK("https://www2.assemblee-nationale.fr/sycomore/fiche/(num_dept)/5985", "5985.0")</f>
        <v>0</v>
      </c>
      <c r="H3998">
        <f>HYPERLINK("https://www.wikidata.org/wiki/Q3579999", "Q3579999")</f>
        <v>0</v>
      </c>
    </row>
    <row r="3999" spans="1:8">
      <c r="A3999" t="s">
        <v>4005</v>
      </c>
      <c r="B3999" t="s">
        <v>8420</v>
      </c>
      <c r="C3999" t="s">
        <v>9373</v>
      </c>
      <c r="D3999" t="s">
        <v>14985</v>
      </c>
      <c r="G3999">
        <f>HYPERLINK("https://www.senat.fr/senateur-3eme-republique/pochon_joseph0015r3.html", "pochon_joseph0015r3")</f>
        <v>0</v>
      </c>
      <c r="H3999">
        <f>HYPERLINK("https://www.wikidata.org/wiki/Q3185501", "Q3185501")</f>
        <v>0</v>
      </c>
    </row>
    <row r="4000" spans="1:8">
      <c r="A4000" t="s">
        <v>4006</v>
      </c>
      <c r="B4000" t="s">
        <v>8421</v>
      </c>
      <c r="C4000" t="s">
        <v>10954</v>
      </c>
      <c r="D4000" t="s">
        <v>14986</v>
      </c>
      <c r="E4000" s="2">
        <v>3179</v>
      </c>
      <c r="F4000">
        <f>HYPERLINK("https://www2.assemblee-nationale.fr/sycomore/fiche/(num_dept)/5987", "5987.0")</f>
        <v>0</v>
      </c>
      <c r="H4000">
        <f>HYPERLINK("https://www.wikidata.org/wiki/Q3185501", "Q3185501")</f>
        <v>0</v>
      </c>
    </row>
    <row r="4001" spans="1:8">
      <c r="A4001" t="s">
        <v>4007</v>
      </c>
      <c r="B4001" t="s">
        <v>8422</v>
      </c>
      <c r="C4001" t="s">
        <v>9471</v>
      </c>
      <c r="D4001" t="s">
        <v>14987</v>
      </c>
      <c r="E4001" s="2">
        <v>15456</v>
      </c>
      <c r="F4001">
        <f>HYPERLINK("https://www2.assemblee-nationale.fr/sycomore/fiche/(num_dept)/5992", "5992.0")</f>
        <v>0</v>
      </c>
      <c r="H4001">
        <f>HYPERLINK("https://www.wikidata.org/wiki/Q3188852", "Q3188852")</f>
        <v>0</v>
      </c>
    </row>
    <row r="4002" spans="1:8">
      <c r="A4002" t="s">
        <v>4008</v>
      </c>
      <c r="B4002" t="s">
        <v>8423</v>
      </c>
      <c r="C4002" t="s">
        <v>9386</v>
      </c>
      <c r="D4002" t="s">
        <v>13750</v>
      </c>
      <c r="E4002" s="2">
        <v>12707</v>
      </c>
      <c r="G4002">
        <f>HYPERLINK("https://www.senat.fr/senateur-3eme-republique/poincare_raymond1024r3.html", "poincare_raymond1024r3")</f>
        <v>0</v>
      </c>
      <c r="H4002">
        <f>HYPERLINK("https://www.wikidata.org/wiki/Q191974", "Q191974")</f>
        <v>0</v>
      </c>
    </row>
    <row r="4003" spans="1:8">
      <c r="A4003" t="s">
        <v>4009</v>
      </c>
      <c r="B4003" t="s">
        <v>8424</v>
      </c>
      <c r="C4003" t="s">
        <v>9386</v>
      </c>
      <c r="D4003" t="s">
        <v>13750</v>
      </c>
      <c r="E4003" s="2">
        <v>12707</v>
      </c>
      <c r="F4003">
        <f>HYPERLINK("https://www2.assemblee-nationale.fr/sycomore/fiche/(num_dept)/5994", "5994.0")</f>
        <v>0</v>
      </c>
      <c r="H4003">
        <f>HYPERLINK("https://www.wikidata.org/wiki/Q191974", "Q191974")</f>
        <v>0</v>
      </c>
    </row>
    <row r="4004" spans="1:8">
      <c r="A4004" t="s">
        <v>4010</v>
      </c>
      <c r="B4004" t="s">
        <v>8425</v>
      </c>
      <c r="C4004" t="s">
        <v>9621</v>
      </c>
      <c r="D4004" t="s">
        <v>14988</v>
      </c>
      <c r="E4004" s="2">
        <v>15650</v>
      </c>
      <c r="G4004">
        <f>HYPERLINK("https://www.senat.fr/senateur-3eme-republique/pointaire_adolphe0435r3.html", "pointaire_adolphe0435r3")</f>
        <v>0</v>
      </c>
      <c r="H4004">
        <f>HYPERLINK("https://www.wikidata.org/wiki/Q2824890", "Q2824890")</f>
        <v>0</v>
      </c>
    </row>
    <row r="4005" spans="1:8">
      <c r="A4005" t="s">
        <v>4011</v>
      </c>
      <c r="B4005" t="s">
        <v>8426</v>
      </c>
      <c r="C4005" t="s">
        <v>9564</v>
      </c>
      <c r="D4005" t="s">
        <v>14989</v>
      </c>
      <c r="G4005">
        <f>HYPERLINK("https://www.senat.fr/senateur-3eme-republique/poirrier_alfred0641r3.html", "poirrier_alfred0641r3")</f>
        <v>0</v>
      </c>
      <c r="H4005">
        <f>HYPERLINK("https://www.wikidata.org/wiki/Q2835401", "Q2835401")</f>
        <v>0</v>
      </c>
    </row>
    <row r="4006" spans="1:8">
      <c r="A4006" t="s">
        <v>4012</v>
      </c>
      <c r="B4006" t="s">
        <v>8426</v>
      </c>
      <c r="C4006" t="s">
        <v>6864</v>
      </c>
      <c r="D4006" t="s">
        <v>14990</v>
      </c>
      <c r="E4006" s="2">
        <v>6251</v>
      </c>
      <c r="G4006">
        <f>HYPERLINK("https://www.senat.fr/senateur-3eme-republique/poirrier_francois1358r3.html", "poirrier_francois1358r3")</f>
        <v>0</v>
      </c>
      <c r="H4006">
        <f>HYPERLINK("https://www.wikidata.org/wiki/Q13080874", "Q13080874")</f>
        <v>0</v>
      </c>
    </row>
    <row r="4007" spans="1:8">
      <c r="A4007" t="s">
        <v>4013</v>
      </c>
      <c r="B4007" t="s">
        <v>8427</v>
      </c>
      <c r="C4007" t="s">
        <v>9324</v>
      </c>
      <c r="D4007" t="s">
        <v>14991</v>
      </c>
      <c r="E4007" s="2">
        <v>8650</v>
      </c>
      <c r="G4007">
        <f>HYPERLINK("https://www.senat.fr/senateur-3eme-republique/poirson_henri1646r3.html", "poirson_henri1646r3")</f>
        <v>0</v>
      </c>
      <c r="H4007">
        <f>HYPERLINK("https://www.wikidata.org/wiki/Q3131810", "Q3131810")</f>
        <v>0</v>
      </c>
    </row>
    <row r="4008" spans="1:8">
      <c r="A4008" t="s">
        <v>4014</v>
      </c>
      <c r="B4008" t="s">
        <v>8428</v>
      </c>
      <c r="C4008" t="s">
        <v>10955</v>
      </c>
      <c r="D4008" t="s">
        <v>14992</v>
      </c>
      <c r="E4008" s="2">
        <v>3312</v>
      </c>
      <c r="F4008">
        <f>HYPERLINK("https://www2.assemblee-nationale.fr/sycomore/fiche/(num_dept)/6000", "6000.0")</f>
        <v>0</v>
      </c>
      <c r="H4008">
        <f>HYPERLINK("https://www.wikidata.org/wiki/Q3386637", "Q3386637")</f>
        <v>0</v>
      </c>
    </row>
    <row r="4009" spans="1:8">
      <c r="A4009" t="s">
        <v>4015</v>
      </c>
      <c r="B4009" t="s">
        <v>8429</v>
      </c>
      <c r="C4009" t="s">
        <v>10956</v>
      </c>
      <c r="D4009" t="s">
        <v>14993</v>
      </c>
      <c r="E4009" s="2">
        <v>4228</v>
      </c>
      <c r="F4009">
        <f>HYPERLINK("https://www2.assemblee-nationale.fr/sycomore/fiche/(num_dept)/6402", "6402.0")</f>
        <v>0</v>
      </c>
      <c r="H4009">
        <f>HYPERLINK("https://www.wikidata.org/wiki/Q16026350", "Q16026350")</f>
        <v>0</v>
      </c>
    </row>
    <row r="4010" spans="1:8">
      <c r="A4010" t="s">
        <v>4016</v>
      </c>
      <c r="B4010" t="s">
        <v>8429</v>
      </c>
      <c r="C4010" t="s">
        <v>10957</v>
      </c>
      <c r="D4010" t="s">
        <v>14994</v>
      </c>
      <c r="E4010" s="2">
        <v>24643</v>
      </c>
      <c r="F4010">
        <f>HYPERLINK("https://www2.assemblee-nationale.fr/sycomore/fiche/(num_dept)/6401", "6401.0")</f>
        <v>0</v>
      </c>
      <c r="H4010">
        <f>HYPERLINK("https://www.wikidata.org/wiki/Q3159791", "Q3159791")</f>
        <v>0</v>
      </c>
    </row>
    <row r="4011" spans="1:8">
      <c r="A4011" t="s">
        <v>4017</v>
      </c>
      <c r="B4011" t="s">
        <v>8430</v>
      </c>
      <c r="C4011" t="s">
        <v>9512</v>
      </c>
      <c r="D4011" t="s">
        <v>14995</v>
      </c>
      <c r="E4011" s="2">
        <v>16135</v>
      </c>
      <c r="F4011">
        <f>HYPERLINK("https://www2.assemblee-nationale.fr/sycomore/fiche/(num_dept)/6403", "6403.0")</f>
        <v>0</v>
      </c>
      <c r="H4011">
        <f>HYPERLINK("https://www.wikidata.org/wiki/Q3099119", "Q3099119")</f>
        <v>0</v>
      </c>
    </row>
    <row r="4012" spans="1:8">
      <c r="A4012" t="s">
        <v>4018</v>
      </c>
      <c r="B4012" t="s">
        <v>8431</v>
      </c>
      <c r="C4012" t="s">
        <v>10958</v>
      </c>
      <c r="D4012" t="s">
        <v>12037</v>
      </c>
      <c r="E4012" s="2">
        <v>3321</v>
      </c>
      <c r="F4012">
        <f>HYPERLINK("https://www2.assemblee-nationale.fr/sycomore/fiche/(num_dept)/8014", "8014.0")</f>
        <v>0</v>
      </c>
      <c r="H4012">
        <f>HYPERLINK("https://www.wikidata.org/wiki/Q2854115", "Q2854115")</f>
        <v>0</v>
      </c>
    </row>
    <row r="4013" spans="1:8">
      <c r="A4013" t="s">
        <v>4019</v>
      </c>
      <c r="B4013" t="s">
        <v>8432</v>
      </c>
      <c r="C4013" t="s">
        <v>10834</v>
      </c>
      <c r="D4013" t="s">
        <v>14089</v>
      </c>
      <c r="E4013" s="2">
        <v>29946</v>
      </c>
      <c r="F4013">
        <f>HYPERLINK("https://www2.assemblee-nationale.fr/sycomore/fiche/(num_dept)/6404", "6404.0")</f>
        <v>0</v>
      </c>
      <c r="H4013">
        <f>HYPERLINK("https://www.wikidata.org/wiki/Q3086294", "Q3086294")</f>
        <v>0</v>
      </c>
    </row>
    <row r="4014" spans="1:8">
      <c r="A4014" t="s">
        <v>4020</v>
      </c>
      <c r="B4014" t="s">
        <v>8433</v>
      </c>
      <c r="C4014" t="s">
        <v>10959</v>
      </c>
      <c r="D4014" t="s">
        <v>14996</v>
      </c>
      <c r="E4014" s="2">
        <v>23050</v>
      </c>
      <c r="F4014">
        <f>HYPERLINK("https://www2.assemblee-nationale.fr/sycomore/fiche/(num_dept)/6405", "6405.0")</f>
        <v>0</v>
      </c>
      <c r="H4014">
        <f>HYPERLINK("https://www.wikidata.org/wiki/Q3265680", "Q3265680")</f>
        <v>0</v>
      </c>
    </row>
    <row r="4015" spans="1:8">
      <c r="A4015" t="s">
        <v>4021</v>
      </c>
      <c r="B4015" t="s">
        <v>8434</v>
      </c>
      <c r="C4015" t="s">
        <v>9355</v>
      </c>
      <c r="D4015" t="s">
        <v>14997</v>
      </c>
      <c r="E4015" s="2">
        <v>30936</v>
      </c>
      <c r="F4015">
        <f>HYPERLINK("https://www2.assemblee-nationale.fr/sycomore/fiche/(num_dept)/6406", "6406.0")</f>
        <v>0</v>
      </c>
      <c r="H4015">
        <f>HYPERLINK("https://www.wikidata.org/wiki/Q2960033", "Q2960033")</f>
        <v>0</v>
      </c>
    </row>
    <row r="4016" spans="1:8">
      <c r="A4016" t="s">
        <v>4022</v>
      </c>
      <c r="B4016" t="s">
        <v>8435</v>
      </c>
      <c r="C4016" t="s">
        <v>8182</v>
      </c>
      <c r="D4016" t="s">
        <v>14036</v>
      </c>
      <c r="G4016">
        <f>HYPERLINK("https://www.senat.fr/senateur-3eme-republique/pomel_nicolas1821r3.html", "pomel_nicolas1821r3")</f>
        <v>0</v>
      </c>
      <c r="H4016">
        <f>HYPERLINK("https://www.wikidata.org/wiki/Q766920", "Q766920")</f>
        <v>0</v>
      </c>
    </row>
    <row r="4017" spans="1:8">
      <c r="A4017" t="s">
        <v>4023</v>
      </c>
      <c r="B4017" t="s">
        <v>8436</v>
      </c>
      <c r="C4017" t="s">
        <v>10960</v>
      </c>
      <c r="D4017" t="s">
        <v>12767</v>
      </c>
      <c r="E4017" s="2">
        <v>13848</v>
      </c>
      <c r="F4017">
        <f>HYPERLINK("https://www2.assemblee-nationale.fr/sycomore/fiche/(num_dept)/6407", "6407.0")</f>
        <v>0</v>
      </c>
      <c r="H4017">
        <f>HYPERLINK("https://www.wikidata.org/wiki/Q3436712", "Q3436712")</f>
        <v>0</v>
      </c>
    </row>
    <row r="4018" spans="1:8">
      <c r="A4018" t="s">
        <v>4024</v>
      </c>
      <c r="B4018" t="s">
        <v>8437</v>
      </c>
      <c r="C4018" t="s">
        <v>10961</v>
      </c>
      <c r="D4018" t="s">
        <v>14998</v>
      </c>
      <c r="E4018" s="2">
        <v>11403</v>
      </c>
      <c r="F4018">
        <f>HYPERLINK("https://www2.assemblee-nationale.fr/sycomore/fiche/(num_dept)/6408", "6408.0")</f>
        <v>0</v>
      </c>
      <c r="H4018">
        <f>HYPERLINK("https://www.wikidata.org/wiki/Q16026351", "Q16026351")</f>
        <v>0</v>
      </c>
    </row>
    <row r="4019" spans="1:8">
      <c r="A4019" t="s">
        <v>4025</v>
      </c>
      <c r="B4019" t="s">
        <v>8438</v>
      </c>
      <c r="C4019" t="s">
        <v>10962</v>
      </c>
      <c r="D4019" t="s">
        <v>14999</v>
      </c>
      <c r="E4019" s="2">
        <v>10297</v>
      </c>
      <c r="F4019">
        <f>HYPERLINK("https://www2.assemblee-nationale.fr/sycomore/fiche/(num_dept)/6411", "6411.0")</f>
        <v>0</v>
      </c>
      <c r="H4019">
        <f>HYPERLINK("https://www.wikidata.org/wiki/Q8336100", "Q8336100")</f>
        <v>0</v>
      </c>
    </row>
    <row r="4020" spans="1:8">
      <c r="A4020" t="s">
        <v>4026</v>
      </c>
      <c r="B4020" t="s">
        <v>8439</v>
      </c>
      <c r="C4020" t="s">
        <v>10783</v>
      </c>
      <c r="D4020" t="s">
        <v>15000</v>
      </c>
      <c r="E4020" s="2">
        <v>9382</v>
      </c>
      <c r="F4020">
        <f>HYPERLINK("https://www2.assemblee-nationale.fr/sycomore/fiche/(num_dept)/6413", "6413.0")</f>
        <v>0</v>
      </c>
      <c r="H4020">
        <f>HYPERLINK("https://www.wikidata.org/wiki/Q16026352", "Q16026352")</f>
        <v>0</v>
      </c>
    </row>
    <row r="4021" spans="1:8">
      <c r="A4021" t="s">
        <v>4027</v>
      </c>
      <c r="B4021" t="s">
        <v>8439</v>
      </c>
      <c r="C4021" t="s">
        <v>10963</v>
      </c>
      <c r="D4021" t="s">
        <v>15001</v>
      </c>
      <c r="E4021" s="2">
        <v>22783</v>
      </c>
      <c r="F4021">
        <f>HYPERLINK("https://www2.assemblee-nationale.fr/sycomore/fiche/(num_dept)/6414", "6414.0")</f>
        <v>0</v>
      </c>
      <c r="H4021">
        <f>HYPERLINK("https://www.wikidata.org/wiki/Q3372024", "Q3372024")</f>
        <v>0</v>
      </c>
    </row>
    <row r="4022" spans="1:8">
      <c r="A4022" t="s">
        <v>4028</v>
      </c>
      <c r="B4022" t="s">
        <v>8440</v>
      </c>
      <c r="C4022" t="s">
        <v>10964</v>
      </c>
      <c r="D4022" t="s">
        <v>15002</v>
      </c>
      <c r="E4022" s="2">
        <v>5778</v>
      </c>
      <c r="F4022">
        <f>HYPERLINK("https://www2.assemblee-nationale.fr/sycomore/fiche/(num_dept)/7014", "7014.0")</f>
        <v>0</v>
      </c>
      <c r="H4022">
        <f>HYPERLINK("https://www.wikidata.org/wiki/Q16026549", "Q16026549")</f>
        <v>0</v>
      </c>
    </row>
    <row r="4023" spans="1:8">
      <c r="A4023" t="s">
        <v>4029</v>
      </c>
      <c r="B4023" t="s">
        <v>8441</v>
      </c>
      <c r="C4023" t="s">
        <v>10965</v>
      </c>
      <c r="D4023" t="s">
        <v>15003</v>
      </c>
      <c r="E4023" t="s">
        <v>16352</v>
      </c>
      <c r="F4023">
        <f>HYPERLINK("https://www2.assemblee-nationale.fr/sycomore/fiche/(num_dept)/6418", "6418.0")</f>
        <v>0</v>
      </c>
      <c r="H4023">
        <f>HYPERLINK("https://www.wikidata.org/wiki/Q16026353", "Q16026353")</f>
        <v>0</v>
      </c>
    </row>
    <row r="4024" spans="1:8">
      <c r="A4024" t="s">
        <v>4030</v>
      </c>
      <c r="B4024" t="s">
        <v>8442</v>
      </c>
      <c r="C4024" t="s">
        <v>7754</v>
      </c>
      <c r="D4024" t="s">
        <v>15004</v>
      </c>
      <c r="E4024" t="s">
        <v>16353</v>
      </c>
      <c r="G4024">
        <f>HYPERLINK("https://www.senat.fr/senateur-3eme-republique/pons_louis0744r3.html", "pons_louis0744r3")</f>
        <v>0</v>
      </c>
      <c r="H4024">
        <f>HYPERLINK("https://www.wikidata.org/wiki/Q3262944", "Q3262944")</f>
        <v>0</v>
      </c>
    </row>
    <row r="4025" spans="1:8">
      <c r="A4025" t="s">
        <v>4031</v>
      </c>
      <c r="B4025" t="s">
        <v>8443</v>
      </c>
      <c r="C4025" t="s">
        <v>7001</v>
      </c>
      <c r="D4025" t="s">
        <v>15005</v>
      </c>
      <c r="E4025" s="2">
        <v>13533</v>
      </c>
      <c r="F4025">
        <f>HYPERLINK("https://www2.assemblee-nationale.fr/sycomore/fiche/(num_dept)/6421", "6421.0")</f>
        <v>0</v>
      </c>
      <c r="H4025">
        <f>HYPERLINK("https://www.wikidata.org/wiki/Q8308559", "Q8308559")</f>
        <v>0</v>
      </c>
    </row>
    <row r="4026" spans="1:8">
      <c r="A4026" t="s">
        <v>4032</v>
      </c>
      <c r="B4026" t="s">
        <v>8444</v>
      </c>
      <c r="C4026" t="s">
        <v>9346</v>
      </c>
      <c r="D4026" t="s">
        <v>15006</v>
      </c>
      <c r="E4026" s="2">
        <v>10416</v>
      </c>
      <c r="F4026">
        <f>HYPERLINK("https://www2.assemblee-nationale.fr/sycomore/fiche/(num_dept)/6423", "6423.0")</f>
        <v>0</v>
      </c>
      <c r="H4026">
        <f>HYPERLINK("https://www.wikidata.org/wiki/Q3580001", "Q3580001")</f>
        <v>0</v>
      </c>
    </row>
    <row r="4027" spans="1:8">
      <c r="A4027" t="s">
        <v>4033</v>
      </c>
      <c r="B4027" t="s">
        <v>8445</v>
      </c>
      <c r="C4027" t="s">
        <v>10966</v>
      </c>
      <c r="D4027" t="s">
        <v>12690</v>
      </c>
      <c r="E4027" s="2">
        <v>6175</v>
      </c>
      <c r="F4027">
        <f>HYPERLINK("https://www2.assemblee-nationale.fr/sycomore/fiche/(num_dept)/6424", "6424.0")</f>
        <v>0</v>
      </c>
      <c r="H4027">
        <f>HYPERLINK("https://www.wikidata.org/wiki/Q3069390", "Q3069390")</f>
        <v>0</v>
      </c>
    </row>
    <row r="4028" spans="1:8">
      <c r="A4028" t="s">
        <v>4034</v>
      </c>
      <c r="B4028" t="s">
        <v>8446</v>
      </c>
      <c r="C4028" t="s">
        <v>9533</v>
      </c>
      <c r="D4028" t="s">
        <v>15007</v>
      </c>
      <c r="E4028" s="2">
        <v>6735</v>
      </c>
      <c r="G4028">
        <f>HYPERLINK("https://www.senat.fr/senateur-3eme-republique/ponteille_antoine1149r3.html", "ponteille_antoine1149r3")</f>
        <v>0</v>
      </c>
      <c r="H4028">
        <f>HYPERLINK("https://www.wikidata.org/wiki/Q2856633", "Q2856633")</f>
        <v>0</v>
      </c>
    </row>
    <row r="4029" spans="1:8">
      <c r="A4029" t="s">
        <v>4035</v>
      </c>
      <c r="B4029" t="s">
        <v>8447</v>
      </c>
      <c r="C4029" t="s">
        <v>9324</v>
      </c>
      <c r="D4029" t="s">
        <v>15008</v>
      </c>
      <c r="E4029" s="2">
        <v>3006</v>
      </c>
      <c r="G4029">
        <f>HYPERLINK("https://www.senat.fr/senateur-3eme-republique/ponthier_de_chamaillard_henri0809r3.html", "ponthier_de_chamaillard_henri0809r3")</f>
        <v>0</v>
      </c>
      <c r="H4029">
        <f>HYPERLINK("https://www.wikidata.org/wiki/Q3131821", "Q3131821")</f>
        <v>0</v>
      </c>
    </row>
    <row r="4030" spans="1:8">
      <c r="A4030" t="s">
        <v>4036</v>
      </c>
      <c r="B4030" t="s">
        <v>8448</v>
      </c>
      <c r="C4030" t="s">
        <v>10967</v>
      </c>
      <c r="D4030" t="s">
        <v>13412</v>
      </c>
      <c r="E4030" s="2">
        <v>5500</v>
      </c>
      <c r="F4030">
        <f>HYPERLINK("https://www2.assemblee-nationale.fr/sycomore/fiche/(num_dept)/3159", "3159.0")</f>
        <v>0</v>
      </c>
      <c r="H4030">
        <f>HYPERLINK("https://www.wikidata.org/wiki/Q3371249", "Q3371249")</f>
        <v>0</v>
      </c>
    </row>
    <row r="4031" spans="1:8">
      <c r="A4031" t="s">
        <v>4037</v>
      </c>
      <c r="B4031" t="s">
        <v>8449</v>
      </c>
      <c r="C4031" t="s">
        <v>10968</v>
      </c>
      <c r="D4031" t="s">
        <v>15009</v>
      </c>
      <c r="E4031" s="2">
        <v>948</v>
      </c>
      <c r="F4031">
        <f>HYPERLINK("https://www2.assemblee-nationale.fr/sycomore/fiche/(num_dept)/6426", "6426.0")</f>
        <v>0</v>
      </c>
      <c r="H4031">
        <f>HYPERLINK("https://www.wikidata.org/wiki/Q16026355", "Q16026355")</f>
        <v>0</v>
      </c>
    </row>
    <row r="4032" spans="1:8">
      <c r="A4032" t="s">
        <v>4038</v>
      </c>
      <c r="B4032" t="s">
        <v>8450</v>
      </c>
      <c r="C4032" t="s">
        <v>9355</v>
      </c>
      <c r="D4032" t="s">
        <v>15010</v>
      </c>
      <c r="E4032" s="2">
        <v>3721</v>
      </c>
      <c r="G4032">
        <f>HYPERLINK("https://www.senat.fr/senateur-3eme-republique/poriquet_charles0901r3.html", "poriquet_charles0901r3")</f>
        <v>0</v>
      </c>
      <c r="H4032">
        <f>HYPERLINK("https://www.wikidata.org/wiki/Q2958272", "Q2958272")</f>
        <v>0</v>
      </c>
    </row>
    <row r="4033" spans="1:8">
      <c r="A4033" t="s">
        <v>4039</v>
      </c>
      <c r="B4033" t="s">
        <v>8451</v>
      </c>
      <c r="C4033" t="s">
        <v>9621</v>
      </c>
      <c r="D4033" t="s">
        <v>15011</v>
      </c>
      <c r="E4033" s="2">
        <v>1304</v>
      </c>
      <c r="G4033">
        <f>HYPERLINK("https://www.senat.fr/senateur-3eme-republique/porquier_adolphe0815r3.html", "porquier_adolphe0815r3")</f>
        <v>0</v>
      </c>
      <c r="H4033">
        <f>HYPERLINK("https://www.wikidata.org/wiki/Q2824893", "Q2824893")</f>
        <v>0</v>
      </c>
    </row>
    <row r="4034" spans="1:8">
      <c r="A4034" t="s">
        <v>4040</v>
      </c>
      <c r="B4034" t="s">
        <v>8452</v>
      </c>
      <c r="C4034" t="s">
        <v>10969</v>
      </c>
      <c r="D4034" t="s">
        <v>12735</v>
      </c>
      <c r="E4034" s="2">
        <v>162</v>
      </c>
      <c r="F4034">
        <f>HYPERLINK("https://www2.assemblee-nationale.fr/sycomore/fiche/(num_dept)/4183", "4183.0")</f>
        <v>0</v>
      </c>
      <c r="H4034">
        <f>HYPERLINK("https://www.wikidata.org/wiki/Q2844734", "Q2844734")</f>
        <v>0</v>
      </c>
    </row>
    <row r="4035" spans="1:8">
      <c r="A4035" t="s">
        <v>4041</v>
      </c>
      <c r="B4035" t="s">
        <v>8452</v>
      </c>
      <c r="C4035" t="s">
        <v>10368</v>
      </c>
      <c r="D4035" t="s">
        <v>15012</v>
      </c>
      <c r="E4035" s="2">
        <v>9026</v>
      </c>
      <c r="F4035">
        <f>HYPERLINK("https://www2.assemblee-nationale.fr/sycomore/fiche/(num_dept)/4184", "4184.0")</f>
        <v>0</v>
      </c>
      <c r="H4035">
        <f>HYPERLINK("https://www.wikidata.org/wiki/Q16025896", "Q16025896")</f>
        <v>0</v>
      </c>
    </row>
    <row r="4036" spans="1:8">
      <c r="A4036" t="s">
        <v>4042</v>
      </c>
      <c r="B4036" t="s">
        <v>8453</v>
      </c>
      <c r="C4036" t="s">
        <v>9320</v>
      </c>
      <c r="D4036" t="s">
        <v>15013</v>
      </c>
      <c r="E4036" s="2">
        <v>14587</v>
      </c>
      <c r="F4036">
        <f>HYPERLINK("https://www2.assemblee-nationale.fr/sycomore/fiche/(num_dept)/6432", "6432.0")</f>
        <v>0</v>
      </c>
      <c r="H4036">
        <f>HYPERLINK("https://www.wikidata.org/wiki/Q3426768", "Q3426768")</f>
        <v>0</v>
      </c>
    </row>
    <row r="4037" spans="1:8">
      <c r="A4037" t="s">
        <v>4043</v>
      </c>
      <c r="B4037" t="s">
        <v>8454</v>
      </c>
      <c r="C4037" t="s">
        <v>5096</v>
      </c>
      <c r="D4037" t="s">
        <v>12838</v>
      </c>
      <c r="G4037">
        <f>HYPERLINK("https://www.senat.fr/senateur-3eme-republique/porteu_andre0542r3.html", "porteu_andre0542r3")</f>
        <v>0</v>
      </c>
      <c r="H4037">
        <f>HYPERLINK("https://www.wikidata.org/wiki/Q2848467", "Q2848467")</f>
        <v>0</v>
      </c>
    </row>
    <row r="4038" spans="1:8">
      <c r="A4038" t="s">
        <v>4044</v>
      </c>
      <c r="B4038" t="s">
        <v>8455</v>
      </c>
      <c r="C4038" t="s">
        <v>7001</v>
      </c>
      <c r="D4038" t="s">
        <v>15014</v>
      </c>
      <c r="E4038" s="2">
        <v>31102</v>
      </c>
      <c r="G4038">
        <f>HYPERLINK("https://www.senat.fr/senateur-3eme-republique/portmann_georges000672.html", "portmann_georges000672")</f>
        <v>0</v>
      </c>
      <c r="H4038">
        <f>HYPERLINK("https://www.wikidata.org/wiki/Q3103364", "Q3103364")</f>
        <v>0</v>
      </c>
    </row>
    <row r="4039" spans="1:8">
      <c r="A4039" t="s">
        <v>4045</v>
      </c>
      <c r="B4039" t="s">
        <v>8456</v>
      </c>
      <c r="C4039" t="s">
        <v>10970</v>
      </c>
      <c r="D4039" t="s">
        <v>15015</v>
      </c>
      <c r="F4039">
        <f>HYPERLINK("https://www2.assemblee-nationale.fr/sycomore/fiche/(num_dept)/6438", "6438.0")</f>
        <v>0</v>
      </c>
      <c r="H4039">
        <f>HYPERLINK("https://www.wikidata.org/wiki/Q8325957", "Q8325957")</f>
        <v>0</v>
      </c>
    </row>
    <row r="4040" spans="1:8">
      <c r="A4040" t="s">
        <v>4046</v>
      </c>
      <c r="B4040" t="s">
        <v>8457</v>
      </c>
      <c r="C4040" t="s">
        <v>7754</v>
      </c>
      <c r="D4040" t="s">
        <v>15016</v>
      </c>
      <c r="E4040" t="s">
        <v>16354</v>
      </c>
      <c r="G4040">
        <f>HYPERLINK("https://www.senat.fr/senateur-3eme-republique/pothuau_louis1523r3.html", "pothuau_louis1523r3")</f>
        <v>0</v>
      </c>
      <c r="H4040">
        <f>HYPERLINK("https://www.wikidata.org/wiki/Q942372", "Q942372")</f>
        <v>0</v>
      </c>
    </row>
    <row r="4041" spans="1:8">
      <c r="A4041" t="s">
        <v>4047</v>
      </c>
      <c r="B4041" t="s">
        <v>8458</v>
      </c>
      <c r="C4041" t="s">
        <v>9337</v>
      </c>
      <c r="D4041" t="s">
        <v>15017</v>
      </c>
      <c r="E4041" s="2">
        <v>14535</v>
      </c>
      <c r="G4041">
        <f>HYPERLINK("https://www.senat.fr/senateur-3eme-republique/potie_auguste1410r3.html", "potie_auguste1410r3")</f>
        <v>0</v>
      </c>
      <c r="H4041">
        <f>HYPERLINK("https://www.wikidata.org/wiki/Q2871364", "Q2871364")</f>
        <v>0</v>
      </c>
    </row>
    <row r="4042" spans="1:8">
      <c r="A4042" t="s">
        <v>4048</v>
      </c>
      <c r="B4042" t="s">
        <v>8459</v>
      </c>
      <c r="C4042" t="s">
        <v>10971</v>
      </c>
      <c r="D4042" t="s">
        <v>15018</v>
      </c>
      <c r="E4042" s="2">
        <v>13805</v>
      </c>
      <c r="F4042">
        <f>HYPERLINK("https://www2.assemblee-nationale.fr/sycomore/fiche/(num_dept)/6440", "6440.0")</f>
        <v>0</v>
      </c>
      <c r="H4042">
        <f>HYPERLINK("https://www.wikidata.org/wiki/Q16026356", "Q16026356")</f>
        <v>0</v>
      </c>
    </row>
    <row r="4043" spans="1:8">
      <c r="A4043" t="s">
        <v>4049</v>
      </c>
      <c r="B4043" t="s">
        <v>8460</v>
      </c>
      <c r="C4043" t="s">
        <v>10972</v>
      </c>
      <c r="D4043" t="s">
        <v>14237</v>
      </c>
      <c r="E4043" s="2">
        <v>10415</v>
      </c>
      <c r="F4043">
        <f>HYPERLINK("https://www2.assemblee-nationale.fr/sycomore/fiche/(num_dept)/6441", "6441.0")</f>
        <v>0</v>
      </c>
      <c r="G4043">
        <f>HYPERLINK("https://www.senat.fr/senateur-3eme-republique/pottevin_henri1717r3.html", "pottevin_henri1717r3")</f>
        <v>0</v>
      </c>
      <c r="H4043">
        <f>HYPERLINK("https://www.wikidata.org/wiki/Q3131827", "Q3131827")</f>
        <v>0</v>
      </c>
    </row>
    <row r="4044" spans="1:8">
      <c r="A4044" t="s">
        <v>4050</v>
      </c>
      <c r="B4044" t="s">
        <v>8461</v>
      </c>
      <c r="C4044" t="s">
        <v>7001</v>
      </c>
      <c r="D4044" s="2">
        <v>177</v>
      </c>
      <c r="E4044" s="2">
        <v>32725</v>
      </c>
      <c r="F4044">
        <f>HYPERLINK("https://www2.assemblee-nationale.fr/sycomore/fiche/(num_dept)/6442", "6442.0")</f>
        <v>0</v>
      </c>
      <c r="H4044">
        <f>HYPERLINK("https://www.wikidata.org/wiki/Q3103359", "Q3103359")</f>
        <v>0</v>
      </c>
    </row>
    <row r="4045" spans="1:8">
      <c r="A4045" t="s">
        <v>4051</v>
      </c>
      <c r="B4045" t="s">
        <v>8462</v>
      </c>
      <c r="C4045" t="s">
        <v>8384</v>
      </c>
      <c r="D4045" t="s">
        <v>15019</v>
      </c>
      <c r="E4045" s="2">
        <v>21039</v>
      </c>
      <c r="F4045">
        <f>HYPERLINK("https://www2.assemblee-nationale.fr/sycomore/fiche/(num_dept)/6443", "6443.0")</f>
        <v>0</v>
      </c>
      <c r="H4045">
        <f>HYPERLINK("https://www.wikidata.org/wiki/Q3386654", "Q3386654")</f>
        <v>0</v>
      </c>
    </row>
    <row r="4046" spans="1:8">
      <c r="A4046" t="s">
        <v>4052</v>
      </c>
      <c r="B4046" t="s">
        <v>8463</v>
      </c>
      <c r="C4046" t="s">
        <v>10973</v>
      </c>
      <c r="D4046" t="s">
        <v>15020</v>
      </c>
      <c r="E4046" t="s">
        <v>16164</v>
      </c>
      <c r="F4046">
        <f>HYPERLINK("https://www2.assemblee-nationale.fr/sycomore/fiche/(num_dept)/8280", "8280.0")</f>
        <v>0</v>
      </c>
      <c r="H4046">
        <f>HYPERLINK("https://www.wikidata.org/wiki/Q3261629", "Q3261629")</f>
        <v>0</v>
      </c>
    </row>
    <row r="4047" spans="1:8">
      <c r="A4047" t="s">
        <v>4053</v>
      </c>
      <c r="B4047" t="s">
        <v>8464</v>
      </c>
      <c r="C4047" t="s">
        <v>10974</v>
      </c>
      <c r="D4047" t="s">
        <v>11722</v>
      </c>
      <c r="E4047" t="s">
        <v>15842</v>
      </c>
      <c r="F4047">
        <f>HYPERLINK("https://www2.assemblee-nationale.fr/sycomore/fiche/(num_dept)/8281", "8281.0")</f>
        <v>0</v>
      </c>
      <c r="H4047">
        <f>HYPERLINK("https://www.wikidata.org/wiki/Q16026357", "Q16026357")</f>
        <v>0</v>
      </c>
    </row>
    <row r="4048" spans="1:8">
      <c r="A4048" t="s">
        <v>4054</v>
      </c>
      <c r="B4048" t="s">
        <v>8465</v>
      </c>
      <c r="C4048" t="s">
        <v>10975</v>
      </c>
      <c r="D4048" t="s">
        <v>14308</v>
      </c>
      <c r="E4048" t="s">
        <v>16355</v>
      </c>
      <c r="F4048">
        <f>HYPERLINK("https://www2.assemblee-nationale.fr/sycomore/fiche/(num_dept)/8290", "8290.0")</f>
        <v>0</v>
      </c>
      <c r="H4048">
        <f>HYPERLINK("https://www.wikidata.org/wiki/Q16026359", "Q16026359")</f>
        <v>0</v>
      </c>
    </row>
    <row r="4049" spans="1:8">
      <c r="A4049" t="s">
        <v>4055</v>
      </c>
      <c r="B4049" t="s">
        <v>8466</v>
      </c>
      <c r="C4049" t="s">
        <v>10976</v>
      </c>
      <c r="D4049" t="s">
        <v>15021</v>
      </c>
      <c r="E4049" s="2">
        <v>5311</v>
      </c>
      <c r="F4049">
        <f>HYPERLINK("https://www2.assemblee-nationale.fr/sycomore/fiche/(num_dept)/6450", "6450.0")</f>
        <v>0</v>
      </c>
      <c r="H4049">
        <f>HYPERLINK("https://www.wikidata.org/wiki/Q16026358", "Q16026358")</f>
        <v>0</v>
      </c>
    </row>
    <row r="4050" spans="1:8">
      <c r="A4050" t="s">
        <v>4056</v>
      </c>
      <c r="B4050" t="s">
        <v>8467</v>
      </c>
      <c r="C4050" t="s">
        <v>6888</v>
      </c>
      <c r="D4050" t="s">
        <v>15022</v>
      </c>
      <c r="E4050" s="2">
        <v>6619</v>
      </c>
      <c r="F4050">
        <f>HYPERLINK("https://www2.assemblee-nationale.fr/sycomore/fiche/(num_dept)/6451", "6451.0")</f>
        <v>0</v>
      </c>
      <c r="H4050">
        <f>HYPERLINK("https://www.wikidata.org/wiki/Q3092579", "Q3092579")</f>
        <v>0</v>
      </c>
    </row>
    <row r="4051" spans="1:8">
      <c r="A4051" t="s">
        <v>4057</v>
      </c>
      <c r="B4051" t="s">
        <v>8468</v>
      </c>
      <c r="C4051" t="s">
        <v>9618</v>
      </c>
      <c r="D4051" t="s">
        <v>15023</v>
      </c>
      <c r="E4051" s="2">
        <v>13765</v>
      </c>
      <c r="G4051">
        <f>HYPERLINK("https://www.senat.fr/senateur-3eme-republique/poulle_guillaume1765r3.html", "poulle_guillaume1765r3")</f>
        <v>0</v>
      </c>
      <c r="H4051">
        <f>HYPERLINK("https://www.wikidata.org/wiki/Q3120133", "Q3120133")</f>
        <v>0</v>
      </c>
    </row>
    <row r="4052" spans="1:8">
      <c r="A4052" t="s">
        <v>4058</v>
      </c>
      <c r="B4052" t="s">
        <v>8469</v>
      </c>
      <c r="C4052" t="s">
        <v>10977</v>
      </c>
      <c r="D4052" t="s">
        <v>15024</v>
      </c>
      <c r="E4052" s="2">
        <v>23265</v>
      </c>
      <c r="F4052">
        <f>HYPERLINK("https://www2.assemblee-nationale.fr/sycomore/fiche/(num_dept)/7610", "7610.0")</f>
        <v>0</v>
      </c>
      <c r="H4052">
        <f>HYPERLINK("https://www.wikidata.org/wiki/Q3592244", "Q3592244")</f>
        <v>0</v>
      </c>
    </row>
    <row r="4053" spans="1:8">
      <c r="A4053" t="s">
        <v>4059</v>
      </c>
      <c r="B4053" t="s">
        <v>8470</v>
      </c>
      <c r="C4053" t="s">
        <v>10978</v>
      </c>
      <c r="D4053" t="s">
        <v>11774</v>
      </c>
      <c r="E4053" s="2">
        <v>7031</v>
      </c>
      <c r="F4053">
        <f>HYPERLINK("https://www2.assemblee-nationale.fr/sycomore/fiche/(num_dept)/3731", "3731.0")</f>
        <v>0</v>
      </c>
      <c r="H4053">
        <f>HYPERLINK("https://www.wikidata.org/wiki/Q3301571", "Q3301571")</f>
        <v>0</v>
      </c>
    </row>
    <row r="4054" spans="1:8">
      <c r="A4054" t="s">
        <v>4060</v>
      </c>
      <c r="B4054" t="s">
        <v>8471</v>
      </c>
      <c r="C4054" t="s">
        <v>10979</v>
      </c>
      <c r="D4054" t="s">
        <v>15025</v>
      </c>
      <c r="E4054" s="2">
        <v>2371</v>
      </c>
      <c r="F4054">
        <f>HYPERLINK("https://www2.assemblee-nationale.fr/sycomore/fiche/(num_dept)/6455", "6455.0")</f>
        <v>0</v>
      </c>
      <c r="H4054">
        <f>HYPERLINK("https://www.wikidata.org/wiki/Q3557515", "Q3557515")</f>
        <v>0</v>
      </c>
    </row>
    <row r="4055" spans="1:8">
      <c r="A4055" t="s">
        <v>4061</v>
      </c>
      <c r="B4055" t="s">
        <v>8472</v>
      </c>
      <c r="C4055" t="s">
        <v>9430</v>
      </c>
      <c r="D4055" t="s">
        <v>15026</v>
      </c>
      <c r="E4055" s="2">
        <v>13427</v>
      </c>
      <c r="F4055">
        <f>HYPERLINK("https://www2.assemblee-nationale.fr/sycomore/fiche/(num_dept)/6459", "6459.0")</f>
        <v>0</v>
      </c>
      <c r="H4055">
        <f>HYPERLINK("https://www.wikidata.org/wiki/Q16026361", "Q16026361")</f>
        <v>0</v>
      </c>
    </row>
    <row r="4056" spans="1:8">
      <c r="A4056" t="s">
        <v>4062</v>
      </c>
      <c r="B4056" t="s">
        <v>8473</v>
      </c>
      <c r="C4056" t="s">
        <v>9503</v>
      </c>
      <c r="D4056" t="s">
        <v>15027</v>
      </c>
      <c r="E4056" s="2">
        <v>13440</v>
      </c>
      <c r="F4056">
        <f>HYPERLINK("https://www2.assemblee-nationale.fr/sycomore/fiche/(num_dept)/6461", "6461.0")</f>
        <v>0</v>
      </c>
      <c r="H4056">
        <f>HYPERLINK("https://www.wikidata.org/wiki/Q3121300", "Q3121300")</f>
        <v>0</v>
      </c>
    </row>
    <row r="4057" spans="1:8">
      <c r="A4057" t="s">
        <v>4063</v>
      </c>
      <c r="B4057" t="s">
        <v>8474</v>
      </c>
      <c r="C4057" t="s">
        <v>10980</v>
      </c>
      <c r="D4057" t="s">
        <v>15028</v>
      </c>
      <c r="E4057" s="2">
        <v>1435</v>
      </c>
      <c r="F4057">
        <f>HYPERLINK("https://www2.assemblee-nationale.fr/sycomore/fiche/(num_dept)/7988", "7988.0")</f>
        <v>0</v>
      </c>
      <c r="H4057">
        <f>HYPERLINK("https://www.wikidata.org/wiki/Q16025961", "Q16025961")</f>
        <v>0</v>
      </c>
    </row>
    <row r="4058" spans="1:8">
      <c r="A4058" t="s">
        <v>4064</v>
      </c>
      <c r="B4058" t="s">
        <v>8475</v>
      </c>
      <c r="C4058" t="s">
        <v>10221</v>
      </c>
      <c r="D4058" t="s">
        <v>15029</v>
      </c>
      <c r="G4058">
        <f>HYPERLINK("https://www.senat.fr/senateur-3eme-republique/pouyer_quertier_augustin1571r3.html", "pouyer_quertier_augustin1571r3")</f>
        <v>0</v>
      </c>
      <c r="H4058">
        <f>HYPERLINK("https://www.wikidata.org/wiki/Q2871640", "Q2871640")</f>
        <v>0</v>
      </c>
    </row>
    <row r="4059" spans="1:8">
      <c r="A4059" t="s">
        <v>4065</v>
      </c>
      <c r="B4059" t="s">
        <v>8476</v>
      </c>
      <c r="C4059" t="s">
        <v>9346</v>
      </c>
      <c r="D4059" t="s">
        <v>15030</v>
      </c>
      <c r="E4059" s="2">
        <v>19341</v>
      </c>
      <c r="F4059">
        <f>HYPERLINK("https://www2.assemblee-nationale.fr/sycomore/fiche/(num_dept)/6467", "6467.0")</f>
        <v>0</v>
      </c>
      <c r="H4059">
        <f>HYPERLINK("https://www.wikidata.org/wiki/Q16026362", "Q16026362")</f>
        <v>0</v>
      </c>
    </row>
    <row r="4060" spans="1:8">
      <c r="A4060" t="s">
        <v>4066</v>
      </c>
      <c r="B4060" t="s">
        <v>8477</v>
      </c>
      <c r="C4060" t="s">
        <v>9373</v>
      </c>
      <c r="D4060" t="s">
        <v>15031</v>
      </c>
      <c r="E4060" s="2">
        <v>23587</v>
      </c>
      <c r="F4060">
        <f>HYPERLINK("https://www2.assemblee-nationale.fr/sycomore/fiche/(num_dept)/6468", "6468.0")</f>
        <v>0</v>
      </c>
      <c r="H4060">
        <f>HYPERLINK("https://www.wikidata.org/wiki/Q16026363", "Q16026363")</f>
        <v>0</v>
      </c>
    </row>
    <row r="4061" spans="1:8">
      <c r="A4061" t="s">
        <v>4067</v>
      </c>
      <c r="B4061" t="s">
        <v>8478</v>
      </c>
      <c r="C4061" t="s">
        <v>10981</v>
      </c>
      <c r="D4061" t="s">
        <v>15032</v>
      </c>
      <c r="E4061" s="2">
        <v>18967</v>
      </c>
      <c r="F4061">
        <f>HYPERLINK("https://www2.assemblee-nationale.fr/sycomore/fiche/(num_dept)/7080", "7080.0")</f>
        <v>0</v>
      </c>
      <c r="H4061">
        <f>HYPERLINK("https://www.wikidata.org/wiki/Q3175732", "Q3175732")</f>
        <v>0</v>
      </c>
    </row>
    <row r="4062" spans="1:8">
      <c r="A4062" t="s">
        <v>4068</v>
      </c>
      <c r="B4062" t="s">
        <v>8479</v>
      </c>
      <c r="C4062" t="s">
        <v>10982</v>
      </c>
      <c r="D4062" t="s">
        <v>15033</v>
      </c>
      <c r="E4062" s="2">
        <v>6738</v>
      </c>
      <c r="G4062">
        <f>HYPERLINK("https://www.senat.fr/senateur-3eme-republique/pozzi_samuel0661r3.html", "pozzi_samuel0661r3")</f>
        <v>0</v>
      </c>
      <c r="H4062">
        <f>HYPERLINK("https://www.wikidata.org/wiki/Q3471213", "Q3471213")</f>
        <v>0</v>
      </c>
    </row>
    <row r="4063" spans="1:8">
      <c r="A4063" t="s">
        <v>4069</v>
      </c>
      <c r="B4063" t="s">
        <v>8480</v>
      </c>
      <c r="C4063" t="s">
        <v>10983</v>
      </c>
      <c r="D4063" t="s">
        <v>15034</v>
      </c>
      <c r="E4063" s="2">
        <v>14497</v>
      </c>
      <c r="F4063">
        <f>HYPERLINK("https://www2.assemblee-nationale.fr/sycomore/fiche/(num_dept)/6470", "6470.0")</f>
        <v>0</v>
      </c>
      <c r="H4063">
        <f>HYPERLINK("https://www.wikidata.org/wiki/Q2825246", "Q2825246")</f>
        <v>0</v>
      </c>
    </row>
    <row r="4064" spans="1:8">
      <c r="A4064" t="s">
        <v>4070</v>
      </c>
      <c r="B4064" t="s">
        <v>8481</v>
      </c>
      <c r="C4064" t="s">
        <v>10984</v>
      </c>
      <c r="D4064" t="s">
        <v>15035</v>
      </c>
      <c r="E4064" s="2">
        <v>7240</v>
      </c>
      <c r="F4064">
        <f>HYPERLINK("https://www2.assemblee-nationale.fr/sycomore/fiche/(num_dept)/6473", "6473.0")</f>
        <v>0</v>
      </c>
      <c r="H4064">
        <f>HYPERLINK("https://www.wikidata.org/wiki/Q3219459", "Q3219459")</f>
        <v>0</v>
      </c>
    </row>
    <row r="4065" spans="1:8">
      <c r="A4065" t="s">
        <v>4071</v>
      </c>
      <c r="B4065" t="s">
        <v>8482</v>
      </c>
      <c r="C4065" t="s">
        <v>10985</v>
      </c>
      <c r="D4065" t="s">
        <v>12360</v>
      </c>
      <c r="E4065" s="2">
        <v>3854</v>
      </c>
      <c r="F4065">
        <f>HYPERLINK("https://www2.assemblee-nationale.fr/sycomore/fiche/(num_dept)/8069", "8069.0")</f>
        <v>0</v>
      </c>
      <c r="G4065">
        <f>HYPERLINK("https://www.senat.fr/senateur-3eme-republique/pradal_victor0138r3.html", "pradal_victor0138r3")</f>
        <v>0</v>
      </c>
      <c r="H4065">
        <f>HYPERLINK("https://www.wikidata.org/wiki/Q3557514", "Q3557514")</f>
        <v>0</v>
      </c>
    </row>
    <row r="4066" spans="1:8">
      <c r="A4066" t="s">
        <v>4072</v>
      </c>
      <c r="B4066" t="s">
        <v>8483</v>
      </c>
      <c r="C4066" t="s">
        <v>9548</v>
      </c>
      <c r="D4066" t="s">
        <v>15036</v>
      </c>
      <c r="E4066" s="2">
        <v>13928</v>
      </c>
      <c r="F4066">
        <f>HYPERLINK("https://www2.assemblee-nationale.fr/sycomore/fiche/(num_dept)/6476", "6476.0")</f>
        <v>0</v>
      </c>
      <c r="H4066">
        <f>HYPERLINK("https://www.wikidata.org/wiki/Q2977994", "Q2977994")</f>
        <v>0</v>
      </c>
    </row>
    <row r="4067" spans="1:8">
      <c r="A4067" t="s">
        <v>4073</v>
      </c>
      <c r="B4067" t="s">
        <v>8484</v>
      </c>
      <c r="C4067" t="s">
        <v>10986</v>
      </c>
      <c r="D4067" t="s">
        <v>14934</v>
      </c>
      <c r="E4067" t="s">
        <v>16356</v>
      </c>
      <c r="F4067">
        <f>HYPERLINK("https://www2.assemblee-nationale.fr/sycomore/fiche/(num_dept)/8217", "8217.0")</f>
        <v>0</v>
      </c>
      <c r="H4067">
        <f>HYPERLINK("https://www.wikidata.org/wiki/Q15233823", "Q15233823")</f>
        <v>0</v>
      </c>
    </row>
    <row r="4068" spans="1:8">
      <c r="A4068" t="s">
        <v>4074</v>
      </c>
      <c r="B4068" t="s">
        <v>8484</v>
      </c>
      <c r="C4068" t="s">
        <v>10987</v>
      </c>
      <c r="D4068" t="s">
        <v>15037</v>
      </c>
      <c r="E4068" s="2">
        <v>11504</v>
      </c>
      <c r="F4068">
        <f>HYPERLINK("https://www2.assemblee-nationale.fr/sycomore/fiche/(num_dept)/6477", "6477.0")</f>
        <v>0</v>
      </c>
      <c r="H4068">
        <f>HYPERLINK("https://www.wikidata.org/wiki/Q15233775", "Q15233775")</f>
        <v>0</v>
      </c>
    </row>
    <row r="4069" spans="1:8">
      <c r="A4069" t="s">
        <v>4075</v>
      </c>
      <c r="B4069" t="s">
        <v>8485</v>
      </c>
      <c r="C4069" t="s">
        <v>10988</v>
      </c>
      <c r="D4069" t="s">
        <v>14321</v>
      </c>
      <c r="E4069" t="s">
        <v>16357</v>
      </c>
      <c r="F4069">
        <f>HYPERLINK("https://www2.assemblee-nationale.fr/sycomore/fiche/(num_dept)/1564", "1564.0")</f>
        <v>0</v>
      </c>
      <c r="H4069">
        <f>HYPERLINK("https://www.wikidata.org/wiki/Q3580075", "Q3580075")</f>
        <v>0</v>
      </c>
    </row>
    <row r="4070" spans="1:8">
      <c r="A4070" t="s">
        <v>4076</v>
      </c>
      <c r="B4070" t="s">
        <v>8486</v>
      </c>
      <c r="C4070" t="s">
        <v>7262</v>
      </c>
      <c r="D4070" t="s">
        <v>15038</v>
      </c>
      <c r="E4070" s="2">
        <v>15925</v>
      </c>
      <c r="F4070">
        <f>HYPERLINK("https://www2.assemblee-nationale.fr/sycomore/fiche/(num_dept)/6479", "6479.0")</f>
        <v>0</v>
      </c>
      <c r="H4070">
        <f>HYPERLINK("https://www.wikidata.org/wiki/Q16026365", "Q16026365")</f>
        <v>0</v>
      </c>
    </row>
    <row r="4071" spans="1:8">
      <c r="A4071" t="s">
        <v>4077</v>
      </c>
      <c r="B4071" t="s">
        <v>8487</v>
      </c>
      <c r="C4071" t="s">
        <v>10989</v>
      </c>
      <c r="D4071" t="s">
        <v>12308</v>
      </c>
      <c r="E4071" s="2">
        <v>6943</v>
      </c>
      <c r="F4071">
        <f>HYPERLINK("https://www2.assemblee-nationale.fr/sycomore/fiche/(num_dept)/6478", "6478.0")</f>
        <v>0</v>
      </c>
      <c r="H4071">
        <f>HYPERLINK("https://www.wikidata.org/wiki/Q16026366", "Q16026366")</f>
        <v>0</v>
      </c>
    </row>
    <row r="4072" spans="1:8">
      <c r="A4072" t="s">
        <v>4078</v>
      </c>
      <c r="B4072" t="s">
        <v>8488</v>
      </c>
      <c r="C4072" t="s">
        <v>10990</v>
      </c>
      <c r="D4072" t="s">
        <v>14992</v>
      </c>
      <c r="E4072" s="2">
        <v>10681</v>
      </c>
      <c r="F4072">
        <f>HYPERLINK("https://www2.assemblee-nationale.fr/sycomore/fiche/(num_dept)/6481", "6481.0")</f>
        <v>0</v>
      </c>
      <c r="H4072">
        <f>HYPERLINK("https://www.wikidata.org/wiki/Q8338178", "Q8338178")</f>
        <v>0</v>
      </c>
    </row>
    <row r="4073" spans="1:8">
      <c r="A4073" t="s">
        <v>4079</v>
      </c>
      <c r="B4073" t="s">
        <v>8489</v>
      </c>
      <c r="C4073" t="s">
        <v>10991</v>
      </c>
      <c r="D4073" t="s">
        <v>15039</v>
      </c>
      <c r="E4073" s="2">
        <v>3553</v>
      </c>
      <c r="F4073">
        <f>HYPERLINK("https://www2.assemblee-nationale.fr/sycomore/fiche/(num_dept)/6484", "6484.0")</f>
        <v>0</v>
      </c>
      <c r="H4073">
        <f>HYPERLINK("https://www.wikidata.org/wiki/Q15969647", "Q15969647")</f>
        <v>0</v>
      </c>
    </row>
    <row r="4074" spans="1:8">
      <c r="A4074" t="s">
        <v>4080</v>
      </c>
      <c r="B4074" t="s">
        <v>8490</v>
      </c>
      <c r="C4074" t="s">
        <v>8653</v>
      </c>
      <c r="D4074" t="s">
        <v>15040</v>
      </c>
      <c r="E4074" s="2">
        <v>28004</v>
      </c>
      <c r="F4074">
        <f>HYPERLINK("https://www2.assemblee-nationale.fr/sycomore/fiche/(num_dept)/6491", "6491.0")</f>
        <v>0</v>
      </c>
      <c r="H4074">
        <f>HYPERLINK("https://www.wikidata.org/wiki/Q3431137", "Q3431137")</f>
        <v>0</v>
      </c>
    </row>
    <row r="4075" spans="1:8">
      <c r="A4075" t="s">
        <v>4081</v>
      </c>
      <c r="B4075" t="s">
        <v>8491</v>
      </c>
      <c r="C4075" t="s">
        <v>10992</v>
      </c>
      <c r="D4075" t="s">
        <v>15041</v>
      </c>
      <c r="E4075" s="2">
        <v>371</v>
      </c>
      <c r="F4075">
        <f>HYPERLINK("https://www2.assemblee-nationale.fr/sycomore/fiche/(num_dept)/8026", "8026.0")</f>
        <v>0</v>
      </c>
      <c r="H4075">
        <f>HYPERLINK("https://www.wikidata.org/wiki/Q16026369", "Q16026369")</f>
        <v>0</v>
      </c>
    </row>
    <row r="4076" spans="1:8">
      <c r="A4076" t="s">
        <v>4082</v>
      </c>
      <c r="B4076" t="s">
        <v>8492</v>
      </c>
      <c r="C4076" t="s">
        <v>9362</v>
      </c>
      <c r="D4076" t="s">
        <v>15042</v>
      </c>
      <c r="E4076" s="2">
        <v>10619</v>
      </c>
      <c r="F4076">
        <f>HYPERLINK("https://www2.assemblee-nationale.fr/sycomore/fiche/(num_dept)/6492", "6492.0")</f>
        <v>0</v>
      </c>
      <c r="H4076">
        <f>HYPERLINK("https://www.wikidata.org/wiki/Q4685656", "Q4685656")</f>
        <v>0</v>
      </c>
    </row>
    <row r="4077" spans="1:8">
      <c r="A4077" t="s">
        <v>4083</v>
      </c>
      <c r="B4077" t="s">
        <v>8493</v>
      </c>
      <c r="C4077" t="s">
        <v>10993</v>
      </c>
      <c r="D4077" t="s">
        <v>15043</v>
      </c>
      <c r="E4077" s="2">
        <v>5133</v>
      </c>
      <c r="F4077">
        <f>HYPERLINK("https://www2.assemblee-nationale.fr/sycomore/fiche/(num_dept)/6493", "6493.0")</f>
        <v>0</v>
      </c>
      <c r="H4077">
        <f>HYPERLINK("https://www.wikidata.org/wiki/Q3081753", "Q3081753")</f>
        <v>0</v>
      </c>
    </row>
    <row r="4078" spans="1:8">
      <c r="A4078" t="s">
        <v>4084</v>
      </c>
      <c r="B4078" t="s">
        <v>8494</v>
      </c>
      <c r="C4078" t="s">
        <v>10994</v>
      </c>
      <c r="D4078" t="s">
        <v>15044</v>
      </c>
      <c r="E4078" s="2">
        <v>15774</v>
      </c>
      <c r="G4078">
        <f>HYPERLINK("https://www.senat.fr/senateur-3eme-republique/presseq_leopold1720r3.html", "presseq_leopold1720r3")</f>
        <v>0</v>
      </c>
      <c r="H4078">
        <f>HYPERLINK("https://www.wikidata.org/wiki/Q3271864", "Q3271864")</f>
        <v>0</v>
      </c>
    </row>
    <row r="4079" spans="1:8">
      <c r="A4079" t="s">
        <v>4085</v>
      </c>
      <c r="B4079" t="s">
        <v>8495</v>
      </c>
      <c r="C4079" t="s">
        <v>10995</v>
      </c>
      <c r="D4079" t="s">
        <v>15045</v>
      </c>
      <c r="E4079" s="2">
        <v>3805</v>
      </c>
      <c r="F4079">
        <f>HYPERLINK("https://www2.assemblee-nationale.fr/sycomore/fiche/(num_dept)/8020", "8020.0")</f>
        <v>0</v>
      </c>
      <c r="H4079">
        <f>HYPERLINK("https://www.wikidata.org/wiki/Q2824748", "Q2824748")</f>
        <v>0</v>
      </c>
    </row>
    <row r="4080" spans="1:8">
      <c r="A4080" t="s">
        <v>4086</v>
      </c>
      <c r="B4080" t="s">
        <v>8496</v>
      </c>
      <c r="C4080" t="s">
        <v>10996</v>
      </c>
      <c r="D4080" t="s">
        <v>15046</v>
      </c>
      <c r="E4080" s="2">
        <v>5170</v>
      </c>
      <c r="F4080">
        <f>HYPERLINK("https://www2.assemblee-nationale.fr/sycomore/fiche/(num_dept)/6496", "6496.0")</f>
        <v>0</v>
      </c>
      <c r="G4080">
        <f>HYPERLINK("https://www.senat.fr/senateur-3eme-republique/prevet_charles1608r3.html", "prevet_charles1608r3")</f>
        <v>0</v>
      </c>
      <c r="H4080">
        <f>HYPERLINK("https://www.wikidata.org/wiki/Q2960051", "Q2960051")</f>
        <v>0</v>
      </c>
    </row>
    <row r="4081" spans="1:8">
      <c r="A4081" t="s">
        <v>4087</v>
      </c>
      <c r="B4081" t="s">
        <v>8496</v>
      </c>
      <c r="C4081" t="s">
        <v>10997</v>
      </c>
      <c r="D4081" t="s">
        <v>14949</v>
      </c>
      <c r="E4081" s="2">
        <v>14711</v>
      </c>
      <c r="F4081">
        <f>HYPERLINK("https://www2.assemblee-nationale.fr/sycomore/fiche/(num_dept)/6497", "6497.0")</f>
        <v>0</v>
      </c>
      <c r="H4081">
        <f>HYPERLINK("https://www.wikidata.org/wiki/Q16026371", "Q16026371")</f>
        <v>0</v>
      </c>
    </row>
    <row r="4082" spans="1:8">
      <c r="A4082" t="s">
        <v>4088</v>
      </c>
      <c r="B4082" t="s">
        <v>8497</v>
      </c>
      <c r="C4082" t="s">
        <v>10998</v>
      </c>
      <c r="D4082" t="s">
        <v>15047</v>
      </c>
      <c r="E4082" s="2">
        <v>3702</v>
      </c>
      <c r="F4082">
        <f>HYPERLINK("https://www2.assemblee-nationale.fr/sycomore/fiche/(num_dept)/7983", "7983.0")</f>
        <v>0</v>
      </c>
      <c r="H4082">
        <f>HYPERLINK("https://www.wikidata.org/wiki/Q3047922", "Q3047922")</f>
        <v>0</v>
      </c>
    </row>
    <row r="4083" spans="1:8">
      <c r="A4083" t="s">
        <v>4089</v>
      </c>
      <c r="B4083" t="s">
        <v>8498</v>
      </c>
      <c r="C4083" t="s">
        <v>10999</v>
      </c>
      <c r="D4083" t="s">
        <v>14189</v>
      </c>
      <c r="E4083" s="2">
        <v>20103</v>
      </c>
      <c r="F4083">
        <f>HYPERLINK("https://www2.assemblee-nationale.fr/sycomore/fiche/(num_dept)/7691", "7691.0")</f>
        <v>0</v>
      </c>
      <c r="H4083">
        <f>HYPERLINK("https://www.wikidata.org/wiki/Q1285694", "Q1285694")</f>
        <v>0</v>
      </c>
    </row>
    <row r="4084" spans="1:8">
      <c r="A4084" t="s">
        <v>4090</v>
      </c>
      <c r="B4084" t="s">
        <v>8499</v>
      </c>
      <c r="C4084" t="s">
        <v>9346</v>
      </c>
      <c r="D4084" t="s">
        <v>14302</v>
      </c>
      <c r="E4084" s="2">
        <v>5759</v>
      </c>
      <c r="G4084">
        <f>HYPERLINK("https://www.senat.fr/senateur-3eme-republique/prillieux_edouard0383r3.html", "prillieux_edouard0383r3")</f>
        <v>0</v>
      </c>
      <c r="H4084">
        <f>HYPERLINK("https://www.wikidata.org/wiki/Q3579829", "Q3579829")</f>
        <v>0</v>
      </c>
    </row>
    <row r="4085" spans="1:8">
      <c r="A4085" t="s">
        <v>4091</v>
      </c>
      <c r="B4085" t="s">
        <v>8500</v>
      </c>
      <c r="C4085" t="s">
        <v>5096</v>
      </c>
      <c r="D4085" t="s">
        <v>15048</v>
      </c>
      <c r="E4085" s="2">
        <v>23936</v>
      </c>
      <c r="F4085">
        <f>HYPERLINK("https://www2.assemblee-nationale.fr/sycomore/fiche/(num_dept)/6502", "6502.0")</f>
        <v>0</v>
      </c>
      <c r="H4085">
        <f>HYPERLINK("https://www.wikidata.org/wiki/Q2848477", "Q2848477")</f>
        <v>0</v>
      </c>
    </row>
    <row r="4086" spans="1:8">
      <c r="A4086" t="s">
        <v>4092</v>
      </c>
      <c r="B4086" t="s">
        <v>8501</v>
      </c>
      <c r="C4086" t="s">
        <v>11000</v>
      </c>
      <c r="D4086" t="s">
        <v>15049</v>
      </c>
      <c r="E4086" s="2">
        <v>12087</v>
      </c>
      <c r="F4086">
        <f>HYPERLINK("https://www2.assemblee-nationale.fr/sycomore/fiche/(num_dept)/6510", "6510.0")</f>
        <v>0</v>
      </c>
      <c r="H4086">
        <f>HYPERLINK("https://www.wikidata.org/wiki/Q16026375", "Q16026375")</f>
        <v>0</v>
      </c>
    </row>
    <row r="4087" spans="1:8">
      <c r="A4087" t="s">
        <v>4093</v>
      </c>
      <c r="B4087" t="s">
        <v>8502</v>
      </c>
      <c r="C4087" t="s">
        <v>9438</v>
      </c>
      <c r="D4087" t="s">
        <v>15050</v>
      </c>
      <c r="E4087" t="s">
        <v>16358</v>
      </c>
      <c r="F4087">
        <f>HYPERLINK("https://www2.assemblee-nationale.fr/sycomore/fiche/(num_dept)/6514", "6514.0")</f>
        <v>0</v>
      </c>
      <c r="H4087">
        <f>HYPERLINK("https://www.wikidata.org/wiki/Q16026376", "Q16026376")</f>
        <v>0</v>
      </c>
    </row>
    <row r="4088" spans="1:8">
      <c r="A4088" t="s">
        <v>4094</v>
      </c>
      <c r="B4088" t="s">
        <v>8503</v>
      </c>
      <c r="C4088" t="s">
        <v>10219</v>
      </c>
      <c r="D4088" t="s">
        <v>15051</v>
      </c>
      <c r="E4088" s="2">
        <v>1909</v>
      </c>
      <c r="F4088">
        <f>HYPERLINK("https://www2.assemblee-nationale.fr/sycomore/fiche/(num_dept)/6516", "6516.0")</f>
        <v>0</v>
      </c>
      <c r="H4088">
        <f>HYPERLINK("https://www.wikidata.org/wiki/Q598992", "Q598992")</f>
        <v>0</v>
      </c>
    </row>
    <row r="4089" spans="1:8">
      <c r="A4089" t="s">
        <v>4095</v>
      </c>
      <c r="B4089" t="s">
        <v>8503</v>
      </c>
      <c r="C4089" t="s">
        <v>10219</v>
      </c>
      <c r="D4089" t="s">
        <v>15052</v>
      </c>
      <c r="E4089" s="2">
        <v>1906</v>
      </c>
      <c r="H4089">
        <f>HYPERLINK("https://www.wikidata.org/wiki/Q598992", "Q598992")</f>
        <v>0</v>
      </c>
    </row>
    <row r="4090" spans="1:8">
      <c r="A4090" t="s">
        <v>4096</v>
      </c>
      <c r="B4090" t="s">
        <v>8503</v>
      </c>
      <c r="C4090" t="s">
        <v>9337</v>
      </c>
      <c r="D4090" t="s">
        <v>15053</v>
      </c>
      <c r="E4090" s="2">
        <v>8036</v>
      </c>
      <c r="F4090">
        <f>HYPERLINK("https://www2.assemblee-nationale.fr/sycomore/fiche/(num_dept)/6517", "6517.0")</f>
        <v>0</v>
      </c>
      <c r="H4090">
        <f>HYPERLINK("https://www.wikidata.org/wiki/Q2871365", "Q2871365")</f>
        <v>0</v>
      </c>
    </row>
    <row r="4091" spans="1:8">
      <c r="A4091" t="s">
        <v>4097</v>
      </c>
      <c r="B4091" t="s">
        <v>8503</v>
      </c>
      <c r="C4091" t="s">
        <v>11001</v>
      </c>
      <c r="D4091" t="s">
        <v>15054</v>
      </c>
      <c r="E4091" s="2">
        <v>21915</v>
      </c>
      <c r="F4091">
        <f>HYPERLINK("https://www2.assemblee-nationale.fr/sycomore/fiche/(num_dept)/6518", "6518.0")</f>
        <v>0</v>
      </c>
      <c r="H4091">
        <f>HYPERLINK("https://www.wikidata.org/wiki/Q3262960", "Q3262960")</f>
        <v>0</v>
      </c>
    </row>
    <row r="4092" spans="1:8">
      <c r="A4092" t="s">
        <v>4098</v>
      </c>
      <c r="B4092" t="s">
        <v>8503</v>
      </c>
      <c r="C4092" t="s">
        <v>9430</v>
      </c>
      <c r="D4092" t="s">
        <v>15055</v>
      </c>
      <c r="E4092" s="2">
        <v>5411</v>
      </c>
      <c r="F4092">
        <f>HYPERLINK("https://www2.assemblee-nationale.fr/sycomore/fiche/(num_dept)/6519", "6519.0")</f>
        <v>0</v>
      </c>
      <c r="H4092">
        <f>HYPERLINK("https://www.wikidata.org/wiki/Q3372040", "Q3372040")</f>
        <v>0</v>
      </c>
    </row>
    <row r="4093" spans="1:8">
      <c r="A4093" t="s">
        <v>4099</v>
      </c>
      <c r="B4093" t="s">
        <v>8504</v>
      </c>
      <c r="C4093" t="s">
        <v>7342</v>
      </c>
      <c r="D4093" t="s">
        <v>15056</v>
      </c>
      <c r="E4093" s="2">
        <v>28781</v>
      </c>
      <c r="H4093">
        <f>HYPERLINK("https://www.wikidata.org/wiki/Q3174129", "Q3174129")</f>
        <v>0</v>
      </c>
    </row>
    <row r="4094" spans="1:8">
      <c r="A4094" t="s">
        <v>4100</v>
      </c>
      <c r="B4094" t="s">
        <v>8505</v>
      </c>
      <c r="C4094" t="s">
        <v>9512</v>
      </c>
      <c r="D4094" t="s">
        <v>13888</v>
      </c>
      <c r="E4094" s="2">
        <v>18859</v>
      </c>
      <c r="G4094">
        <f>HYPERLINK("https://www.senat.fr/senateur-3eme-republique/provost_dumarchais_gaston1269r3.html", "provost_dumarchais_gaston1269r3")</f>
        <v>0</v>
      </c>
      <c r="H4094">
        <f>HYPERLINK("https://www.wikidata.org/wiki/Q3099121", "Q3099121")</f>
        <v>0</v>
      </c>
    </row>
    <row r="4095" spans="1:8">
      <c r="A4095" t="s">
        <v>4101</v>
      </c>
      <c r="B4095" t="s">
        <v>8506</v>
      </c>
      <c r="C4095" t="s">
        <v>7754</v>
      </c>
      <c r="D4095" t="s">
        <v>12875</v>
      </c>
      <c r="E4095" s="2">
        <v>1790</v>
      </c>
      <c r="F4095">
        <f>HYPERLINK("https://www2.assemblee-nationale.fr/sycomore/fiche/(num_dept)/6526", "6526.0")</f>
        <v>0</v>
      </c>
      <c r="H4095">
        <f>HYPERLINK("https://www.wikidata.org/wiki/Q16026378", "Q16026378")</f>
        <v>0</v>
      </c>
    </row>
    <row r="4096" spans="1:8">
      <c r="A4096" t="s">
        <v>4102</v>
      </c>
      <c r="B4096" t="s">
        <v>8507</v>
      </c>
      <c r="C4096" t="s">
        <v>11002</v>
      </c>
      <c r="D4096" t="s">
        <v>15057</v>
      </c>
      <c r="E4096" t="s">
        <v>16359</v>
      </c>
      <c r="F4096">
        <f>HYPERLINK("https://www2.assemblee-nationale.fr/sycomore/fiche/(num_dept)/6527", "6527.0")</f>
        <v>0</v>
      </c>
      <c r="H4096">
        <f>HYPERLINK("https://www.wikidata.org/wiki/Q13091113", "Q13091113")</f>
        <v>0</v>
      </c>
    </row>
    <row r="4097" spans="1:8">
      <c r="A4097" t="s">
        <v>4103</v>
      </c>
      <c r="B4097" t="s">
        <v>8508</v>
      </c>
      <c r="C4097" t="s">
        <v>9851</v>
      </c>
      <c r="D4097" t="s">
        <v>15058</v>
      </c>
      <c r="E4097" t="s">
        <v>16360</v>
      </c>
      <c r="F4097">
        <f>HYPERLINK("https://www2.assemblee-nationale.fr/sycomore/fiche/(num_dept)/8027", "8027.0")</f>
        <v>0</v>
      </c>
      <c r="H4097">
        <f>HYPERLINK("https://www.wikidata.org/wiki/Q16026379", "Q16026379")</f>
        <v>0</v>
      </c>
    </row>
    <row r="4098" spans="1:8">
      <c r="A4098" t="s">
        <v>4104</v>
      </c>
      <c r="B4098" t="s">
        <v>8509</v>
      </c>
      <c r="C4098" t="s">
        <v>11003</v>
      </c>
      <c r="D4098" t="s">
        <v>15059</v>
      </c>
      <c r="E4098" s="2">
        <v>11750</v>
      </c>
      <c r="F4098">
        <f>HYPERLINK("https://www2.assemblee-nationale.fr/sycomore/fiche/(num_dept)/6490", "6490.0")</f>
        <v>0</v>
      </c>
      <c r="H4098">
        <f>HYPERLINK("https://www.wikidata.org/wiki/Q16026368", "Q16026368")</f>
        <v>0</v>
      </c>
    </row>
    <row r="4099" spans="1:8">
      <c r="A4099" t="s">
        <v>4105</v>
      </c>
      <c r="B4099" t="s">
        <v>8510</v>
      </c>
      <c r="C4099" t="s">
        <v>11004</v>
      </c>
      <c r="D4099" t="s">
        <v>15060</v>
      </c>
      <c r="E4099" s="2">
        <v>7529</v>
      </c>
      <c r="F4099">
        <f>HYPERLINK("https://www2.assemblee-nationale.fr/sycomore/fiche/(num_dept)/6494", "6494.0")</f>
        <v>0</v>
      </c>
      <c r="H4099">
        <f>HYPERLINK("https://www.wikidata.org/wiki/Q2898056", "Q2898056")</f>
        <v>0</v>
      </c>
    </row>
    <row r="4100" spans="1:8">
      <c r="A4100" t="s">
        <v>4106</v>
      </c>
      <c r="B4100" t="s">
        <v>8511</v>
      </c>
      <c r="C4100" t="s">
        <v>7754</v>
      </c>
      <c r="D4100" t="s">
        <v>15061</v>
      </c>
      <c r="E4100" s="2">
        <v>17363</v>
      </c>
      <c r="F4100">
        <f>HYPERLINK("https://www2.assemblee-nationale.fr/sycomore/fiche/(num_dept)/6531", "6531.0")</f>
        <v>0</v>
      </c>
      <c r="H4100">
        <f>HYPERLINK("https://www.wikidata.org/wiki/Q3262963", "Q3262963")</f>
        <v>0</v>
      </c>
    </row>
    <row r="4101" spans="1:8">
      <c r="A4101" t="s">
        <v>4107</v>
      </c>
      <c r="B4101" t="s">
        <v>8511</v>
      </c>
      <c r="C4101" t="s">
        <v>7754</v>
      </c>
      <c r="D4101" t="s">
        <v>15062</v>
      </c>
      <c r="E4101" s="2">
        <v>17363</v>
      </c>
      <c r="H4101">
        <f>HYPERLINK("https://www.wikidata.org/wiki/Q3262963", "Q3262963")</f>
        <v>0</v>
      </c>
    </row>
    <row r="4102" spans="1:8">
      <c r="A4102" t="s">
        <v>4108</v>
      </c>
      <c r="B4102" t="s">
        <v>8512</v>
      </c>
      <c r="C4102" t="s">
        <v>11005</v>
      </c>
      <c r="D4102" t="s">
        <v>15063</v>
      </c>
      <c r="E4102" s="2">
        <v>9423</v>
      </c>
      <c r="F4102">
        <f>HYPERLINK("https://www2.assemblee-nationale.fr/sycomore/fiche/(num_dept)/6533", "6533.0")</f>
        <v>0</v>
      </c>
      <c r="H4102">
        <f>HYPERLINK("https://www.wikidata.org/wiki/Q16026380", "Q16026380")</f>
        <v>0</v>
      </c>
    </row>
    <row r="4103" spans="1:8">
      <c r="A4103" t="s">
        <v>4109</v>
      </c>
      <c r="B4103" t="s">
        <v>8513</v>
      </c>
      <c r="C4103" t="s">
        <v>11006</v>
      </c>
      <c r="D4103" t="s">
        <v>15064</v>
      </c>
      <c r="E4103" s="2">
        <v>12056</v>
      </c>
      <c r="F4103">
        <f>HYPERLINK("https://www2.assemblee-nationale.fr/sycomore/fiche/(num_dept)/6535", "6535.0")</f>
        <v>0</v>
      </c>
      <c r="H4103">
        <f>HYPERLINK("https://www.wikidata.org/wiki/Q13089737", "Q13089737")</f>
        <v>0</v>
      </c>
    </row>
    <row r="4104" spans="1:8">
      <c r="A4104" t="s">
        <v>4110</v>
      </c>
      <c r="B4104" t="s">
        <v>8513</v>
      </c>
      <c r="C4104" t="s">
        <v>10187</v>
      </c>
      <c r="D4104" t="s">
        <v>15065</v>
      </c>
      <c r="E4104" s="2">
        <v>9653</v>
      </c>
      <c r="F4104">
        <f>HYPERLINK("https://www2.assemblee-nationale.fr/sycomore/fiche/(num_dept)/6534", "6534.0")</f>
        <v>0</v>
      </c>
      <c r="H4104">
        <f>HYPERLINK("https://www.wikidata.org/wiki/Q16026381", "Q16026381")</f>
        <v>0</v>
      </c>
    </row>
    <row r="4105" spans="1:8">
      <c r="A4105" t="s">
        <v>4111</v>
      </c>
      <c r="B4105" t="s">
        <v>8514</v>
      </c>
      <c r="C4105" t="s">
        <v>10233</v>
      </c>
      <c r="D4105" t="s">
        <v>15066</v>
      </c>
      <c r="E4105" s="2">
        <v>17513</v>
      </c>
      <c r="F4105">
        <f>HYPERLINK("https://www2.assemblee-nationale.fr/sycomore/fiche/(num_dept)/6536", "6536.0")</f>
        <v>0</v>
      </c>
      <c r="H4105">
        <f>HYPERLINK("https://www.wikidata.org/wiki/Q16026382", "Q16026382")</f>
        <v>0</v>
      </c>
    </row>
    <row r="4106" spans="1:8">
      <c r="A4106" t="s">
        <v>4112</v>
      </c>
      <c r="B4106" t="s">
        <v>8515</v>
      </c>
      <c r="C4106" t="s">
        <v>11007</v>
      </c>
      <c r="D4106" t="s">
        <v>14583</v>
      </c>
      <c r="E4106" s="2">
        <v>18581</v>
      </c>
      <c r="F4106">
        <f>HYPERLINK("https://www2.assemblee-nationale.fr/sycomore/fiche/(num_dept)/6537", "6537.0")</f>
        <v>0</v>
      </c>
      <c r="G4106">
        <f>HYPERLINK("https://www.senat.fr/senateur-3eme-republique/puis_auguste1718r3.html", "puis_auguste1718r3")</f>
        <v>0</v>
      </c>
      <c r="H4106">
        <f>HYPERLINK("https://www.wikidata.org/wiki/Q2871367", "Q2871367")</f>
        <v>0</v>
      </c>
    </row>
    <row r="4107" spans="1:8">
      <c r="A4107" t="s">
        <v>4113</v>
      </c>
      <c r="B4107" t="s">
        <v>8516</v>
      </c>
      <c r="C4107" t="s">
        <v>9430</v>
      </c>
      <c r="D4107" t="s">
        <v>15067</v>
      </c>
      <c r="E4107" s="2">
        <v>10082</v>
      </c>
      <c r="F4107">
        <f>HYPERLINK("https://www2.assemblee-nationale.fr/sycomore/fiche/(num_dept)/6538", "6538.0")</f>
        <v>0</v>
      </c>
      <c r="H4107">
        <f>HYPERLINK("https://www.wikidata.org/wiki/Q16026383", "Q16026383")</f>
        <v>0</v>
      </c>
    </row>
    <row r="4108" spans="1:8">
      <c r="A4108" t="s">
        <v>4114</v>
      </c>
      <c r="B4108" t="s">
        <v>8517</v>
      </c>
      <c r="C4108" t="s">
        <v>9397</v>
      </c>
      <c r="D4108" t="s">
        <v>15068</v>
      </c>
      <c r="E4108" s="2">
        <v>15302</v>
      </c>
      <c r="G4108">
        <f>HYPERLINK("https://www.senat.fr/senateur-3eme-republique/pujes_theophile0330r3.html", "pujes_theophile0330r3")</f>
        <v>0</v>
      </c>
      <c r="H4108">
        <f>HYPERLINK("https://www.wikidata.org/wiki/Q2430606", "Q2430606")</f>
        <v>0</v>
      </c>
    </row>
    <row r="4109" spans="1:8">
      <c r="A4109" t="s">
        <v>4115</v>
      </c>
      <c r="B4109" t="s">
        <v>8518</v>
      </c>
      <c r="C4109" t="s">
        <v>5354</v>
      </c>
      <c r="D4109" t="s">
        <v>15069</v>
      </c>
      <c r="E4109" s="2">
        <v>23634</v>
      </c>
      <c r="H4109">
        <f>HYPERLINK("https://www.wikidata.org/wiki/Q2899656", "Q2899656")</f>
        <v>0</v>
      </c>
    </row>
    <row r="4110" spans="1:8">
      <c r="A4110" t="s">
        <v>4116</v>
      </c>
      <c r="B4110" t="s">
        <v>8519</v>
      </c>
      <c r="C4110" t="s">
        <v>11008</v>
      </c>
      <c r="D4110" t="s">
        <v>15070</v>
      </c>
      <c r="E4110" s="2">
        <v>10588</v>
      </c>
      <c r="F4110">
        <f>HYPERLINK("https://www2.assemblee-nationale.fr/sycomore/fiche/(num_dept)/6542", "6542.0")</f>
        <v>0</v>
      </c>
      <c r="H4110">
        <f>HYPERLINK("https://www.wikidata.org/wiki/Q16026271", "Q16026271")</f>
        <v>0</v>
      </c>
    </row>
    <row r="4111" spans="1:8">
      <c r="A4111" t="s">
        <v>4117</v>
      </c>
      <c r="B4111" t="s">
        <v>8520</v>
      </c>
      <c r="C4111" t="s">
        <v>6888</v>
      </c>
      <c r="D4111" t="s">
        <v>15071</v>
      </c>
      <c r="E4111" t="s">
        <v>16361</v>
      </c>
      <c r="F4111">
        <f>HYPERLINK("https://www2.assemblee-nationale.fr/sycomore/fiche/(num_dept)/6543", "6543.0")</f>
        <v>0</v>
      </c>
      <c r="H4111">
        <f>HYPERLINK("https://www.wikidata.org/wiki/Q2476314", "Q2476314")</f>
        <v>0</v>
      </c>
    </row>
    <row r="4112" spans="1:8">
      <c r="A4112" t="s">
        <v>4118</v>
      </c>
      <c r="B4112" t="s">
        <v>8521</v>
      </c>
      <c r="C4112" t="s">
        <v>11009</v>
      </c>
      <c r="D4112" t="s">
        <v>15072</v>
      </c>
      <c r="E4112" s="2">
        <v>16098</v>
      </c>
      <c r="F4112">
        <f>HYPERLINK("https://www2.assemblee-nationale.fr/sycomore/fiche/(num_dept)/6544", "6544.0")</f>
        <v>0</v>
      </c>
      <c r="H4112">
        <f>HYPERLINK("https://www.wikidata.org/wiki/Q16026385", "Q16026385")</f>
        <v>0</v>
      </c>
    </row>
    <row r="4113" spans="1:8">
      <c r="A4113" t="s">
        <v>4119</v>
      </c>
      <c r="B4113" t="s">
        <v>8522</v>
      </c>
      <c r="C4113" t="s">
        <v>10493</v>
      </c>
      <c r="D4113" t="s">
        <v>15073</v>
      </c>
      <c r="E4113" s="2">
        <v>16023</v>
      </c>
      <c r="F4113">
        <f>HYPERLINK("https://www2.assemblee-nationale.fr/sycomore/fiche/(num_dept)/5684", "5684.0")</f>
        <v>0</v>
      </c>
      <c r="H4113">
        <f>HYPERLINK("https://www.wikidata.org/wiki/Q28467317", "Q28467317")</f>
        <v>0</v>
      </c>
    </row>
    <row r="4114" spans="1:8">
      <c r="A4114" t="s">
        <v>4120</v>
      </c>
      <c r="B4114" t="s">
        <v>8523</v>
      </c>
      <c r="C4114" t="s">
        <v>11010</v>
      </c>
      <c r="D4114" t="s">
        <v>11613</v>
      </c>
      <c r="E4114" s="2">
        <v>9210</v>
      </c>
      <c r="F4114">
        <f>HYPERLINK("https://www2.assemblee-nationale.fr/sycomore/fiche/(num_dept)/5742", "5742.0")</f>
        <v>0</v>
      </c>
      <c r="H4114">
        <f>HYPERLINK("https://www.wikidata.org/wiki/Q16026287", "Q16026287")</f>
        <v>0</v>
      </c>
    </row>
    <row r="4115" spans="1:8">
      <c r="A4115" t="s">
        <v>4121</v>
      </c>
      <c r="B4115" t="s">
        <v>8524</v>
      </c>
      <c r="C4115" t="s">
        <v>9320</v>
      </c>
      <c r="D4115" t="s">
        <v>15074</v>
      </c>
      <c r="E4115" s="2">
        <v>17123</v>
      </c>
      <c r="F4115">
        <f>HYPERLINK("https://www2.assemblee-nationale.fr/sycomore/fiche/(num_dept)/5743", "5743.0")</f>
        <v>0</v>
      </c>
      <c r="H4115">
        <f>HYPERLINK("https://www.wikidata.org/wiki/Q3426786", "Q3426786")</f>
        <v>0</v>
      </c>
    </row>
    <row r="4116" spans="1:8">
      <c r="A4116" t="s">
        <v>4122</v>
      </c>
      <c r="B4116" t="s">
        <v>8525</v>
      </c>
      <c r="C4116" t="s">
        <v>9401</v>
      </c>
      <c r="D4116" t="s">
        <v>15075</v>
      </c>
      <c r="E4116" s="2">
        <v>18153</v>
      </c>
      <c r="F4116">
        <f>HYPERLINK("https://www2.assemblee-nationale.fr/sycomore/fiche/(num_dept)/5744", "5744.0")</f>
        <v>0</v>
      </c>
      <c r="H4116">
        <f>HYPERLINK("https://www.wikidata.org/wiki/Q2960054", "Q2960054")</f>
        <v>0</v>
      </c>
    </row>
    <row r="4117" spans="1:8">
      <c r="A4117" t="s">
        <v>4123</v>
      </c>
      <c r="B4117" t="s">
        <v>8526</v>
      </c>
      <c r="C4117" t="s">
        <v>11011</v>
      </c>
      <c r="D4117" t="s">
        <v>14855</v>
      </c>
      <c r="E4117" s="2">
        <v>9216</v>
      </c>
      <c r="F4117">
        <f>HYPERLINK("https://www2.assemblee-nationale.fr/sycomore/fiche/(num_dept)/5745", "5745.0")</f>
        <v>0</v>
      </c>
      <c r="H4117">
        <f>HYPERLINK("https://www.wikidata.org/wiki/Q2839931", "Q2839931")</f>
        <v>0</v>
      </c>
    </row>
    <row r="4118" spans="1:8">
      <c r="A4118" t="s">
        <v>4124</v>
      </c>
      <c r="B4118" t="s">
        <v>8527</v>
      </c>
      <c r="C4118" t="s">
        <v>11012</v>
      </c>
      <c r="D4118" t="s">
        <v>15076</v>
      </c>
      <c r="E4118" s="2">
        <v>14188</v>
      </c>
      <c r="F4118">
        <f>HYPERLINK("https://www2.assemblee-nationale.fr/sycomore/fiche/(num_dept)/5746", "5746.0")</f>
        <v>0</v>
      </c>
      <c r="H4118">
        <f>HYPERLINK("https://www.wikidata.org/wiki/Q3121301", "Q3121301")</f>
        <v>0</v>
      </c>
    </row>
    <row r="4119" spans="1:8">
      <c r="A4119" t="s">
        <v>4125</v>
      </c>
      <c r="B4119" t="s">
        <v>8528</v>
      </c>
      <c r="C4119" t="s">
        <v>10928</v>
      </c>
      <c r="D4119" t="s">
        <v>14860</v>
      </c>
      <c r="E4119" s="2">
        <v>14074</v>
      </c>
      <c r="F4119">
        <f>HYPERLINK("https://www2.assemblee-nationale.fr/sycomore/fiche/(num_dept)/5759", "5759.0")</f>
        <v>0</v>
      </c>
      <c r="H4119">
        <f>HYPERLINK("https://www.wikidata.org/wiki/Q3371975", "Q3371975")</f>
        <v>0</v>
      </c>
    </row>
    <row r="4120" spans="1:8">
      <c r="A4120" t="s">
        <v>4126</v>
      </c>
      <c r="B4120" t="s">
        <v>8529</v>
      </c>
      <c r="C4120" t="s">
        <v>11013</v>
      </c>
      <c r="D4120" t="s">
        <v>15077</v>
      </c>
      <c r="E4120" s="2">
        <v>10643</v>
      </c>
      <c r="F4120">
        <f>HYPERLINK("https://www2.assemblee-nationale.fr/sycomore/fiche/(num_dept)/5760", "5760.0")</f>
        <v>0</v>
      </c>
      <c r="H4120">
        <f>HYPERLINK("https://www.wikidata.org/wiki/Q16026298", "Q16026298")</f>
        <v>0</v>
      </c>
    </row>
    <row r="4121" spans="1:8">
      <c r="A4121" t="s">
        <v>4127</v>
      </c>
      <c r="B4121" t="s">
        <v>8530</v>
      </c>
      <c r="C4121" t="s">
        <v>11014</v>
      </c>
      <c r="D4121" t="s">
        <v>14869</v>
      </c>
      <c r="E4121" t="s">
        <v>16337</v>
      </c>
      <c r="F4121">
        <f>HYPERLINK("https://www2.assemblee-nationale.fr/sycomore/fiche/(num_dept)/8291", "8291.0")</f>
        <v>0</v>
      </c>
      <c r="H4121">
        <f>HYPERLINK("https://www.wikidata.org/wiki/Q3426787", "Q3426787")</f>
        <v>0</v>
      </c>
    </row>
    <row r="4122" spans="1:8">
      <c r="A4122" t="s">
        <v>4128</v>
      </c>
      <c r="B4122" t="s">
        <v>8531</v>
      </c>
      <c r="C4122" t="s">
        <v>11015</v>
      </c>
      <c r="D4122" t="s">
        <v>15078</v>
      </c>
      <c r="E4122" s="2">
        <v>8158</v>
      </c>
      <c r="F4122">
        <f>HYPERLINK("https://www2.assemblee-nationale.fr/sycomore/fiche/(num_dept)/8095", "8095.0")</f>
        <v>0</v>
      </c>
      <c r="H4122">
        <f>HYPERLINK("https://www.wikidata.org/wiki/Q16026300", "Q16026300")</f>
        <v>0</v>
      </c>
    </row>
    <row r="4123" spans="1:8">
      <c r="A4123" t="s">
        <v>4129</v>
      </c>
      <c r="B4123" t="s">
        <v>8532</v>
      </c>
      <c r="C4123" t="s">
        <v>9524</v>
      </c>
      <c r="D4123" t="s">
        <v>15079</v>
      </c>
      <c r="E4123" s="2">
        <v>12798</v>
      </c>
      <c r="F4123">
        <f>HYPERLINK("https://www2.assemblee-nationale.fr/sycomore/fiche/(num_dept)/5771", "5771.0")</f>
        <v>0</v>
      </c>
      <c r="H4123">
        <f>HYPERLINK("https://www.wikidata.org/wiki/Q3588707", "Q3588707")</f>
        <v>0</v>
      </c>
    </row>
    <row r="4124" spans="1:8">
      <c r="A4124" t="s">
        <v>4130</v>
      </c>
      <c r="B4124" t="s">
        <v>8533</v>
      </c>
      <c r="C4124" t="s">
        <v>11016</v>
      </c>
      <c r="D4124" t="s">
        <v>14874</v>
      </c>
      <c r="E4124" s="2">
        <v>15544</v>
      </c>
      <c r="F4124">
        <f>HYPERLINK("https://www2.assemblee-nationale.fr/sycomore/fiche/(num_dept)/5779", "5779.0")</f>
        <v>0</v>
      </c>
      <c r="H4124">
        <f>HYPERLINK("https://www.wikidata.org/wiki/Q3419252", "Q3419252")</f>
        <v>0</v>
      </c>
    </row>
    <row r="4125" spans="1:8">
      <c r="A4125" t="s">
        <v>4131</v>
      </c>
      <c r="B4125" t="s">
        <v>8534</v>
      </c>
      <c r="C4125" t="s">
        <v>6895</v>
      </c>
      <c r="D4125" s="2">
        <v>771</v>
      </c>
      <c r="E4125" s="2">
        <v>15325</v>
      </c>
      <c r="F4125">
        <f>HYPERLINK("https://www2.assemblee-nationale.fr/sycomore/fiche/(num_dept)/5785", "5785.0")</f>
        <v>0</v>
      </c>
      <c r="H4125">
        <f>HYPERLINK("https://www.wikidata.org/wiki/Q480164", "Q480164")</f>
        <v>0</v>
      </c>
    </row>
    <row r="4126" spans="1:8">
      <c r="A4126" t="s">
        <v>4132</v>
      </c>
      <c r="B4126" t="s">
        <v>8535</v>
      </c>
      <c r="C4126" t="s">
        <v>11017</v>
      </c>
      <c r="D4126" t="s">
        <v>15080</v>
      </c>
      <c r="E4126" s="2">
        <v>7382</v>
      </c>
      <c r="F4126">
        <f>HYPERLINK("https://www2.assemblee-nationale.fr/sycomore/fiche/(num_dept)/5787", "5787.0")</f>
        <v>0</v>
      </c>
      <c r="H4126">
        <f>HYPERLINK("https://www.wikidata.org/wiki/Q16026305", "Q16026305")</f>
        <v>0</v>
      </c>
    </row>
    <row r="4127" spans="1:8">
      <c r="A4127" t="s">
        <v>4133</v>
      </c>
      <c r="B4127" t="s">
        <v>8536</v>
      </c>
      <c r="C4127" t="s">
        <v>9471</v>
      </c>
      <c r="D4127" t="s">
        <v>15081</v>
      </c>
      <c r="E4127" s="2">
        <v>5611</v>
      </c>
      <c r="F4127">
        <f>HYPERLINK("https://www2.assemblee-nationale.fr/sycomore/fiche/(num_dept)/5790", "5790.0")</f>
        <v>0</v>
      </c>
      <c r="H4127">
        <f>HYPERLINK("https://www.wikidata.org/wiki/Q8319435", "Q8319435")</f>
        <v>0</v>
      </c>
    </row>
    <row r="4128" spans="1:8">
      <c r="A4128" t="s">
        <v>4134</v>
      </c>
      <c r="B4128" t="s">
        <v>8537</v>
      </c>
      <c r="C4128" t="s">
        <v>11018</v>
      </c>
      <c r="D4128" t="s">
        <v>14397</v>
      </c>
      <c r="E4128" s="2">
        <v>1282</v>
      </c>
      <c r="F4128">
        <f>HYPERLINK("https://www2.assemblee-nationale.fr/sycomore/fiche/(num_dept)/8022", "8022.0")</f>
        <v>0</v>
      </c>
      <c r="H4128">
        <f>HYPERLINK("https://www.wikidata.org/wiki/Q3103377", "Q3103377")</f>
        <v>0</v>
      </c>
    </row>
    <row r="4129" spans="1:8">
      <c r="A4129" t="s">
        <v>4135</v>
      </c>
      <c r="B4129" t="s">
        <v>8537</v>
      </c>
      <c r="C4129" t="s">
        <v>9524</v>
      </c>
      <c r="D4129" t="s">
        <v>15082</v>
      </c>
      <c r="E4129" s="2">
        <v>23928</v>
      </c>
      <c r="F4129">
        <f>HYPERLINK("https://www2.assemblee-nationale.fr/sycomore/fiche/(num_dept)/5792", "5792.0")</f>
        <v>0</v>
      </c>
      <c r="H4129">
        <f>HYPERLINK("https://www.wikidata.org/wiki/Q3588709", "Q3588709")</f>
        <v>0</v>
      </c>
    </row>
    <row r="4130" spans="1:8">
      <c r="A4130" t="s">
        <v>4136</v>
      </c>
      <c r="B4130" t="s">
        <v>8538</v>
      </c>
      <c r="C4130" t="s">
        <v>7342</v>
      </c>
      <c r="D4130" t="s">
        <v>15083</v>
      </c>
      <c r="E4130" s="2">
        <v>12672</v>
      </c>
      <c r="F4130">
        <f>HYPERLINK("https://www2.assemblee-nationale.fr/sycomore/fiche/(num_dept)/5793", "5793.0")</f>
        <v>0</v>
      </c>
      <c r="H4130">
        <f>HYPERLINK("https://www.wikidata.org/wiki/Q8344143", "Q8344143")</f>
        <v>0</v>
      </c>
    </row>
    <row r="4131" spans="1:8">
      <c r="A4131" t="s">
        <v>4137</v>
      </c>
      <c r="B4131" t="s">
        <v>8539</v>
      </c>
      <c r="C4131" t="s">
        <v>8384</v>
      </c>
      <c r="D4131" t="s">
        <v>14534</v>
      </c>
      <c r="E4131" s="2">
        <v>19588</v>
      </c>
      <c r="F4131">
        <f>HYPERLINK("https://www2.assemblee-nationale.fr/sycomore/fiche/(num_dept)/5795", "5795.0")</f>
        <v>0</v>
      </c>
      <c r="H4131">
        <f>HYPERLINK("https://www.wikidata.org/wiki/Q16026309", "Q16026309")</f>
        <v>0</v>
      </c>
    </row>
    <row r="4132" spans="1:8">
      <c r="A4132" t="s">
        <v>4138</v>
      </c>
      <c r="B4132" t="s">
        <v>8540</v>
      </c>
      <c r="C4132" t="s">
        <v>9324</v>
      </c>
      <c r="D4132" t="s">
        <v>15084</v>
      </c>
      <c r="E4132" s="2">
        <v>3351</v>
      </c>
      <c r="F4132">
        <f>HYPERLINK("https://www2.assemblee-nationale.fr/sycomore/fiche/(num_dept)/5803", "5803.0")</f>
        <v>0</v>
      </c>
      <c r="H4132">
        <f>HYPERLINK("https://www.wikidata.org/wiki/Q16026313", "Q16026313")</f>
        <v>0</v>
      </c>
    </row>
    <row r="4133" spans="1:8">
      <c r="A4133" t="s">
        <v>4139</v>
      </c>
      <c r="B4133" t="s">
        <v>8541</v>
      </c>
      <c r="C4133" t="s">
        <v>11019</v>
      </c>
      <c r="D4133" t="s">
        <v>15085</v>
      </c>
      <c r="E4133" s="2">
        <v>19538</v>
      </c>
      <c r="F4133">
        <f>HYPERLINK("https://www2.assemblee-nationale.fr/sycomore/fiche/(num_dept)/5804", "5804.0")</f>
        <v>0</v>
      </c>
      <c r="H4133">
        <f>HYPERLINK("https://www.wikidata.org/wiki/Q2960060", "Q2960060")</f>
        <v>0</v>
      </c>
    </row>
    <row r="4134" spans="1:8">
      <c r="A4134" t="s">
        <v>4140</v>
      </c>
      <c r="B4134" t="s">
        <v>8542</v>
      </c>
      <c r="C4134" t="s">
        <v>9368</v>
      </c>
      <c r="D4134" t="s">
        <v>14873</v>
      </c>
      <c r="E4134" s="2">
        <v>14289</v>
      </c>
      <c r="F4134">
        <f>HYPERLINK("https://www2.assemblee-nationale.fr/sycomore/fiche/(num_dept)/5778", "5778.0")</f>
        <v>0</v>
      </c>
      <c r="H4134">
        <f>HYPERLINK("https://www.wikidata.org/wiki/Q3060087", "Q3060087")</f>
        <v>0</v>
      </c>
    </row>
    <row r="4135" spans="1:8">
      <c r="A4135" t="s">
        <v>4141</v>
      </c>
      <c r="B4135" t="s">
        <v>8543</v>
      </c>
      <c r="C4135" t="s">
        <v>8370</v>
      </c>
      <c r="D4135" t="s">
        <v>15086</v>
      </c>
      <c r="E4135" s="2">
        <v>18832</v>
      </c>
      <c r="H4135">
        <f>HYPERLINK("https://www.wikidata.org/wiki/Q5721", "Q5721")</f>
        <v>0</v>
      </c>
    </row>
    <row r="4136" spans="1:8">
      <c r="A4136" t="s">
        <v>4142</v>
      </c>
      <c r="B4136" t="s">
        <v>8544</v>
      </c>
      <c r="C4136" t="s">
        <v>9324</v>
      </c>
      <c r="D4136" t="s">
        <v>15087</v>
      </c>
      <c r="E4136" s="2">
        <v>4038</v>
      </c>
      <c r="F4136">
        <f>HYPERLINK("https://www2.assemblee-nationale.fr/sycomore/fiche/(num_dept)/5839", "5839.0")</f>
        <v>0</v>
      </c>
      <c r="H4136">
        <f>HYPERLINK("https://www.wikidata.org/wiki/Q16026326", "Q16026326")</f>
        <v>0</v>
      </c>
    </row>
    <row r="4137" spans="1:8">
      <c r="A4137" t="s">
        <v>4143</v>
      </c>
      <c r="B4137" t="s">
        <v>8545</v>
      </c>
      <c r="C4137" t="s">
        <v>11020</v>
      </c>
      <c r="D4137" t="s">
        <v>15088</v>
      </c>
      <c r="E4137" t="s">
        <v>16362</v>
      </c>
      <c r="F4137">
        <f>HYPERLINK("https://www2.assemblee-nationale.fr/sycomore/fiche/(num_dept)/5853", "5853.0")</f>
        <v>0</v>
      </c>
      <c r="H4137">
        <f>HYPERLINK("https://www.wikidata.org/wiki/Q13077218", "Q13077218")</f>
        <v>0</v>
      </c>
    </row>
    <row r="4138" spans="1:8">
      <c r="A4138" t="s">
        <v>4144</v>
      </c>
      <c r="B4138" t="s">
        <v>8546</v>
      </c>
      <c r="C4138" t="s">
        <v>11021</v>
      </c>
      <c r="D4138" t="s">
        <v>15089</v>
      </c>
      <c r="E4138" s="2">
        <v>23659</v>
      </c>
      <c r="F4138">
        <f>HYPERLINK("https://www2.assemblee-nationale.fr/sycomore/fiche/(num_dept)/7609", "7609.0")</f>
        <v>0</v>
      </c>
      <c r="H4138">
        <f>HYPERLINK("https://www.wikidata.org/wiki/Q3185231", "Q3185231")</f>
        <v>0</v>
      </c>
    </row>
    <row r="4139" spans="1:8">
      <c r="A4139" t="s">
        <v>4145</v>
      </c>
      <c r="B4139" t="s">
        <v>8547</v>
      </c>
      <c r="C4139" t="s">
        <v>7314</v>
      </c>
      <c r="D4139" t="s">
        <v>15090</v>
      </c>
      <c r="E4139" s="2">
        <v>20551</v>
      </c>
      <c r="F4139">
        <f>HYPERLINK("https://www2.assemblee-nationale.fr/sycomore/fiche/(num_dept)/6545", "6545.0")</f>
        <v>0</v>
      </c>
      <c r="G4139">
        <f>HYPERLINK("https://www.senat.fr/senateur-3eme-republique/queinnec_jacques0794r3.html", "queinnec_jacques0794r3")</f>
        <v>0</v>
      </c>
      <c r="H4139">
        <f>HYPERLINK("https://www.wikidata.org/wiki/Q3159830", "Q3159830")</f>
        <v>0</v>
      </c>
    </row>
    <row r="4140" spans="1:8">
      <c r="A4140" t="s">
        <v>4146</v>
      </c>
      <c r="B4140" t="s">
        <v>8548</v>
      </c>
      <c r="C4140" t="s">
        <v>7342</v>
      </c>
      <c r="D4140" s="2">
        <v>1218</v>
      </c>
      <c r="E4140" s="2">
        <v>26231</v>
      </c>
      <c r="F4140">
        <f>HYPERLINK("https://www2.assemblee-nationale.fr/sycomore/fiche/(num_dept)/6548", "6548.0")</f>
        <v>0</v>
      </c>
      <c r="H4140">
        <f>HYPERLINK("https://www.wikidata.org/wiki/Q3174183", "Q3174183")</f>
        <v>0</v>
      </c>
    </row>
    <row r="4141" spans="1:8">
      <c r="A4141" t="s">
        <v>4147</v>
      </c>
      <c r="B4141" t="s">
        <v>8549</v>
      </c>
      <c r="C4141" t="s">
        <v>7754</v>
      </c>
      <c r="D4141" t="s">
        <v>15091</v>
      </c>
      <c r="E4141" s="2">
        <v>18367</v>
      </c>
      <c r="F4141">
        <f>HYPERLINK("https://www2.assemblee-nationale.fr/sycomore/fiche/(num_dept)/6551", "6551.0")</f>
        <v>0</v>
      </c>
      <c r="G4141">
        <f>HYPERLINK("https://www.senat.fr/senateur-3eme-republique/quesnel_louis1575r3.html", "quesnel_louis1575r3")</f>
        <v>0</v>
      </c>
      <c r="H4141">
        <f>HYPERLINK("https://www.wikidata.org/wiki/Q3262977", "Q3262977")</f>
        <v>0</v>
      </c>
    </row>
    <row r="4142" spans="1:8">
      <c r="A4142" t="s">
        <v>4148</v>
      </c>
      <c r="B4142" t="s">
        <v>8550</v>
      </c>
      <c r="C4142" t="s">
        <v>9324</v>
      </c>
      <c r="D4142" t="s">
        <v>15092</v>
      </c>
      <c r="E4142" s="2">
        <v>25734</v>
      </c>
      <c r="F4142">
        <f>HYPERLINK("https://www2.assemblee-nationale.fr/sycomore/fiche/(num_dept)/6554", "6554.0")</f>
        <v>0</v>
      </c>
      <c r="G4142">
        <f>HYPERLINK("https://www.senat.fr/senateur-3eme-republique/queuille_henri0469r3.html", "queuille_henri0469r3")</f>
        <v>0</v>
      </c>
      <c r="H4142">
        <f>HYPERLINK("https://www.wikidata.org/wiki/Q455655", "Q455655")</f>
        <v>0</v>
      </c>
    </row>
    <row r="4143" spans="1:8">
      <c r="A4143" t="s">
        <v>4149</v>
      </c>
      <c r="B4143" t="s">
        <v>8551</v>
      </c>
      <c r="C4143" t="s">
        <v>9503</v>
      </c>
      <c r="D4143" t="s">
        <v>15093</v>
      </c>
      <c r="E4143" s="2">
        <v>4004</v>
      </c>
      <c r="F4143">
        <f>HYPERLINK("https://www2.assemblee-nationale.fr/sycomore/fiche/(num_dept)/6556", "6556.0")</f>
        <v>0</v>
      </c>
      <c r="H4143">
        <f>HYPERLINK("https://www.wikidata.org/wiki/Q16026386", "Q16026386")</f>
        <v>0</v>
      </c>
    </row>
    <row r="4144" spans="1:8">
      <c r="A4144" t="s">
        <v>4150</v>
      </c>
      <c r="B4144" t="s">
        <v>8552</v>
      </c>
      <c r="C4144" t="s">
        <v>7001</v>
      </c>
      <c r="D4144" t="s">
        <v>15094</v>
      </c>
      <c r="E4144" s="2">
        <v>8787</v>
      </c>
      <c r="G4144">
        <f>HYPERLINK("https://www.senat.fr/senateur-3eme-republique/quilliard_georges0874r3.html", "quilliard_georges0874r3")</f>
        <v>0</v>
      </c>
      <c r="H4144">
        <f>HYPERLINK("https://www.wikidata.org/wiki/Q3103380", "Q3103380")</f>
        <v>0</v>
      </c>
    </row>
    <row r="4145" spans="1:8">
      <c r="A4145" t="s">
        <v>4151</v>
      </c>
      <c r="B4145" t="s">
        <v>8553</v>
      </c>
      <c r="C4145" t="s">
        <v>10171</v>
      </c>
      <c r="D4145" t="s">
        <v>15095</v>
      </c>
      <c r="E4145" s="2">
        <v>210</v>
      </c>
      <c r="F4145">
        <f>HYPERLINK("https://www2.assemblee-nationale.fr/sycomore/fiche/(num_dept)/6564", "6564.0")</f>
        <v>0</v>
      </c>
      <c r="G4145">
        <f>HYPERLINK("https://www.senat.fr/senateur-3eme-republique/quintaa_justin1048r3.html", "quintaa_justin1048r3")</f>
        <v>0</v>
      </c>
      <c r="H4145">
        <f>HYPERLINK("https://www.wikidata.org/wiki/Q3190491", "Q3190491")</f>
        <v>0</v>
      </c>
    </row>
    <row r="4146" spans="1:8">
      <c r="A4146" t="s">
        <v>4152</v>
      </c>
      <c r="B4146" t="s">
        <v>8554</v>
      </c>
      <c r="C4146" t="s">
        <v>11022</v>
      </c>
      <c r="D4146" t="s">
        <v>15096</v>
      </c>
      <c r="E4146" s="2">
        <v>12159</v>
      </c>
      <c r="F4146">
        <f>HYPERLINK("https://www2.assemblee-nationale.fr/sycomore/fiche/(num_dept)/6567", "6567.0")</f>
        <v>0</v>
      </c>
      <c r="G4146">
        <f>HYPERLINK("https://www.senat.fr/senateur-3eme-republique/rabier_fernand0501r3.html", "rabier_fernand0501r3")</f>
        <v>0</v>
      </c>
      <c r="H4146">
        <f>HYPERLINK("https://www.wikidata.org/wiki/Q3069308", "Q3069308")</f>
        <v>0</v>
      </c>
    </row>
    <row r="4147" spans="1:8">
      <c r="A4147" t="s">
        <v>4153</v>
      </c>
      <c r="B4147" t="s">
        <v>8555</v>
      </c>
      <c r="C4147" t="s">
        <v>9564</v>
      </c>
      <c r="D4147" t="s">
        <v>15097</v>
      </c>
      <c r="E4147" s="2">
        <v>16062</v>
      </c>
      <c r="F4147">
        <f>HYPERLINK("https://www2.assemblee-nationale.fr/sycomore/fiche/(num_dept)/6570", "6570.0")</f>
        <v>0</v>
      </c>
      <c r="H4147">
        <f>HYPERLINK("https://www.wikidata.org/wiki/Q2835410", "Q2835410")</f>
        <v>0</v>
      </c>
    </row>
    <row r="4148" spans="1:8">
      <c r="A4148" t="s">
        <v>4154</v>
      </c>
      <c r="B4148" t="s">
        <v>8556</v>
      </c>
      <c r="C4148" t="s">
        <v>9743</v>
      </c>
      <c r="D4148" t="s">
        <v>15098</v>
      </c>
      <c r="E4148" s="2">
        <v>16887</v>
      </c>
      <c r="F4148">
        <f>HYPERLINK("https://www2.assemblee-nationale.fr/sycomore/fiche/(num_dept)/6577", "6577.0")</f>
        <v>0</v>
      </c>
      <c r="H4148">
        <f>HYPERLINK("https://www.wikidata.org/wiki/Q14925927", "Q14925927")</f>
        <v>0</v>
      </c>
    </row>
    <row r="4149" spans="1:8">
      <c r="A4149" t="s">
        <v>4155</v>
      </c>
      <c r="B4149" t="s">
        <v>8557</v>
      </c>
      <c r="C4149" t="s">
        <v>11023</v>
      </c>
      <c r="D4149" t="s">
        <v>15099</v>
      </c>
      <c r="E4149" s="2">
        <v>5535</v>
      </c>
      <c r="F4149">
        <f>HYPERLINK("https://www2.assemblee-nationale.fr/sycomore/fiche/(num_dept)/6578", "6578.0")</f>
        <v>0</v>
      </c>
      <c r="H4149">
        <f>HYPERLINK("https://www.wikidata.org/wiki/Q16026388", "Q16026388")</f>
        <v>0</v>
      </c>
    </row>
    <row r="4150" spans="1:8">
      <c r="A4150" t="s">
        <v>4156</v>
      </c>
      <c r="B4150" t="s">
        <v>8558</v>
      </c>
      <c r="C4150" t="s">
        <v>11024</v>
      </c>
      <c r="D4150" t="s">
        <v>15100</v>
      </c>
      <c r="E4150" s="2">
        <v>14545</v>
      </c>
      <c r="F4150">
        <f>HYPERLINK("https://www2.assemblee-nationale.fr/sycomore/fiche/(num_dept)/6579", "6579.0")</f>
        <v>0</v>
      </c>
      <c r="H4150">
        <f>HYPERLINK("https://www.wikidata.org/wiki/Q16026389", "Q16026389")</f>
        <v>0</v>
      </c>
    </row>
    <row r="4151" spans="1:8">
      <c r="A4151" t="s">
        <v>4157</v>
      </c>
      <c r="B4151" t="s">
        <v>8559</v>
      </c>
      <c r="C4151" t="s">
        <v>11025</v>
      </c>
      <c r="D4151" t="s">
        <v>15101</v>
      </c>
      <c r="E4151" s="2">
        <v>8056</v>
      </c>
      <c r="F4151">
        <f>HYPERLINK("https://www2.assemblee-nationale.fr/sycomore/fiche/(num_dept)/6580", "6580.0")</f>
        <v>0</v>
      </c>
      <c r="H4151">
        <f>HYPERLINK("https://www.wikidata.org/wiki/Q16026390", "Q16026390")</f>
        <v>0</v>
      </c>
    </row>
    <row r="4152" spans="1:8">
      <c r="A4152" t="s">
        <v>4158</v>
      </c>
      <c r="B4152" t="s">
        <v>8560</v>
      </c>
      <c r="C4152" t="s">
        <v>11026</v>
      </c>
      <c r="D4152" t="s">
        <v>15102</v>
      </c>
      <c r="E4152" s="2">
        <v>10943</v>
      </c>
      <c r="F4152">
        <f>HYPERLINK("https://www2.assemblee-nationale.fr/sycomore/fiche/(num_dept)/6581", "6581.0")</f>
        <v>0</v>
      </c>
      <c r="G4152">
        <f>HYPERLINK("https://www.senat.fr/senateur-3eme-republique/raiberti_flaminius0124r3.html", "raiberti_flaminius0124r3")</f>
        <v>0</v>
      </c>
      <c r="H4152">
        <f>HYPERLINK("https://www.wikidata.org/wiki/Q3073302", "Q3073302")</f>
        <v>0</v>
      </c>
    </row>
    <row r="4153" spans="1:8">
      <c r="A4153" t="s">
        <v>4159</v>
      </c>
      <c r="B4153" t="s">
        <v>8561</v>
      </c>
      <c r="C4153" t="s">
        <v>11027</v>
      </c>
      <c r="D4153" t="s">
        <v>15103</v>
      </c>
      <c r="E4153" s="2">
        <v>15181</v>
      </c>
      <c r="F4153">
        <f>HYPERLINK("https://www2.assemblee-nationale.fr/sycomore/fiche/(num_dept)/6582", "6582.0")</f>
        <v>0</v>
      </c>
      <c r="H4153">
        <f>HYPERLINK("https://www.wikidata.org/wiki/Q16026391", "Q16026391")</f>
        <v>0</v>
      </c>
    </row>
    <row r="4154" spans="1:8">
      <c r="A4154" t="s">
        <v>4160</v>
      </c>
      <c r="B4154" t="s">
        <v>8562</v>
      </c>
      <c r="C4154" t="s">
        <v>11028</v>
      </c>
      <c r="D4154" t="s">
        <v>15104</v>
      </c>
      <c r="E4154" s="2">
        <v>2602</v>
      </c>
      <c r="F4154">
        <f>HYPERLINK("https://www2.assemblee-nationale.fr/sycomore/fiche/(num_dept)/7908", "7908.0")</f>
        <v>0</v>
      </c>
      <c r="H4154">
        <f>HYPERLINK("https://www.wikidata.org/wiki/Q15973986", "Q15973986")</f>
        <v>0</v>
      </c>
    </row>
    <row r="4155" spans="1:8">
      <c r="A4155" t="s">
        <v>4161</v>
      </c>
      <c r="B4155" t="s">
        <v>8563</v>
      </c>
      <c r="C4155" t="s">
        <v>11029</v>
      </c>
      <c r="D4155" t="s">
        <v>15105</v>
      </c>
      <c r="E4155" s="2">
        <v>11965</v>
      </c>
      <c r="F4155">
        <f>HYPERLINK("https://www2.assemblee-nationale.fr/sycomore/fiche/(num_dept)/6585", "6585.0")</f>
        <v>0</v>
      </c>
      <c r="G4155">
        <f>HYPERLINK("https://www.senat.fr/senateur-3eme-republique/rajon_claude1188r3.html", "rajon_claude1188r3")</f>
        <v>0</v>
      </c>
      <c r="H4155">
        <f>HYPERLINK("https://www.wikidata.org/wiki/Q2978029", "Q2978029")</f>
        <v>0</v>
      </c>
    </row>
    <row r="4156" spans="1:8">
      <c r="A4156" t="s">
        <v>4162</v>
      </c>
      <c r="B4156" t="s">
        <v>8564</v>
      </c>
      <c r="C4156" t="s">
        <v>9430</v>
      </c>
      <c r="D4156" t="s">
        <v>15106</v>
      </c>
      <c r="E4156" s="2">
        <v>22568</v>
      </c>
      <c r="F4156">
        <f>HYPERLINK("https://www2.assemblee-nationale.fr/sycomore/fiche/(num_dept)/6588", "6588.0")</f>
        <v>0</v>
      </c>
      <c r="H4156">
        <f>HYPERLINK("https://www.wikidata.org/wiki/Q328235", "Q328235")</f>
        <v>0</v>
      </c>
    </row>
    <row r="4157" spans="1:8">
      <c r="A4157" t="s">
        <v>4163</v>
      </c>
      <c r="B4157" t="s">
        <v>8565</v>
      </c>
      <c r="C4157" t="s">
        <v>9564</v>
      </c>
      <c r="D4157" t="s">
        <v>14476</v>
      </c>
      <c r="E4157" s="2">
        <v>2141</v>
      </c>
      <c r="G4157">
        <f>HYPERLINK("https://www.senat.fr/senateur-3eme-republique/rambaud_alfred0677r3.html", "rambaud_alfred0677r3")</f>
        <v>0</v>
      </c>
      <c r="H4157">
        <f>HYPERLINK("https://www.wikidata.org/wiki/Q163159", "Q163159")</f>
        <v>0</v>
      </c>
    </row>
    <row r="4158" spans="1:8">
      <c r="A4158" t="s">
        <v>4164</v>
      </c>
      <c r="B4158" t="s">
        <v>8566</v>
      </c>
      <c r="C4158" t="s">
        <v>9373</v>
      </c>
      <c r="D4158" t="s">
        <v>15107</v>
      </c>
      <c r="E4158" s="2">
        <v>16347</v>
      </c>
      <c r="G4158">
        <f>HYPERLINK("https://www.senat.fr/senateur-3eme-republique/rambaud_joseph0190r3.html", "rambaud_joseph0190r3")</f>
        <v>0</v>
      </c>
      <c r="H4158">
        <f>HYPERLINK("https://www.wikidata.org/wiki/Q3184402", "Q3184402")</f>
        <v>0</v>
      </c>
    </row>
    <row r="4159" spans="1:8">
      <c r="A4159" t="s">
        <v>4165</v>
      </c>
      <c r="B4159" t="s">
        <v>8566</v>
      </c>
      <c r="C4159" t="s">
        <v>7754</v>
      </c>
      <c r="D4159" t="s">
        <v>15108</v>
      </c>
      <c r="E4159" s="2">
        <v>16214</v>
      </c>
      <c r="G4159">
        <f>HYPERLINK("https://www.senat.fr/senateur-3eme-republique/rambaud_louis1750r3.html", "rambaud_louis1750r3")</f>
        <v>0</v>
      </c>
      <c r="H4159">
        <f>HYPERLINK("https://www.wikidata.org/wiki/Q3262985", "Q3262985")</f>
        <v>0</v>
      </c>
    </row>
    <row r="4160" spans="1:8">
      <c r="A4160" t="s">
        <v>4166</v>
      </c>
      <c r="B4160" t="s">
        <v>8567</v>
      </c>
      <c r="C4160" t="s">
        <v>11030</v>
      </c>
      <c r="D4160" t="s">
        <v>11452</v>
      </c>
      <c r="E4160" s="2">
        <v>5417</v>
      </c>
      <c r="F4160">
        <f>HYPERLINK("https://www2.assemblee-nationale.fr/sycomore/fiche/(num_dept)/6590", "6590.0")</f>
        <v>0</v>
      </c>
      <c r="G4160">
        <f>HYPERLINK("https://www.senat.fr/senateur-3eme-republique/rambourgt_eugene0229r3.html", "rambourgt_eugene0229r3")</f>
        <v>0</v>
      </c>
      <c r="H4160">
        <f>HYPERLINK("https://www.wikidata.org/wiki/Q3060124", "Q3060124")</f>
        <v>0</v>
      </c>
    </row>
    <row r="4161" spans="1:8">
      <c r="A4161" t="s">
        <v>4167</v>
      </c>
      <c r="B4161" t="s">
        <v>8568</v>
      </c>
      <c r="C4161" t="s">
        <v>11031</v>
      </c>
      <c r="D4161" t="s">
        <v>15109</v>
      </c>
      <c r="E4161" t="s">
        <v>16363</v>
      </c>
      <c r="F4161">
        <f>HYPERLINK("https://www2.assemblee-nationale.fr/sycomore/fiche/(num_dept)/8267", "8267.0")</f>
        <v>0</v>
      </c>
      <c r="H4161">
        <f>HYPERLINK("https://www.wikidata.org/wiki/Q8328738", "Q8328738")</f>
        <v>0</v>
      </c>
    </row>
    <row r="4162" spans="1:8">
      <c r="A4162" t="s">
        <v>4168</v>
      </c>
      <c r="B4162" t="s">
        <v>8569</v>
      </c>
      <c r="C4162" t="s">
        <v>8384</v>
      </c>
      <c r="D4162" t="s">
        <v>15110</v>
      </c>
      <c r="E4162" s="2">
        <v>13184</v>
      </c>
      <c r="F4162">
        <f>HYPERLINK("https://www2.assemblee-nationale.fr/sycomore/fiche/(num_dept)/6591", "6591.0")</f>
        <v>0</v>
      </c>
      <c r="G4162">
        <f>HYPERLINK("https://www.senat.fr/senateur-3eme-republique/rameil_pierre1090r3.html", "rameil_pierre1090r3")</f>
        <v>0</v>
      </c>
      <c r="H4162">
        <f>HYPERLINK("https://www.wikidata.org/wiki/Q3386748", "Q3386748")</f>
        <v>0</v>
      </c>
    </row>
    <row r="4163" spans="1:8">
      <c r="A4163" t="s">
        <v>4169</v>
      </c>
      <c r="B4163" t="s">
        <v>8570</v>
      </c>
      <c r="C4163" t="s">
        <v>11032</v>
      </c>
      <c r="D4163" t="s">
        <v>13794</v>
      </c>
      <c r="E4163" s="2">
        <v>5838</v>
      </c>
      <c r="F4163">
        <f>HYPERLINK("https://www2.assemblee-nationale.fr/sycomore/fiche/(num_dept)/6593", "6593.0")</f>
        <v>0</v>
      </c>
      <c r="H4163">
        <f>HYPERLINK("https://www.wikidata.org/wiki/Q3069386", "Q3069386")</f>
        <v>0</v>
      </c>
    </row>
    <row r="4164" spans="1:8">
      <c r="A4164" t="s">
        <v>4170</v>
      </c>
      <c r="B4164" t="s">
        <v>8570</v>
      </c>
      <c r="C4164" t="s">
        <v>10834</v>
      </c>
      <c r="D4164" t="s">
        <v>15111</v>
      </c>
      <c r="E4164" s="2">
        <v>18967</v>
      </c>
      <c r="F4164">
        <f>HYPERLINK("https://www2.assemblee-nationale.fr/sycomore/fiche/(num_dept)/6594", "6594.0")</f>
        <v>0</v>
      </c>
      <c r="H4164">
        <f>HYPERLINK("https://www.wikidata.org/wiki/Q3086299", "Q3086299")</f>
        <v>0</v>
      </c>
    </row>
    <row r="4165" spans="1:8">
      <c r="A4165" t="s">
        <v>4171</v>
      </c>
      <c r="B4165" t="s">
        <v>8571</v>
      </c>
      <c r="C4165" t="s">
        <v>9773</v>
      </c>
      <c r="D4165" t="s">
        <v>15112</v>
      </c>
      <c r="E4165" s="2">
        <v>32492</v>
      </c>
      <c r="F4165">
        <f>HYPERLINK("https://www2.assemblee-nationale.fr/sycomore/fiche/(num_dept)/6595", "6595.0")</f>
        <v>0</v>
      </c>
      <c r="H4165">
        <f>HYPERLINK("https://www.wikidata.org/wiki/Q2865300", "Q2865300")</f>
        <v>0</v>
      </c>
    </row>
    <row r="4166" spans="1:8">
      <c r="A4166" t="s">
        <v>4172</v>
      </c>
      <c r="B4166" t="s">
        <v>8572</v>
      </c>
      <c r="C4166" t="s">
        <v>10861</v>
      </c>
      <c r="D4166" t="s">
        <v>15113</v>
      </c>
      <c r="G4166">
        <f>HYPERLINK("https://www.senat.fr/senateur-3eme-republique/rampon_joachim0130r3.html", "rampon_joachim0130r3")</f>
        <v>0</v>
      </c>
      <c r="H4166">
        <f>HYPERLINK("https://www.wikidata.org/wiki/Q3179497", "Q3179497")</f>
        <v>0</v>
      </c>
    </row>
    <row r="4167" spans="1:8">
      <c r="A4167" t="s">
        <v>4173</v>
      </c>
      <c r="B4167" t="s">
        <v>8573</v>
      </c>
      <c r="C4167" t="s">
        <v>7008</v>
      </c>
      <c r="D4167" t="s">
        <v>15114</v>
      </c>
      <c r="E4167" t="s">
        <v>16364</v>
      </c>
      <c r="G4167">
        <f>HYPERLINK("https://www.senat.fr/senateur-3eme-republique/rampont_germain1525r3.html", "rampont_germain1525r3")</f>
        <v>0</v>
      </c>
      <c r="H4167">
        <f>HYPERLINK("https://www.wikidata.org/wiki/Q3104140", "Q3104140")</f>
        <v>0</v>
      </c>
    </row>
    <row r="4168" spans="1:8">
      <c r="A4168" t="s">
        <v>4174</v>
      </c>
      <c r="B4168" t="s">
        <v>8574</v>
      </c>
      <c r="C4168" t="s">
        <v>9773</v>
      </c>
      <c r="D4168" t="s">
        <v>15115</v>
      </c>
      <c r="E4168" s="2">
        <v>3145</v>
      </c>
      <c r="F4168">
        <f>HYPERLINK("https://www2.assemblee-nationale.fr/sycomore/fiche/(num_dept)/8247", "8247.0")</f>
        <v>0</v>
      </c>
      <c r="G4168">
        <f>HYPERLINK("https://www.senat.fr/senateur-3eme-republique/ranc_arthur1342r3.html", "ranc_arthur1342r3")</f>
        <v>0</v>
      </c>
      <c r="H4168">
        <f>HYPERLINK("https://www.wikidata.org/wiki/Q2021981", "Q2021981")</f>
        <v>0</v>
      </c>
    </row>
    <row r="4169" spans="1:8">
      <c r="A4169" t="s">
        <v>4175</v>
      </c>
      <c r="B4169" t="s">
        <v>8575</v>
      </c>
      <c r="C4169" t="s">
        <v>11033</v>
      </c>
      <c r="D4169" t="s">
        <v>15116</v>
      </c>
      <c r="E4169" t="s">
        <v>16365</v>
      </c>
      <c r="F4169">
        <f>HYPERLINK("https://www2.assemblee-nationale.fr/sycomore/fiche/(num_dept)/8028", "8028.0")</f>
        <v>0</v>
      </c>
      <c r="H4169">
        <f>HYPERLINK("https://www.wikidata.org/wiki/Q7127339", "Q7127339")</f>
        <v>0</v>
      </c>
    </row>
    <row r="4170" spans="1:8">
      <c r="A4170" t="s">
        <v>4176</v>
      </c>
      <c r="B4170" t="s">
        <v>8576</v>
      </c>
      <c r="C4170" t="s">
        <v>9337</v>
      </c>
      <c r="D4170" t="s">
        <v>15117</v>
      </c>
      <c r="E4170" s="2">
        <v>10387</v>
      </c>
      <c r="G4170">
        <f>HYPERLINK("https://www.senat.fr/senateur-3eme-republique/ranson_auguste1566r3.html", "ranson_auguste1566r3")</f>
        <v>0</v>
      </c>
      <c r="H4170">
        <f>HYPERLINK("https://www.wikidata.org/wiki/Q2871369", "Q2871369")</f>
        <v>0</v>
      </c>
    </row>
    <row r="4171" spans="1:8">
      <c r="A4171" t="s">
        <v>4177</v>
      </c>
      <c r="B4171" t="s">
        <v>8577</v>
      </c>
      <c r="C4171" t="s">
        <v>11034</v>
      </c>
      <c r="D4171" t="s">
        <v>15118</v>
      </c>
      <c r="E4171" t="s">
        <v>16366</v>
      </c>
      <c r="F4171">
        <f>HYPERLINK("https://www2.assemblee-nationale.fr/sycomore/fiche/(num_dept)/6600", "6600.0")</f>
        <v>0</v>
      </c>
      <c r="H4171">
        <f>HYPERLINK("https://www.wikidata.org/wiki/Q3047479", "Q3047479")</f>
        <v>0</v>
      </c>
    </row>
    <row r="4172" spans="1:8">
      <c r="A4172" t="s">
        <v>4178</v>
      </c>
      <c r="B4172" t="s">
        <v>8578</v>
      </c>
      <c r="C4172" t="s">
        <v>11035</v>
      </c>
      <c r="D4172" t="s">
        <v>15119</v>
      </c>
      <c r="E4172" s="2">
        <v>4702</v>
      </c>
      <c r="G4172">
        <f>HYPERLINK("https://www.senat.fr/senateur-3eme-republique/raquet_hemir1687r3.html", "raquet_hemir1687r3")</f>
        <v>0</v>
      </c>
      <c r="H4172">
        <f>HYPERLINK("https://www.wikidata.org/wiki/Q3131880", "Q3131880")</f>
        <v>0</v>
      </c>
    </row>
    <row r="4173" spans="1:8">
      <c r="A4173" t="s">
        <v>4179</v>
      </c>
      <c r="B4173" t="s">
        <v>8579</v>
      </c>
      <c r="C4173" t="s">
        <v>11036</v>
      </c>
      <c r="D4173" t="s">
        <v>15120</v>
      </c>
      <c r="E4173" t="s">
        <v>16367</v>
      </c>
      <c r="F4173">
        <f>HYPERLINK("https://www2.assemblee-nationale.fr/sycomore/fiche/(num_dept)/8029", "8029.0")</f>
        <v>0</v>
      </c>
      <c r="H4173">
        <f>HYPERLINK("https://www.wikidata.org/wiki/Q2896210", "Q2896210")</f>
        <v>0</v>
      </c>
    </row>
    <row r="4174" spans="1:8">
      <c r="A4174" t="s">
        <v>4180</v>
      </c>
      <c r="B4174" t="s">
        <v>8579</v>
      </c>
      <c r="C4174" t="s">
        <v>11037</v>
      </c>
      <c r="D4174" t="s">
        <v>15121</v>
      </c>
      <c r="E4174" t="s">
        <v>16368</v>
      </c>
      <c r="F4174">
        <f>HYPERLINK("https://www2.assemblee-nationale.fr/sycomore/fiche/(num_dept)/6605", "6605.0")</f>
        <v>0</v>
      </c>
      <c r="H4174">
        <f>HYPERLINK("https://www.wikidata.org/wiki/Q2935048", "Q2935048")</f>
        <v>0</v>
      </c>
    </row>
    <row r="4175" spans="1:8">
      <c r="A4175" t="s">
        <v>4181</v>
      </c>
      <c r="B4175" t="s">
        <v>8580</v>
      </c>
      <c r="C4175" t="s">
        <v>9471</v>
      </c>
      <c r="D4175" t="s">
        <v>15122</v>
      </c>
      <c r="E4175" t="s">
        <v>16369</v>
      </c>
      <c r="F4175">
        <f>HYPERLINK("https://www2.assemblee-nationale.fr/sycomore/fiche/(num_dept)/8535", "8535.0")</f>
        <v>0</v>
      </c>
      <c r="H4175">
        <f>HYPERLINK("https://www.wikidata.org/wiki/Q16026394", "Q16026394")</f>
        <v>0</v>
      </c>
    </row>
    <row r="4176" spans="1:8">
      <c r="A4176" t="s">
        <v>4182</v>
      </c>
      <c r="B4176" t="s">
        <v>8580</v>
      </c>
      <c r="C4176" t="s">
        <v>7342</v>
      </c>
      <c r="D4176" t="s">
        <v>15123</v>
      </c>
      <c r="E4176" t="s">
        <v>16370</v>
      </c>
      <c r="F4176">
        <f>HYPERLINK("https://www2.assemblee-nationale.fr/sycomore/fiche/(num_dept)/6609", "6609.0")</f>
        <v>0</v>
      </c>
      <c r="H4176">
        <f>HYPERLINK("https://www.wikidata.org/wiki/Q16026393", "Q16026393")</f>
        <v>0</v>
      </c>
    </row>
    <row r="4177" spans="1:8">
      <c r="A4177" t="s">
        <v>4183</v>
      </c>
      <c r="B4177" t="s">
        <v>8581</v>
      </c>
      <c r="C4177" t="s">
        <v>10550</v>
      </c>
      <c r="D4177" t="s">
        <v>12718</v>
      </c>
      <c r="E4177" s="2">
        <v>12579</v>
      </c>
      <c r="G4177">
        <f>HYPERLINK("https://www.senat.fr/senateur-3eme-republique/ratier_antony0259r3.html", "ratier_antony0259r3")</f>
        <v>0</v>
      </c>
      <c r="H4177">
        <f>HYPERLINK("https://www.wikidata.org/wiki/Q2342450", "Q2342450")</f>
        <v>0</v>
      </c>
    </row>
    <row r="4178" spans="1:8">
      <c r="A4178" t="s">
        <v>4184</v>
      </c>
      <c r="B4178" t="s">
        <v>8582</v>
      </c>
      <c r="C4178" t="s">
        <v>11038</v>
      </c>
      <c r="D4178" t="s">
        <v>15124</v>
      </c>
      <c r="E4178" s="2">
        <v>25714</v>
      </c>
      <c r="F4178">
        <f>HYPERLINK("https://www2.assemblee-nationale.fr/sycomore/fiche/(num_dept)/2220", "2220.0")</f>
        <v>0</v>
      </c>
      <c r="H4178">
        <f>HYPERLINK("https://www.wikidata.org/wiki/Q16025536", "Q16025536")</f>
        <v>0</v>
      </c>
    </row>
    <row r="4179" spans="1:8">
      <c r="A4179" t="s">
        <v>4185</v>
      </c>
      <c r="B4179" t="s">
        <v>8583</v>
      </c>
      <c r="C4179" t="s">
        <v>11039</v>
      </c>
      <c r="D4179" t="s">
        <v>15125</v>
      </c>
      <c r="E4179" s="2">
        <v>20174</v>
      </c>
      <c r="F4179">
        <f>HYPERLINK("https://www2.assemblee-nationale.fr/sycomore/fiche/(num_dept)/6610", "6610.0")</f>
        <v>0</v>
      </c>
      <c r="H4179">
        <f>HYPERLINK("https://www.wikidata.org/wiki/Q3060126", "Q3060126")</f>
        <v>0</v>
      </c>
    </row>
    <row r="4180" spans="1:8">
      <c r="A4180" t="s">
        <v>4186</v>
      </c>
      <c r="B4180" t="s">
        <v>8584</v>
      </c>
      <c r="C4180" t="s">
        <v>10012</v>
      </c>
      <c r="D4180" t="s">
        <v>15126</v>
      </c>
      <c r="E4180" s="2">
        <v>1524</v>
      </c>
      <c r="F4180">
        <f>HYPERLINK("https://www2.assemblee-nationale.fr/sycomore/fiche/(num_dept)/6613", "6613.0")</f>
        <v>0</v>
      </c>
      <c r="H4180">
        <f>HYPERLINK("https://www.wikidata.org/wiki/Q3121306", "Q3121306")</f>
        <v>0</v>
      </c>
    </row>
    <row r="4181" spans="1:8">
      <c r="A4181" t="s">
        <v>4187</v>
      </c>
      <c r="B4181" t="s">
        <v>8584</v>
      </c>
      <c r="C4181" t="s">
        <v>9842</v>
      </c>
      <c r="D4181" t="s">
        <v>15127</v>
      </c>
      <c r="E4181" s="2">
        <v>5892</v>
      </c>
      <c r="F4181">
        <f>HYPERLINK("https://www2.assemblee-nationale.fr/sycomore/fiche/(num_dept)/6614", "6614.0")</f>
        <v>0</v>
      </c>
      <c r="H4181">
        <f>HYPERLINK("https://www.wikidata.org/wiki/Q3289321", "Q3289321")</f>
        <v>0</v>
      </c>
    </row>
    <row r="4182" spans="1:8">
      <c r="A4182" t="s">
        <v>4188</v>
      </c>
      <c r="B4182" t="s">
        <v>8585</v>
      </c>
      <c r="C4182" t="s">
        <v>9429</v>
      </c>
      <c r="D4182" s="2">
        <v>1110</v>
      </c>
      <c r="E4182" s="2">
        <v>28217</v>
      </c>
      <c r="F4182">
        <f>HYPERLINK("https://www2.assemblee-nationale.fr/sycomore/fiche/(num_dept)/6618", "6618.0")</f>
        <v>0</v>
      </c>
      <c r="H4182">
        <f>HYPERLINK("https://www.wikidata.org/wiki/Q2833992", "Q2833992")</f>
        <v>0</v>
      </c>
    </row>
    <row r="4183" spans="1:8">
      <c r="A4183" t="s">
        <v>4189</v>
      </c>
      <c r="B4183" t="s">
        <v>8586</v>
      </c>
      <c r="C4183" t="s">
        <v>10739</v>
      </c>
      <c r="D4183" t="s">
        <v>15128</v>
      </c>
      <c r="E4183" s="2">
        <v>21258</v>
      </c>
      <c r="F4183">
        <f>HYPERLINK("https://www2.assemblee-nationale.fr/sycomore/fiche/(num_dept)/6619", "6619.0")</f>
        <v>0</v>
      </c>
      <c r="H4183">
        <f>HYPERLINK("https://www.wikidata.org/wiki/Q3179710", "Q3179710")</f>
        <v>0</v>
      </c>
    </row>
    <row r="4184" spans="1:8">
      <c r="A4184" t="s">
        <v>4190</v>
      </c>
      <c r="B4184" t="s">
        <v>8587</v>
      </c>
      <c r="C4184" t="s">
        <v>9533</v>
      </c>
      <c r="D4184" t="s">
        <v>15129</v>
      </c>
      <c r="E4184" s="2">
        <v>25933</v>
      </c>
      <c r="F4184">
        <f>HYPERLINK("https://www2.assemblee-nationale.fr/sycomore/fiche/(num_dept)/6621", "6621.0")</f>
        <v>0</v>
      </c>
      <c r="H4184">
        <f>HYPERLINK("https://www.wikidata.org/wiki/Q15642550", "Q15642550")</f>
        <v>0</v>
      </c>
    </row>
    <row r="4185" spans="1:8">
      <c r="A4185" t="s">
        <v>4191</v>
      </c>
      <c r="B4185" t="s">
        <v>8588</v>
      </c>
      <c r="C4185" t="s">
        <v>11040</v>
      </c>
      <c r="D4185" t="s">
        <v>15130</v>
      </c>
      <c r="E4185" s="2">
        <v>6677</v>
      </c>
      <c r="F4185">
        <f>HYPERLINK("https://www2.assemblee-nationale.fr/sycomore/fiche/(num_dept)/6623", "6623.0")</f>
        <v>0</v>
      </c>
      <c r="H4185">
        <f>HYPERLINK("https://www.wikidata.org/wiki/Q3121307", "Q3121307")</f>
        <v>0</v>
      </c>
    </row>
    <row r="4186" spans="1:8">
      <c r="A4186" t="s">
        <v>4192</v>
      </c>
      <c r="B4186" t="s">
        <v>8589</v>
      </c>
      <c r="C4186" t="s">
        <v>11041</v>
      </c>
      <c r="D4186" t="s">
        <v>15131</v>
      </c>
      <c r="E4186" s="2">
        <v>11517</v>
      </c>
      <c r="F4186">
        <f>HYPERLINK("https://www2.assemblee-nationale.fr/sycomore/fiche/(num_dept)/6625", "6625.0")</f>
        <v>0</v>
      </c>
      <c r="H4186">
        <f>HYPERLINK("https://www.wikidata.org/wiki/Q16026396", "Q16026396")</f>
        <v>0</v>
      </c>
    </row>
    <row r="4187" spans="1:8">
      <c r="A4187" t="s">
        <v>4193</v>
      </c>
      <c r="B4187" t="s">
        <v>8590</v>
      </c>
      <c r="C4187" t="s">
        <v>7782</v>
      </c>
      <c r="D4187" t="s">
        <v>15132</v>
      </c>
      <c r="E4187" s="2">
        <v>11416</v>
      </c>
      <c r="G4187">
        <f>HYPERLINK("https://www.senat.fr/senateur-3eme-republique/raymond_leon1779r3.html", "raymond_leon1779r3")</f>
        <v>0</v>
      </c>
      <c r="H4187">
        <f>HYPERLINK("https://www.wikidata.org/wiki/Q3271287", "Q3271287")</f>
        <v>0</v>
      </c>
    </row>
    <row r="4188" spans="1:8">
      <c r="A4188" t="s">
        <v>4194</v>
      </c>
      <c r="B4188" t="s">
        <v>8591</v>
      </c>
      <c r="C4188" t="s">
        <v>6184</v>
      </c>
      <c r="D4188" t="s">
        <v>15133</v>
      </c>
      <c r="E4188" s="2">
        <v>1124</v>
      </c>
      <c r="F4188">
        <f>HYPERLINK("https://www2.assemblee-nationale.fr/sycomore/fiche/(num_dept)/6631", "6631.0")</f>
        <v>0</v>
      </c>
      <c r="G4188">
        <f>HYPERLINK("https://www.senat.fr/senateur-3eme-republique/raynal_david0206r3.html", "raynal_david0206r3")</f>
        <v>0</v>
      </c>
      <c r="H4188">
        <f>HYPERLINK("https://www.wikidata.org/wiki/Q3018665", "Q3018665")</f>
        <v>0</v>
      </c>
    </row>
    <row r="4189" spans="1:8">
      <c r="A4189" t="s">
        <v>4195</v>
      </c>
      <c r="B4189" t="s">
        <v>8591</v>
      </c>
      <c r="C4189" t="s">
        <v>6184</v>
      </c>
      <c r="D4189" t="s">
        <v>15134</v>
      </c>
      <c r="E4189" s="2">
        <v>1124</v>
      </c>
      <c r="H4189">
        <f>HYPERLINK("https://www.wikidata.org/wiki/Q3018665", "Q3018665")</f>
        <v>0</v>
      </c>
    </row>
    <row r="4190" spans="1:8">
      <c r="A4190" t="s">
        <v>4196</v>
      </c>
      <c r="B4190" t="s">
        <v>8592</v>
      </c>
      <c r="C4190" t="s">
        <v>11042</v>
      </c>
      <c r="D4190" t="s">
        <v>15135</v>
      </c>
      <c r="E4190" s="2">
        <v>14046</v>
      </c>
      <c r="F4190">
        <f>HYPERLINK("https://www2.assemblee-nationale.fr/sycomore/fiche/(num_dept)/6633", "6633.0")</f>
        <v>0</v>
      </c>
      <c r="G4190">
        <f>HYPERLINK("https://www.senat.fr/senateur-3eme-republique/raynaldy_eugene0290r3.html", "raynaldy_eugene0290r3")</f>
        <v>0</v>
      </c>
      <c r="H4190">
        <f>HYPERLINK("https://www.wikidata.org/wiki/Q3060128", "Q3060128")</f>
        <v>0</v>
      </c>
    </row>
    <row r="4191" spans="1:8">
      <c r="A4191" t="s">
        <v>4197</v>
      </c>
      <c r="B4191" t="s">
        <v>8593</v>
      </c>
      <c r="C4191" t="s">
        <v>11043</v>
      </c>
      <c r="D4191" t="s">
        <v>15136</v>
      </c>
      <c r="F4191">
        <f>HYPERLINK("https://www2.assemblee-nationale.fr/sycomore/fiche/(num_dept)/6634", "6634.0")</f>
        <v>0</v>
      </c>
      <c r="H4191">
        <f>HYPERLINK("https://www.wikidata.org/wiki/Q16026058", "Q16026058")</f>
        <v>0</v>
      </c>
    </row>
    <row r="4192" spans="1:8">
      <c r="A4192" t="s">
        <v>4198</v>
      </c>
      <c r="B4192" t="s">
        <v>8593</v>
      </c>
      <c r="C4192" t="s">
        <v>11044</v>
      </c>
      <c r="D4192" t="s">
        <v>15137</v>
      </c>
      <c r="E4192" s="2">
        <v>9967</v>
      </c>
      <c r="F4192">
        <f>HYPERLINK("https://www2.assemblee-nationale.fr/sycomore/fiche/(num_dept)/6635", "6635.0")</f>
        <v>0</v>
      </c>
      <c r="H4192">
        <f>HYPERLINK("https://www.wikidata.org/wiki/Q2441215", "Q2441215")</f>
        <v>0</v>
      </c>
    </row>
    <row r="4193" spans="1:8">
      <c r="A4193" t="s">
        <v>4199</v>
      </c>
      <c r="B4193" t="s">
        <v>8594</v>
      </c>
      <c r="C4193" t="s">
        <v>5967</v>
      </c>
      <c r="D4193" t="s">
        <v>15138</v>
      </c>
      <c r="E4193" s="2">
        <v>22133</v>
      </c>
      <c r="G4193">
        <f>HYPERLINK("https://www.senat.fr/senateur-3eme-republique/raynaud_clement0278r3.html", "raynaud_clement0278r3")</f>
        <v>0</v>
      </c>
      <c r="H4193">
        <f>HYPERLINK("https://www.wikidata.org/wiki/Q2980676", "Q2980676")</f>
        <v>0</v>
      </c>
    </row>
    <row r="4194" spans="1:8">
      <c r="A4194" t="s">
        <v>4200</v>
      </c>
      <c r="B4194" t="s">
        <v>8595</v>
      </c>
      <c r="C4194" t="s">
        <v>11045</v>
      </c>
      <c r="D4194" t="s">
        <v>15139</v>
      </c>
      <c r="E4194" s="2">
        <v>5765</v>
      </c>
      <c r="F4194">
        <f>HYPERLINK("https://www2.assemblee-nationale.fr/sycomore/fiche/(num_dept)/6636", "6636.0")</f>
        <v>0</v>
      </c>
      <c r="G4194">
        <f>HYPERLINK("https://www.senat.fr/senateur-3eme-republique/razimbaud_jules0239r3.html", "razimbaud_jules0239r3")</f>
        <v>0</v>
      </c>
      <c r="H4194">
        <f>HYPERLINK("https://www.wikidata.org/wiki/Q3188871", "Q3188871")</f>
        <v>0</v>
      </c>
    </row>
    <row r="4195" spans="1:8">
      <c r="A4195" t="s">
        <v>4201</v>
      </c>
      <c r="B4195" t="s">
        <v>8595</v>
      </c>
      <c r="C4195" t="s">
        <v>11046</v>
      </c>
      <c r="D4195" t="s">
        <v>15140</v>
      </c>
      <c r="E4195" s="2">
        <v>21717</v>
      </c>
      <c r="F4195">
        <f>HYPERLINK("https://www2.assemblee-nationale.fr/sycomore/fiche/(num_dept)/6637", "6637.0")</f>
        <v>0</v>
      </c>
      <c r="H4195">
        <f>HYPERLINK("https://www.wikidata.org/wiki/Q3188327", "Q3188327")</f>
        <v>0</v>
      </c>
    </row>
    <row r="4196" spans="1:8">
      <c r="A4196" t="s">
        <v>4202</v>
      </c>
      <c r="B4196" t="s">
        <v>8596</v>
      </c>
      <c r="C4196" t="s">
        <v>6895</v>
      </c>
      <c r="D4196" t="s">
        <v>15141</v>
      </c>
      <c r="E4196" s="2">
        <v>7233</v>
      </c>
      <c r="G4196">
        <f>HYPERLINK("https://www.senat.fr/senateur-3eme-republique/real_gabriel1352r3.html", "real_gabriel1352r3")</f>
        <v>0</v>
      </c>
      <c r="H4196">
        <f>HYPERLINK("https://www.wikidata.org/wiki/Q3093943", "Q3093943")</f>
        <v>0</v>
      </c>
    </row>
    <row r="4197" spans="1:8">
      <c r="A4197" t="s">
        <v>4203</v>
      </c>
      <c r="B4197" t="s">
        <v>8597</v>
      </c>
      <c r="C4197" t="s">
        <v>9801</v>
      </c>
      <c r="D4197" t="s">
        <v>14236</v>
      </c>
      <c r="E4197" s="2">
        <v>14260</v>
      </c>
      <c r="F4197">
        <f>HYPERLINK("https://www2.assemblee-nationale.fr/sycomore/fiche/(num_dept)/6641", "6641.0")</f>
        <v>0</v>
      </c>
      <c r="G4197">
        <f>HYPERLINK("https://www.senat.fr/senateur-3eme-republique/reboul_camille0252r3.html", "reboul_camille0252r3")</f>
        <v>0</v>
      </c>
      <c r="H4197">
        <f>HYPERLINK("https://www.wikidata.org/wiki/Q2935052", "Q2935052")</f>
        <v>0</v>
      </c>
    </row>
    <row r="4198" spans="1:8">
      <c r="A4198" t="s">
        <v>4204</v>
      </c>
      <c r="B4198" t="s">
        <v>8598</v>
      </c>
      <c r="C4198" t="s">
        <v>11047</v>
      </c>
      <c r="D4198" t="s">
        <v>15142</v>
      </c>
      <c r="E4198" s="2">
        <v>1944</v>
      </c>
      <c r="F4198">
        <f>HYPERLINK("https://www2.assemblee-nationale.fr/sycomore/fiche/(num_dept)/6642", "6642.0")</f>
        <v>0</v>
      </c>
      <c r="H4198">
        <f>HYPERLINK("https://www.wikidata.org/wiki/Q3060129", "Q3060129")</f>
        <v>0</v>
      </c>
    </row>
    <row r="4199" spans="1:8">
      <c r="A4199" t="s">
        <v>4205</v>
      </c>
      <c r="B4199" t="s">
        <v>8599</v>
      </c>
      <c r="C4199" t="s">
        <v>11048</v>
      </c>
      <c r="D4199" t="s">
        <v>15143</v>
      </c>
      <c r="E4199" s="2">
        <v>10409</v>
      </c>
      <c r="F4199">
        <f>HYPERLINK("https://www2.assemblee-nationale.fr/sycomore/fiche/(num_dept)/6647", "6647.0")</f>
        <v>0</v>
      </c>
      <c r="H4199">
        <f>HYPERLINK("https://www.wikidata.org/wiki/Q16026398", "Q16026398")</f>
        <v>0</v>
      </c>
    </row>
    <row r="4200" spans="1:8">
      <c r="A4200" t="s">
        <v>4206</v>
      </c>
      <c r="B4200" t="s">
        <v>8600</v>
      </c>
      <c r="C4200" t="s">
        <v>7314</v>
      </c>
      <c r="D4200" t="s">
        <v>15144</v>
      </c>
      <c r="E4200" s="2">
        <v>8756</v>
      </c>
      <c r="G4200">
        <f>HYPERLINK("https://www.senat.fr/senateur-3eme-republique/regismanset_jacques1588r3.html", "regismanset_jacques1588r3")</f>
        <v>0</v>
      </c>
      <c r="H4200">
        <f>HYPERLINK("https://www.wikidata.org/wiki/Q3159847", "Q3159847")</f>
        <v>0</v>
      </c>
    </row>
    <row r="4201" spans="1:8">
      <c r="A4201" t="s">
        <v>4207</v>
      </c>
      <c r="B4201" t="s">
        <v>8601</v>
      </c>
      <c r="C4201" t="s">
        <v>9355</v>
      </c>
      <c r="D4201" t="s">
        <v>15145</v>
      </c>
      <c r="E4201" s="2">
        <v>5261</v>
      </c>
      <c r="G4201">
        <f>HYPERLINK("https://www.senat.fr/senateur-3eme-republique/regnault_de_savigny_de_moncorps_charles1261r3.html", "regnault_de_savigny_de_moncorps_charles1261r3")</f>
        <v>0</v>
      </c>
      <c r="H4201">
        <f>HYPERLINK("https://www.wikidata.org/wiki/Q2960167", "Q2960167")</f>
        <v>0</v>
      </c>
    </row>
    <row r="4202" spans="1:8">
      <c r="A4202" t="s">
        <v>4208</v>
      </c>
      <c r="B4202" t="s">
        <v>8602</v>
      </c>
      <c r="C4202" t="s">
        <v>10439</v>
      </c>
      <c r="D4202" t="s">
        <v>15146</v>
      </c>
      <c r="E4202" s="2">
        <v>8594</v>
      </c>
      <c r="F4202">
        <f>HYPERLINK("https://www2.assemblee-nationale.fr/sycomore/fiche/(num_dept)/6651", "6651.0")</f>
        <v>0</v>
      </c>
      <c r="H4202">
        <f>HYPERLINK("https://www.wikidata.org/wiki/Q16026400", "Q16026400")</f>
        <v>0</v>
      </c>
    </row>
    <row r="4203" spans="1:8">
      <c r="A4203" t="s">
        <v>4209</v>
      </c>
      <c r="B4203" t="s">
        <v>8603</v>
      </c>
      <c r="C4203" t="s">
        <v>6686</v>
      </c>
      <c r="D4203" t="s">
        <v>15147</v>
      </c>
      <c r="E4203" s="2">
        <v>10998</v>
      </c>
      <c r="F4203">
        <f>HYPERLINK("https://www2.assemblee-nationale.fr/sycomore/fiche/(num_dept)/6652", "6652.0")</f>
        <v>0</v>
      </c>
      <c r="H4203">
        <f>HYPERLINK("https://www.wikidata.org/wiki/Q16026401", "Q16026401")</f>
        <v>0</v>
      </c>
    </row>
    <row r="4204" spans="1:8">
      <c r="A4204" t="s">
        <v>4210</v>
      </c>
      <c r="B4204" t="s">
        <v>8604</v>
      </c>
      <c r="C4204" t="s">
        <v>10070</v>
      </c>
      <c r="D4204" t="s">
        <v>15148</v>
      </c>
      <c r="E4204" s="2">
        <v>21393</v>
      </c>
      <c r="G4204">
        <f>HYPERLINK("https://www.senat.fr/senateur-3eme-republique/regnier_marcel0044r3.html", "regnier_marcel0044r3")</f>
        <v>0</v>
      </c>
      <c r="H4204">
        <f>HYPERLINK("https://www.wikidata.org/wiki/Q3289373", "Q3289373")</f>
        <v>0</v>
      </c>
    </row>
    <row r="4205" spans="1:8">
      <c r="A4205" t="s">
        <v>4211</v>
      </c>
      <c r="B4205" t="s">
        <v>8603</v>
      </c>
      <c r="C4205" t="s">
        <v>9324</v>
      </c>
      <c r="D4205" t="s">
        <v>15149</v>
      </c>
      <c r="E4205" s="2">
        <v>9776</v>
      </c>
      <c r="F4205">
        <f>HYPERLINK("https://www2.assemblee-nationale.fr/sycomore/fiche/(num_dept)/6653", "6653.0")</f>
        <v>0</v>
      </c>
      <c r="H4205">
        <f>HYPERLINK("https://www.wikidata.org/wiki/Q7127416", "Q7127416")</f>
        <v>0</v>
      </c>
    </row>
    <row r="4206" spans="1:8">
      <c r="A4206" t="s">
        <v>4212</v>
      </c>
      <c r="B4206" t="s">
        <v>8605</v>
      </c>
      <c r="C4206" t="s">
        <v>9355</v>
      </c>
      <c r="D4206" t="s">
        <v>15150</v>
      </c>
      <c r="E4206" s="2">
        <v>20632</v>
      </c>
      <c r="F4206">
        <f>HYPERLINK("https://www2.assemblee-nationale.fr/sycomore/fiche/(num_dept)/6656", "6656.0")</f>
        <v>0</v>
      </c>
      <c r="G4206">
        <f>HYPERLINK("https://www.senat.fr/senateur-3eme-republique/reibel_charles1672r3.html", "reibel_charles1672r3")</f>
        <v>0</v>
      </c>
      <c r="H4206">
        <f>HYPERLINK("https://www.wikidata.org/wiki/Q2960097", "Q2960097")</f>
        <v>0</v>
      </c>
    </row>
    <row r="4207" spans="1:8">
      <c r="A4207" t="s">
        <v>4213</v>
      </c>
      <c r="B4207" t="s">
        <v>8606</v>
      </c>
      <c r="C4207" t="s">
        <v>11049</v>
      </c>
      <c r="D4207" t="s">
        <v>15151</v>
      </c>
      <c r="E4207" t="s">
        <v>16371</v>
      </c>
      <c r="F4207">
        <f>HYPERLINK("https://www2.assemblee-nationale.fr/sycomore/fiche/(num_dept)/6661", "6661.0")</f>
        <v>0</v>
      </c>
      <c r="H4207">
        <f>HYPERLINK("https://www.wikidata.org/wiki/Q3426803", "Q3426803")</f>
        <v>0</v>
      </c>
    </row>
    <row r="4208" spans="1:8">
      <c r="A4208" t="s">
        <v>4214</v>
      </c>
      <c r="B4208" t="s">
        <v>8606</v>
      </c>
      <c r="C4208" t="s">
        <v>5096</v>
      </c>
      <c r="D4208" t="s">
        <v>12856</v>
      </c>
      <c r="E4208" t="s">
        <v>16372</v>
      </c>
      <c r="F4208">
        <f>HYPERLINK("https://www2.assemblee-nationale.fr/sycomore/fiche/(num_dept)/6658", "6658.0")</f>
        <v>0</v>
      </c>
      <c r="H4208">
        <f>HYPERLINK("https://www.wikidata.org/wiki/Q2847497", "Q2847497")</f>
        <v>0</v>
      </c>
    </row>
    <row r="4209" spans="1:8">
      <c r="A4209" t="s">
        <v>4215</v>
      </c>
      <c r="B4209" t="s">
        <v>8606</v>
      </c>
      <c r="C4209" t="s">
        <v>9602</v>
      </c>
      <c r="D4209" t="s">
        <v>15152</v>
      </c>
      <c r="E4209" s="2">
        <v>16117</v>
      </c>
      <c r="F4209">
        <f>HYPERLINK("https://www2.assemblee-nationale.fr/sycomore/fiche/(num_dept)/6662", "6662.0")</f>
        <v>0</v>
      </c>
      <c r="H4209">
        <f>HYPERLINK("https://www.wikidata.org/wiki/Q3570779", "Q3570779")</f>
        <v>0</v>
      </c>
    </row>
    <row r="4210" spans="1:8">
      <c r="A4210" t="s">
        <v>4216</v>
      </c>
      <c r="B4210" t="s">
        <v>8606</v>
      </c>
      <c r="C4210" t="s">
        <v>10064</v>
      </c>
      <c r="D4210" t="s">
        <v>12635</v>
      </c>
      <c r="F4210">
        <f>HYPERLINK("https://www2.assemblee-nationale.fr/sycomore/fiche/(num_dept)/6657", "6657.0")</f>
        <v>0</v>
      </c>
      <c r="H4210">
        <f>HYPERLINK("https://www.wikidata.org/wiki/Q2844702", "Q2844702")</f>
        <v>0</v>
      </c>
    </row>
    <row r="4211" spans="1:8">
      <c r="A4211" t="s">
        <v>4217</v>
      </c>
      <c r="B4211" t="s">
        <v>8606</v>
      </c>
      <c r="C4211" t="s">
        <v>9320</v>
      </c>
      <c r="D4211" t="s">
        <v>15153</v>
      </c>
      <c r="E4211" s="2">
        <v>6381</v>
      </c>
      <c r="F4211">
        <f>HYPERLINK("https://www2.assemblee-nationale.fr/sycomore/fiche/(num_dept)/6660", "6660.0")</f>
        <v>0</v>
      </c>
      <c r="H4211">
        <f>HYPERLINK("https://www.wikidata.org/wiki/Q3426804", "Q3426804")</f>
        <v>0</v>
      </c>
    </row>
    <row r="4212" spans="1:8">
      <c r="A4212" t="s">
        <v>4218</v>
      </c>
      <c r="B4212" t="s">
        <v>8606</v>
      </c>
      <c r="C4212" t="s">
        <v>6864</v>
      </c>
      <c r="D4212" t="s">
        <v>15154</v>
      </c>
      <c r="E4212" s="2">
        <v>26218</v>
      </c>
      <c r="F4212">
        <f>HYPERLINK("https://www2.assemblee-nationale.fr/sycomore/fiche/(num_dept)/6659", "6659.0")</f>
        <v>0</v>
      </c>
      <c r="H4212">
        <f>HYPERLINK("https://www.wikidata.org/wiki/Q3085660", "Q3085660")</f>
        <v>0</v>
      </c>
    </row>
    <row r="4213" spans="1:8">
      <c r="A4213" t="s">
        <v>4219</v>
      </c>
      <c r="B4213" t="s">
        <v>8607</v>
      </c>
      <c r="C4213" t="s">
        <v>9373</v>
      </c>
      <c r="D4213" t="s">
        <v>15155</v>
      </c>
      <c r="E4213" s="2">
        <v>7779</v>
      </c>
      <c r="F4213">
        <f>HYPERLINK("https://www2.assemblee-nationale.fr/sycomore/fiche/(num_dept)/6663", "6663.0")</f>
        <v>0</v>
      </c>
      <c r="H4213">
        <f>HYPERLINK("https://www.wikidata.org/wiki/Q172161", "Q172161")</f>
        <v>0</v>
      </c>
    </row>
    <row r="4214" spans="1:8">
      <c r="A4214" t="s">
        <v>4220</v>
      </c>
      <c r="B4214" t="s">
        <v>8607</v>
      </c>
      <c r="C4214" t="s">
        <v>10211</v>
      </c>
      <c r="D4214" t="s">
        <v>15156</v>
      </c>
      <c r="E4214" s="2">
        <v>10529</v>
      </c>
      <c r="F4214">
        <f>HYPERLINK("https://www2.assemblee-nationale.fr/sycomore/fiche/(num_dept)/6664", "6664.0")</f>
        <v>0</v>
      </c>
      <c r="H4214">
        <f>HYPERLINK("https://www.wikidata.org/wiki/Q202790", "Q202790")</f>
        <v>0</v>
      </c>
    </row>
    <row r="4215" spans="1:8">
      <c r="A4215" t="s">
        <v>4221</v>
      </c>
      <c r="B4215" t="s">
        <v>8608</v>
      </c>
      <c r="C4215" t="s">
        <v>11050</v>
      </c>
      <c r="D4215" t="s">
        <v>14757</v>
      </c>
      <c r="E4215" t="s">
        <v>15964</v>
      </c>
      <c r="F4215">
        <f>HYPERLINK("https://www2.assemblee-nationale.fr/sycomore/fiche/(num_dept)/8030", "8030.0")</f>
        <v>0</v>
      </c>
      <c r="H4215">
        <f>HYPERLINK("https://www.wikidata.org/wiki/Q16026403", "Q16026403")</f>
        <v>0</v>
      </c>
    </row>
    <row r="4216" spans="1:8">
      <c r="A4216" t="s">
        <v>4222</v>
      </c>
      <c r="B4216" t="s">
        <v>8609</v>
      </c>
      <c r="C4216" t="s">
        <v>11051</v>
      </c>
      <c r="D4216" t="s">
        <v>15157</v>
      </c>
      <c r="E4216" s="2">
        <v>31758</v>
      </c>
      <c r="F4216">
        <f>HYPERLINK("https://www2.assemblee-nationale.fr/sycomore/fiche/(num_dept)/6669", "6669.0")</f>
        <v>0</v>
      </c>
      <c r="H4216">
        <f>HYPERLINK("https://www.wikidata.org/wiki/Q3168121", "Q3168121")</f>
        <v>0</v>
      </c>
    </row>
    <row r="4217" spans="1:8">
      <c r="A4217" t="s">
        <v>4223</v>
      </c>
      <c r="B4217" t="s">
        <v>8610</v>
      </c>
      <c r="C4217" t="s">
        <v>7782</v>
      </c>
      <c r="D4217" t="s">
        <v>15158</v>
      </c>
      <c r="E4217" s="2">
        <v>8392</v>
      </c>
      <c r="G4217">
        <f>HYPERLINK("https://www.senat.fr/senateur-3eme-republique/renard_leon0642r3.html", "renard_leon0642r3")</f>
        <v>0</v>
      </c>
      <c r="H4217">
        <f>HYPERLINK("https://www.wikidata.org/wiki/Q3271289", "Q3271289")</f>
        <v>0</v>
      </c>
    </row>
    <row r="4218" spans="1:8">
      <c r="A4218" t="s">
        <v>4224</v>
      </c>
      <c r="B4218" t="s">
        <v>8611</v>
      </c>
      <c r="C4218" t="s">
        <v>11052</v>
      </c>
      <c r="D4218" t="s">
        <v>15159</v>
      </c>
      <c r="E4218" s="2">
        <v>5849</v>
      </c>
      <c r="F4218">
        <f>HYPERLINK("https://www2.assemblee-nationale.fr/sycomore/fiche/(num_dept)/6672", "6672.0")</f>
        <v>0</v>
      </c>
      <c r="H4218">
        <f>HYPERLINK("https://www.wikidata.org/wiki/Q16026404", "Q16026404")</f>
        <v>0</v>
      </c>
    </row>
    <row r="4219" spans="1:8">
      <c r="A4219" t="s">
        <v>4225</v>
      </c>
      <c r="B4219" t="s">
        <v>8611</v>
      </c>
      <c r="C4219" t="s">
        <v>11053</v>
      </c>
      <c r="D4219" t="s">
        <v>15160</v>
      </c>
      <c r="E4219" s="2">
        <v>16356</v>
      </c>
      <c r="F4219">
        <f>HYPERLINK("https://www2.assemblee-nationale.fr/sycomore/fiche/(num_dept)/6671", "6671.0")</f>
        <v>0</v>
      </c>
      <c r="H4219">
        <f>HYPERLINK("https://www.wikidata.org/wiki/Q2848513", "Q2848513")</f>
        <v>0</v>
      </c>
    </row>
    <row r="4220" spans="1:8">
      <c r="A4220" t="s">
        <v>4226</v>
      </c>
      <c r="B4220" t="s">
        <v>8612</v>
      </c>
      <c r="C4220" t="s">
        <v>8006</v>
      </c>
      <c r="D4220" t="s">
        <v>15161</v>
      </c>
      <c r="E4220" t="s">
        <v>16373</v>
      </c>
      <c r="G4220">
        <f>HYPERLINK("https://www.senat.fr/senateur-3eme-republique/renaud_michel1064r3.html", "renaud_michel1064r3")</f>
        <v>0</v>
      </c>
      <c r="H4220">
        <f>HYPERLINK("https://www.wikidata.org/wiki/Q3310677", "Q3310677")</f>
        <v>0</v>
      </c>
    </row>
    <row r="4221" spans="1:8">
      <c r="A4221" t="s">
        <v>4227</v>
      </c>
      <c r="B4221" t="s">
        <v>8613</v>
      </c>
      <c r="C4221" t="s">
        <v>9457</v>
      </c>
      <c r="D4221" t="s">
        <v>15162</v>
      </c>
      <c r="E4221" s="2">
        <v>12076</v>
      </c>
      <c r="G4221">
        <f>HYPERLINK("https://www.senat.fr/senateur-3eme-republique/renaudat_alphonse0232r3.html", "renaudat_alphonse0232r3")</f>
        <v>0</v>
      </c>
      <c r="H4221">
        <f>HYPERLINK("https://www.wikidata.org/wiki/Q2839946", "Q2839946")</f>
        <v>0</v>
      </c>
    </row>
    <row r="4222" spans="1:8">
      <c r="A4222" t="s">
        <v>4228</v>
      </c>
      <c r="B4222" t="s">
        <v>8614</v>
      </c>
      <c r="C4222" t="s">
        <v>11054</v>
      </c>
      <c r="D4222" t="s">
        <v>15163</v>
      </c>
      <c r="E4222" s="2">
        <v>12875</v>
      </c>
      <c r="F4222">
        <f>HYPERLINK("https://www2.assemblee-nationale.fr/sycomore/fiche/(num_dept)/6676", "6676.0")</f>
        <v>0</v>
      </c>
      <c r="H4222">
        <f>HYPERLINK("https://www.wikidata.org/wiki/Q3386778", "Q3386778")</f>
        <v>0</v>
      </c>
    </row>
    <row r="4223" spans="1:8">
      <c r="A4223" t="s">
        <v>4229</v>
      </c>
      <c r="B4223" t="s">
        <v>8615</v>
      </c>
      <c r="C4223" t="s">
        <v>11055</v>
      </c>
      <c r="D4223" t="s">
        <v>15164</v>
      </c>
      <c r="E4223" s="2">
        <v>22852</v>
      </c>
      <c r="G4223">
        <f>HYPERLINK("https://www.senat.fr/senateur-3eme-republique/renaudot_alcime1180r3.html", "renaudot_alcime1180r3")</f>
        <v>0</v>
      </c>
      <c r="H4223">
        <f>HYPERLINK("https://www.wikidata.org/wiki/Q2832175", "Q2832175")</f>
        <v>0</v>
      </c>
    </row>
    <row r="4224" spans="1:8">
      <c r="A4224" t="s">
        <v>4230</v>
      </c>
      <c r="B4224" t="s">
        <v>8616</v>
      </c>
      <c r="C4224" t="s">
        <v>11056</v>
      </c>
      <c r="D4224" t="s">
        <v>15165</v>
      </c>
      <c r="E4224" s="2">
        <v>2797</v>
      </c>
      <c r="F4224">
        <f>HYPERLINK("https://www2.assemblee-nationale.fr/sycomore/fiche/(num_dept)/6678", "6678.0")</f>
        <v>0</v>
      </c>
      <c r="H4224">
        <f>HYPERLINK("https://www.wikidata.org/wiki/Q2844704", "Q2844704")</f>
        <v>0</v>
      </c>
    </row>
    <row r="4225" spans="1:8">
      <c r="A4225" t="s">
        <v>4231</v>
      </c>
      <c r="B4225" t="s">
        <v>8617</v>
      </c>
      <c r="C4225" t="s">
        <v>9347</v>
      </c>
      <c r="D4225" t="s">
        <v>15166</v>
      </c>
      <c r="E4225" s="2">
        <v>12199</v>
      </c>
      <c r="F4225">
        <f>HYPERLINK("https://www2.assemblee-nationale.fr/sycomore/fiche/(num_dept)/8068", "8068.0")</f>
        <v>0</v>
      </c>
      <c r="G4225">
        <f>HYPERLINK("https://www.senat.fr/senateur-3eme-republique/renault_leon0113r3.html", "renault_leon0113r3")</f>
        <v>0</v>
      </c>
      <c r="H4225">
        <f>HYPERLINK("https://www.wikidata.org/wiki/Q3271290", "Q3271290")</f>
        <v>0</v>
      </c>
    </row>
    <row r="4226" spans="1:8">
      <c r="A4226" t="s">
        <v>4232</v>
      </c>
      <c r="B4226" t="s">
        <v>8618</v>
      </c>
      <c r="C4226" t="s">
        <v>11057</v>
      </c>
      <c r="D4226" t="s">
        <v>15167</v>
      </c>
      <c r="E4226" s="2">
        <v>1868</v>
      </c>
      <c r="F4226">
        <f>HYPERLINK("https://www2.assemblee-nationale.fr/sycomore/fiche/(num_dept)/6681", "6681.0")</f>
        <v>0</v>
      </c>
      <c r="H4226">
        <f>HYPERLINK("https://www.wikidata.org/wiki/Q2861952", "Q2861952")</f>
        <v>0</v>
      </c>
    </row>
    <row r="4227" spans="1:8">
      <c r="A4227" t="s">
        <v>4233</v>
      </c>
      <c r="B4227" t="s">
        <v>8618</v>
      </c>
      <c r="C4227" t="s">
        <v>9734</v>
      </c>
      <c r="D4227" t="s">
        <v>15168</v>
      </c>
      <c r="E4227" s="2">
        <v>26848</v>
      </c>
      <c r="F4227">
        <f>HYPERLINK("https://www2.assemblee-nationale.fr/sycomore/fiche/(num_dept)/6680", "6680.0")</f>
        <v>0</v>
      </c>
      <c r="H4227">
        <f>HYPERLINK("https://www.wikidata.org/wiki/Q16026405", "Q16026405")</f>
        <v>0</v>
      </c>
    </row>
    <row r="4228" spans="1:8">
      <c r="A4228" t="s">
        <v>4234</v>
      </c>
      <c r="B4228" t="s">
        <v>8619</v>
      </c>
      <c r="C4228" t="s">
        <v>10185</v>
      </c>
      <c r="D4228" t="s">
        <v>15169</v>
      </c>
      <c r="E4228" s="2">
        <v>1692</v>
      </c>
      <c r="F4228">
        <f>HYPERLINK("https://www2.assemblee-nationale.fr/sycomore/fiche/(num_dept)/6682", "6682.0")</f>
        <v>0</v>
      </c>
      <c r="H4228">
        <f>HYPERLINK("https://www.wikidata.org/wiki/Q13091118", "Q13091118")</f>
        <v>0</v>
      </c>
    </row>
    <row r="4229" spans="1:8">
      <c r="A4229" t="s">
        <v>4235</v>
      </c>
      <c r="B4229" t="s">
        <v>8620</v>
      </c>
      <c r="C4229" t="s">
        <v>9320</v>
      </c>
      <c r="D4229" t="s">
        <v>15170</v>
      </c>
      <c r="E4229" s="2">
        <v>16919</v>
      </c>
      <c r="G4229">
        <f>HYPERLINK("https://www.senat.fr/senateur-3eme-republique/renoult_rene1734r3.html", "renoult_rene1734r3")</f>
        <v>0</v>
      </c>
      <c r="H4229">
        <f>HYPERLINK("https://www.wikidata.org/wiki/Q3426810", "Q3426810")</f>
        <v>0</v>
      </c>
    </row>
    <row r="4230" spans="1:8">
      <c r="A4230" t="s">
        <v>4236</v>
      </c>
      <c r="B4230" t="s">
        <v>8621</v>
      </c>
      <c r="C4230" t="s">
        <v>10026</v>
      </c>
      <c r="D4230" t="s">
        <v>15171</v>
      </c>
      <c r="E4230" s="2">
        <v>10225</v>
      </c>
      <c r="F4230">
        <f>HYPERLINK("https://www2.assemblee-nationale.fr/sycomore/fiche/(num_dept)/902", "902.0")</f>
        <v>0</v>
      </c>
      <c r="H4230">
        <f>HYPERLINK("https://www.wikidata.org/wiki/Q2823094", "Q2823094")</f>
        <v>0</v>
      </c>
    </row>
    <row r="4231" spans="1:8">
      <c r="A4231" t="s">
        <v>4237</v>
      </c>
      <c r="B4231" t="s">
        <v>8622</v>
      </c>
      <c r="C4231" t="s">
        <v>11058</v>
      </c>
      <c r="D4231" t="s">
        <v>15170</v>
      </c>
      <c r="E4231" s="2">
        <v>16922</v>
      </c>
      <c r="F4231">
        <f>HYPERLINK("https://www2.assemblee-nationale.fr/sycomore/fiche/(num_dept)/6684", "6684.0")</f>
        <v>0</v>
      </c>
      <c r="H4231">
        <f>HYPERLINK("https://www.wikidata.org/wiki/Q3426810", "Q3426810")</f>
        <v>0</v>
      </c>
    </row>
    <row r="4232" spans="1:8">
      <c r="A4232" t="s">
        <v>4238</v>
      </c>
      <c r="B4232" t="s">
        <v>8623</v>
      </c>
      <c r="C4232" t="s">
        <v>7782</v>
      </c>
      <c r="D4232" t="s">
        <v>15172</v>
      </c>
      <c r="E4232" s="2">
        <v>4494</v>
      </c>
      <c r="G4232">
        <f>HYPERLINK("https://www.senat.fr/senateur-3eme-republique/repiquet_leon1148r3.html", "repiquet_leon1148r3")</f>
        <v>0</v>
      </c>
      <c r="H4232">
        <f>HYPERLINK("https://www.wikidata.org/wiki/Q3271293", "Q3271293")</f>
        <v>0</v>
      </c>
    </row>
    <row r="4233" spans="1:8">
      <c r="A4233" t="s">
        <v>4239</v>
      </c>
      <c r="B4233" t="s">
        <v>8624</v>
      </c>
      <c r="C4233" t="s">
        <v>11059</v>
      </c>
      <c r="D4233" t="s">
        <v>15173</v>
      </c>
      <c r="E4233" t="s">
        <v>16374</v>
      </c>
      <c r="F4233">
        <f>HYPERLINK("https://www2.assemblee-nationale.fr/sycomore/fiche/(num_dept)/8031", "8031.0")</f>
        <v>0</v>
      </c>
      <c r="H4233">
        <f>HYPERLINK("https://www.wikidata.org/wiki/Q16025862", "Q16025862")</f>
        <v>0</v>
      </c>
    </row>
    <row r="4234" spans="1:8">
      <c r="A4234" t="s">
        <v>4240</v>
      </c>
      <c r="B4234" t="s">
        <v>8625</v>
      </c>
      <c r="C4234" t="s">
        <v>7754</v>
      </c>
      <c r="D4234" t="s">
        <v>15174</v>
      </c>
      <c r="E4234" s="2">
        <v>18541</v>
      </c>
      <c r="F4234">
        <f>HYPERLINK("https://www2.assemblee-nationale.fr/sycomore/fiche/(num_dept)/6691", "6691.0")</f>
        <v>0</v>
      </c>
      <c r="H4234">
        <f>HYPERLINK("https://www.wikidata.org/wiki/Q16026406", "Q16026406")</f>
        <v>0</v>
      </c>
    </row>
    <row r="4235" spans="1:8">
      <c r="A4235" t="s">
        <v>4241</v>
      </c>
      <c r="B4235" t="s">
        <v>8626</v>
      </c>
      <c r="C4235" t="s">
        <v>9368</v>
      </c>
      <c r="D4235" t="s">
        <v>15175</v>
      </c>
      <c r="E4235" s="2">
        <v>13116</v>
      </c>
      <c r="G4235">
        <f>HYPERLINK("https://www.senat.fr/senateur-3eme-republique/reveillaud_eugene0407r3.html", "reveillaud_eugene0407r3")</f>
        <v>0</v>
      </c>
      <c r="H4235">
        <f>HYPERLINK("https://www.wikidata.org/wiki/Q3060161", "Q3060161")</f>
        <v>0</v>
      </c>
    </row>
    <row r="4236" spans="1:8">
      <c r="A4236" t="s">
        <v>4242</v>
      </c>
      <c r="B4236" t="s">
        <v>8627</v>
      </c>
      <c r="C4236" t="s">
        <v>11060</v>
      </c>
      <c r="D4236" t="s">
        <v>15176</v>
      </c>
      <c r="E4236" t="s">
        <v>16375</v>
      </c>
      <c r="F4236">
        <f>HYPERLINK("https://www2.assemblee-nationale.fr/sycomore/fiche/(num_dept)/6694", "6694.0")</f>
        <v>0</v>
      </c>
      <c r="H4236">
        <f>HYPERLINK("https://www.wikidata.org/wiki/Q16026408", "Q16026408")</f>
        <v>0</v>
      </c>
    </row>
    <row r="4237" spans="1:8">
      <c r="A4237" t="s">
        <v>4243</v>
      </c>
      <c r="B4237" t="s">
        <v>8628</v>
      </c>
      <c r="C4237" t="s">
        <v>11061</v>
      </c>
      <c r="D4237" t="s">
        <v>15177</v>
      </c>
      <c r="E4237" s="2">
        <v>20831</v>
      </c>
      <c r="G4237">
        <f>HYPERLINK("https://www.senat.fr/senateur-3eme-republique/revillon_michel0022r3.html", "revillon_michel0022r3")</f>
        <v>0</v>
      </c>
      <c r="H4237">
        <f>HYPERLINK("https://www.wikidata.org/wiki/Q3292824", "Q3292824")</f>
        <v>0</v>
      </c>
    </row>
    <row r="4238" spans="1:8">
      <c r="A4238" t="s">
        <v>4244</v>
      </c>
      <c r="B4238" t="s">
        <v>8629</v>
      </c>
      <c r="C4238" t="s">
        <v>11062</v>
      </c>
      <c r="D4238" t="s">
        <v>15178</v>
      </c>
      <c r="E4238" s="2">
        <v>416</v>
      </c>
      <c r="F4238">
        <f>HYPERLINK("https://www2.assemblee-nationale.fr/sycomore/fiche/(num_dept)/6700", "6700.0")</f>
        <v>0</v>
      </c>
      <c r="H4238">
        <f>HYPERLINK("https://www.wikidata.org/wiki/Q2861372", "Q2861372")</f>
        <v>0</v>
      </c>
    </row>
    <row r="4239" spans="1:8">
      <c r="A4239" t="s">
        <v>4245</v>
      </c>
      <c r="B4239" t="s">
        <v>8630</v>
      </c>
      <c r="C4239" t="s">
        <v>9346</v>
      </c>
      <c r="D4239" t="s">
        <v>15179</v>
      </c>
      <c r="G4239">
        <f>HYPERLINK("https://www.senat.fr/senateur-3eme-republique/rey_edouard1191r3.html", "rey_edouard1191r3")</f>
        <v>0</v>
      </c>
      <c r="H4239">
        <f>HYPERLINK("https://www.wikidata.org/wiki/Q3580011", "Q3580011")</f>
        <v>0</v>
      </c>
    </row>
    <row r="4240" spans="1:8">
      <c r="A4240" t="s">
        <v>4246</v>
      </c>
      <c r="B4240" t="s">
        <v>8629</v>
      </c>
      <c r="C4240" t="s">
        <v>11063</v>
      </c>
      <c r="D4240" t="s">
        <v>15180</v>
      </c>
      <c r="E4240" s="2">
        <v>8356</v>
      </c>
      <c r="F4240">
        <f>HYPERLINK("https://www2.assemblee-nationale.fr/sycomore/fiche/(num_dept)/6701", "6701.0")</f>
        <v>0</v>
      </c>
      <c r="G4240">
        <f>HYPERLINK("https://www.senat.fr/senateur-3eme-republique/rey_emile0613r3.html", "rey_emile0613r3")</f>
        <v>0</v>
      </c>
      <c r="H4240">
        <f>HYPERLINK("https://www.wikidata.org/wiki/Q3588712", "Q3588712")</f>
        <v>0</v>
      </c>
    </row>
    <row r="4241" spans="1:8">
      <c r="A4241" t="s">
        <v>4247</v>
      </c>
      <c r="B4241" t="s">
        <v>8629</v>
      </c>
      <c r="C4241" t="s">
        <v>11064</v>
      </c>
      <c r="D4241" t="s">
        <v>15181</v>
      </c>
      <c r="E4241" s="2">
        <v>9738</v>
      </c>
      <c r="F4241">
        <f>HYPERLINK("https://www2.assemblee-nationale.fr/sycomore/fiche/(num_dept)/8219", "8219.0")</f>
        <v>0</v>
      </c>
      <c r="H4241">
        <f>HYPERLINK("https://www.wikidata.org/wiki/Q16026409", "Q16026409")</f>
        <v>0</v>
      </c>
    </row>
    <row r="4242" spans="1:8">
      <c r="A4242" t="s">
        <v>4248</v>
      </c>
      <c r="B4242" t="s">
        <v>8631</v>
      </c>
      <c r="C4242" t="s">
        <v>9569</v>
      </c>
      <c r="D4242" t="s">
        <v>15182</v>
      </c>
      <c r="E4242" t="s">
        <v>16376</v>
      </c>
      <c r="F4242">
        <f>HYPERLINK("https://www2.assemblee-nationale.fr/sycomore/fiche/(num_dept)/6704", "6704.0")</f>
        <v>0</v>
      </c>
      <c r="H4242">
        <f>HYPERLINK("https://www.wikidata.org/wiki/Q8313709", "Q8313709")</f>
        <v>0</v>
      </c>
    </row>
    <row r="4243" spans="1:8">
      <c r="A4243" t="s">
        <v>4249</v>
      </c>
      <c r="B4243" t="s">
        <v>8632</v>
      </c>
      <c r="C4243" t="s">
        <v>9345</v>
      </c>
      <c r="D4243" t="s">
        <v>15183</v>
      </c>
      <c r="E4243" s="2">
        <v>1979</v>
      </c>
      <c r="F4243">
        <f>HYPERLINK("https://www2.assemblee-nationale.fr/sycomore/fiche/(num_dept)/8032", "8032.0")</f>
        <v>0</v>
      </c>
      <c r="G4243">
        <f>HYPERLINK("https://www.senat.fr/senateur-3eme-republique/reymond_francisque1336r3.html", "reymond_francisque1336r3")</f>
        <v>0</v>
      </c>
      <c r="H4243">
        <f>HYPERLINK("https://www.wikidata.org/wiki/Q3082014", "Q3082014")</f>
        <v>0</v>
      </c>
    </row>
    <row r="4244" spans="1:8">
      <c r="A4244" t="s">
        <v>4250</v>
      </c>
      <c r="B4244" t="s">
        <v>8633</v>
      </c>
      <c r="C4244" t="s">
        <v>9524</v>
      </c>
      <c r="D4244" t="s">
        <v>15184</v>
      </c>
      <c r="E4244" s="2">
        <v>5409</v>
      </c>
      <c r="G4244">
        <f>HYPERLINK("https://www.senat.fr/senateur-3eme-republique/reymond_emile1338r3.html", "reymond_emile1338r3")</f>
        <v>0</v>
      </c>
      <c r="H4244">
        <f>HYPERLINK("https://www.wikidata.org/wiki/Q1337203", "Q1337203")</f>
        <v>0</v>
      </c>
    </row>
    <row r="4245" spans="1:8">
      <c r="A4245" t="s">
        <v>4251</v>
      </c>
      <c r="B4245" t="s">
        <v>8634</v>
      </c>
      <c r="C4245" t="s">
        <v>11065</v>
      </c>
      <c r="D4245" t="s">
        <v>15185</v>
      </c>
      <c r="E4245" s="2">
        <v>12116</v>
      </c>
      <c r="F4245">
        <f>HYPERLINK("https://www2.assemblee-nationale.fr/sycomore/fiche/(num_dept)/6707", "6707.0")</f>
        <v>0</v>
      </c>
      <c r="G4245">
        <f>HYPERLINK("https://www.senat.fr/senateur-3eme-republique/reymonenq_victor1733r3.html", "reymonenq_victor1733r3")</f>
        <v>0</v>
      </c>
      <c r="H4245">
        <f>HYPERLINK("https://www.wikidata.org/wiki/Q3557539", "Q3557539")</f>
        <v>0</v>
      </c>
    </row>
    <row r="4246" spans="1:8">
      <c r="A4246" t="s">
        <v>4252</v>
      </c>
      <c r="B4246" t="s">
        <v>8635</v>
      </c>
      <c r="C4246" t="s">
        <v>7001</v>
      </c>
      <c r="D4246" t="s">
        <v>15186</v>
      </c>
      <c r="E4246" s="2">
        <v>13745</v>
      </c>
      <c r="G4246">
        <f>HYPERLINK("https://www.senat.fr/senateur-3eme-republique/reynald_georges0183r3.html", "reynald_georges0183r3")</f>
        <v>0</v>
      </c>
      <c r="H4246">
        <f>HYPERLINK("https://www.wikidata.org/wiki/Q3103403", "Q3103403")</f>
        <v>0</v>
      </c>
    </row>
    <row r="4247" spans="1:8">
      <c r="A4247" t="s">
        <v>4253</v>
      </c>
      <c r="B4247" t="s">
        <v>8636</v>
      </c>
      <c r="C4247" t="s">
        <v>9373</v>
      </c>
      <c r="D4247" t="s">
        <v>15187</v>
      </c>
      <c r="E4247" s="2">
        <v>8772</v>
      </c>
      <c r="G4247">
        <f>HYPERLINK("https://www.senat.fr/senateur-3eme-republique/reynaud_joseph0717r3.html", "reynaud_joseph0717r3")</f>
        <v>0</v>
      </c>
      <c r="H4247">
        <f>HYPERLINK("https://www.wikidata.org/wiki/Q3185555", "Q3185555")</f>
        <v>0</v>
      </c>
    </row>
    <row r="4248" spans="1:8">
      <c r="A4248" t="s">
        <v>4254</v>
      </c>
      <c r="B4248" t="s">
        <v>8637</v>
      </c>
      <c r="C4248" t="s">
        <v>8928</v>
      </c>
      <c r="D4248" t="s">
        <v>15188</v>
      </c>
      <c r="E4248" s="2">
        <v>19742</v>
      </c>
      <c r="F4248">
        <f>HYPERLINK("https://www2.assemblee-nationale.fr/sycomore/fiche/(num_dept)/6711", "6711.0")</f>
        <v>0</v>
      </c>
      <c r="H4248">
        <f>HYPERLINK("https://www.wikidata.org/wiki/Q16026411", "Q16026411")</f>
        <v>0</v>
      </c>
    </row>
    <row r="4249" spans="1:8">
      <c r="A4249" t="s">
        <v>4255</v>
      </c>
      <c r="B4249" t="s">
        <v>8637</v>
      </c>
      <c r="C4249" t="s">
        <v>9430</v>
      </c>
      <c r="D4249" t="s">
        <v>13141</v>
      </c>
      <c r="E4249" s="2">
        <v>24371</v>
      </c>
      <c r="F4249">
        <f>HYPERLINK("https://www2.assemblee-nationale.fr/sycomore/fiche/(num_dept)/6710", "6710.0")</f>
        <v>0</v>
      </c>
      <c r="H4249">
        <f>HYPERLINK("https://www.wikidata.org/wiki/Q161076", "Q161076")</f>
        <v>0</v>
      </c>
    </row>
    <row r="4250" spans="1:8">
      <c r="A4250" t="s">
        <v>4256</v>
      </c>
      <c r="B4250" t="s">
        <v>8637</v>
      </c>
      <c r="C4250" t="s">
        <v>9676</v>
      </c>
      <c r="D4250" t="s">
        <v>15189</v>
      </c>
      <c r="E4250" s="2">
        <v>25804</v>
      </c>
      <c r="F4250">
        <f>HYPERLINK("https://www2.assemblee-nationale.fr/sycomore/fiche/(num_dept)/6708", "6708.0")</f>
        <v>0</v>
      </c>
      <c r="H4250">
        <f>HYPERLINK("https://www.wikidata.org/wiki/Q21155030", "Q21155030")</f>
        <v>0</v>
      </c>
    </row>
    <row r="4251" spans="1:8">
      <c r="A4251" t="s">
        <v>4257</v>
      </c>
      <c r="B4251" t="s">
        <v>8638</v>
      </c>
      <c r="C4251" t="s">
        <v>9524</v>
      </c>
      <c r="D4251" t="s">
        <v>15190</v>
      </c>
      <c r="E4251" t="s">
        <v>16377</v>
      </c>
      <c r="F4251">
        <f>HYPERLINK("https://www2.assemblee-nationale.fr/sycomore/fiche/(num_dept)/8232", "8232.0")</f>
        <v>0</v>
      </c>
      <c r="H4251">
        <f>HYPERLINK("https://www.wikidata.org/wiki/Q8328910", "Q8328910")</f>
        <v>0</v>
      </c>
    </row>
    <row r="4252" spans="1:8">
      <c r="A4252" t="s">
        <v>4258</v>
      </c>
      <c r="B4252" t="s">
        <v>8639</v>
      </c>
      <c r="C4252" t="s">
        <v>9373</v>
      </c>
      <c r="D4252" t="s">
        <v>15191</v>
      </c>
      <c r="E4252" s="2">
        <v>15734</v>
      </c>
      <c r="F4252">
        <f>HYPERLINK("https://www2.assemblee-nationale.fr/sycomore/fiche/(num_dept)/6713", "6713.0")</f>
        <v>0</v>
      </c>
      <c r="H4252">
        <f>HYPERLINK("https://www.wikidata.org/wiki/Q16026412", "Q16026412")</f>
        <v>0</v>
      </c>
    </row>
    <row r="4253" spans="1:8">
      <c r="A4253" t="s">
        <v>4259</v>
      </c>
      <c r="B4253" t="s">
        <v>8640</v>
      </c>
      <c r="C4253" t="s">
        <v>11066</v>
      </c>
      <c r="D4253" t="s">
        <v>12760</v>
      </c>
      <c r="E4253" s="2">
        <v>24096</v>
      </c>
      <c r="F4253">
        <f>HYPERLINK("https://www2.assemblee-nationale.fr/sycomore/fiche/(num_dept)/5387", "5387.0")</f>
        <v>0</v>
      </c>
      <c r="H4253">
        <f>HYPERLINK("https://www.wikidata.org/wiki/Q3132339", "Q3132339")</f>
        <v>0</v>
      </c>
    </row>
    <row r="4254" spans="1:8">
      <c r="A4254" t="s">
        <v>4260</v>
      </c>
      <c r="B4254" t="s">
        <v>8641</v>
      </c>
      <c r="C4254" t="s">
        <v>11067</v>
      </c>
      <c r="D4254" t="s">
        <v>15192</v>
      </c>
      <c r="E4254" s="2">
        <v>21058</v>
      </c>
      <c r="F4254">
        <f>HYPERLINK("https://www2.assemblee-nationale.fr/sycomore/fiche/(num_dept)/6716", "6716.0")</f>
        <v>0</v>
      </c>
      <c r="H4254">
        <f>HYPERLINK("https://www.wikidata.org/wiki/Q16026413", "Q16026413")</f>
        <v>0</v>
      </c>
    </row>
    <row r="4255" spans="1:8">
      <c r="A4255" t="s">
        <v>4261</v>
      </c>
      <c r="B4255" t="s">
        <v>8642</v>
      </c>
      <c r="C4255" t="s">
        <v>11068</v>
      </c>
      <c r="D4255" t="s">
        <v>15193</v>
      </c>
      <c r="E4255" t="s">
        <v>16378</v>
      </c>
      <c r="F4255">
        <f>HYPERLINK("https://www2.assemblee-nationale.fr/sycomore/fiche/(num_dept)/8144", "8144.0")</f>
        <v>0</v>
      </c>
      <c r="H4255">
        <f>HYPERLINK("https://www.wikidata.org/wiki/Q16026414", "Q16026414")</f>
        <v>0</v>
      </c>
    </row>
    <row r="4256" spans="1:8">
      <c r="A4256" t="s">
        <v>4262</v>
      </c>
      <c r="B4256" t="s">
        <v>8643</v>
      </c>
      <c r="C4256" t="s">
        <v>7314</v>
      </c>
      <c r="D4256" t="s">
        <v>15194</v>
      </c>
      <c r="E4256" s="2">
        <v>91</v>
      </c>
      <c r="F4256">
        <f>HYPERLINK("https://www2.assemblee-nationale.fr/sycomore/fiche/(num_dept)/6719", "6719.0")</f>
        <v>0</v>
      </c>
      <c r="H4256">
        <f>HYPERLINK("https://www.wikidata.org/wiki/Q16026415", "Q16026415")</f>
        <v>0</v>
      </c>
    </row>
    <row r="4257" spans="1:8">
      <c r="A4257" t="s">
        <v>4263</v>
      </c>
      <c r="B4257" t="s">
        <v>8644</v>
      </c>
      <c r="C4257" t="s">
        <v>11069</v>
      </c>
      <c r="D4257" t="s">
        <v>12291</v>
      </c>
      <c r="E4257" s="2">
        <v>17232</v>
      </c>
      <c r="F4257">
        <f>HYPERLINK("https://www2.assemblee-nationale.fr/sycomore/fiche/(num_dept)/1631", "1631.0")</f>
        <v>0</v>
      </c>
      <c r="H4257">
        <f>HYPERLINK("https://www.wikidata.org/wiki/Q478746", "Q478746")</f>
        <v>0</v>
      </c>
    </row>
    <row r="4258" spans="1:8">
      <c r="A4258" t="s">
        <v>4264</v>
      </c>
      <c r="B4258" t="s">
        <v>8645</v>
      </c>
      <c r="C4258" t="s">
        <v>9373</v>
      </c>
      <c r="D4258" t="s">
        <v>15195</v>
      </c>
      <c r="E4258" s="2">
        <v>5976</v>
      </c>
      <c r="F4258">
        <f>HYPERLINK("https://www2.assemblee-nationale.fr/sycomore/fiche/(num_dept)/6721", "6721.0")</f>
        <v>0</v>
      </c>
      <c r="H4258">
        <f>HYPERLINK("https://www.wikidata.org/wiki/Q16026416", "Q16026416")</f>
        <v>0</v>
      </c>
    </row>
    <row r="4259" spans="1:8">
      <c r="A4259" t="s">
        <v>4265</v>
      </c>
      <c r="B4259" t="s">
        <v>8646</v>
      </c>
      <c r="C4259" t="s">
        <v>9430</v>
      </c>
      <c r="D4259" t="s">
        <v>15196</v>
      </c>
      <c r="E4259" s="2">
        <v>24206</v>
      </c>
      <c r="F4259">
        <f>HYPERLINK("https://www2.assemblee-nationale.fr/sycomore/fiche/(num_dept)/6723", "6723.0")</f>
        <v>0</v>
      </c>
      <c r="H4259">
        <f>HYPERLINK("https://www.wikidata.org/wiki/Q8304272", "Q8304272")</f>
        <v>0</v>
      </c>
    </row>
    <row r="4260" spans="1:8">
      <c r="A4260" t="s">
        <v>4266</v>
      </c>
      <c r="B4260" t="s">
        <v>8647</v>
      </c>
      <c r="C4260" t="s">
        <v>9851</v>
      </c>
      <c r="D4260" t="s">
        <v>15197</v>
      </c>
      <c r="E4260" t="s">
        <v>16379</v>
      </c>
      <c r="G4260">
        <f>HYPERLINK("https://www.senat.fr/senateur-3eme-republique/ribiere_hippolyte1841r3.html", "ribiere_hippolyte1841r3")</f>
        <v>0</v>
      </c>
      <c r="H4260">
        <f>HYPERLINK("https://www.wikidata.org/wiki/Q3136113", "Q3136113")</f>
        <v>0</v>
      </c>
    </row>
    <row r="4261" spans="1:8">
      <c r="A4261" t="s">
        <v>4267</v>
      </c>
      <c r="B4261" t="s">
        <v>8647</v>
      </c>
      <c r="C4261" t="s">
        <v>10070</v>
      </c>
      <c r="D4261" t="s">
        <v>15198</v>
      </c>
      <c r="E4261" s="2">
        <v>8319</v>
      </c>
      <c r="G4261">
        <f>HYPERLINK("https://www.senat.fr/senateur-3eme-republique/ribiere_marcel1846r3.html", "ribiere_marcel1846r3")</f>
        <v>0</v>
      </c>
      <c r="H4261">
        <f>HYPERLINK("https://www.wikidata.org/wiki/Q3289327", "Q3289327")</f>
        <v>0</v>
      </c>
    </row>
    <row r="4262" spans="1:8">
      <c r="A4262" t="s">
        <v>4268</v>
      </c>
      <c r="B4262" t="s">
        <v>8648</v>
      </c>
      <c r="C4262" t="s">
        <v>10070</v>
      </c>
      <c r="D4262" t="s">
        <v>15198</v>
      </c>
      <c r="E4262" s="2">
        <v>8319</v>
      </c>
      <c r="F4262">
        <f>HYPERLINK("https://www2.assemblee-nationale.fr/sycomore/fiche/(num_dept)/6725", "6725.0")</f>
        <v>0</v>
      </c>
      <c r="H4262">
        <f>HYPERLINK("https://www.wikidata.org/wiki/Q3289327", "Q3289327")</f>
        <v>0</v>
      </c>
    </row>
    <row r="4263" spans="1:8">
      <c r="A4263" t="s">
        <v>4269</v>
      </c>
      <c r="B4263" t="s">
        <v>8649</v>
      </c>
      <c r="C4263" t="s">
        <v>11070</v>
      </c>
      <c r="D4263" t="s">
        <v>15199</v>
      </c>
      <c r="E4263" s="2">
        <v>8414</v>
      </c>
      <c r="F4263">
        <f>HYPERLINK("https://www2.assemblee-nationale.fr/sycomore/fiche/(num_dept)/6727", "6727.0")</f>
        <v>0</v>
      </c>
      <c r="G4263">
        <f>HYPERLINK("https://www.senat.fr/senateur-3eme-republique/ribot_alexandre0941r3.html", "ribot_alexandre0941r3")</f>
        <v>0</v>
      </c>
      <c r="H4263">
        <f>HYPERLINK("https://www.wikidata.org/wiki/Q358387", "Q358387")</f>
        <v>0</v>
      </c>
    </row>
    <row r="4264" spans="1:8">
      <c r="A4264" t="s">
        <v>4270</v>
      </c>
      <c r="B4264" t="s">
        <v>8650</v>
      </c>
      <c r="C4264" t="s">
        <v>11071</v>
      </c>
      <c r="D4264" t="s">
        <v>15200</v>
      </c>
      <c r="E4264" s="2">
        <v>6</v>
      </c>
      <c r="F4264">
        <f>HYPERLINK("https://www2.assemblee-nationale.fr/sycomore/fiche/(num_dept)/7955", "7955.0")</f>
        <v>0</v>
      </c>
      <c r="H4264">
        <f>HYPERLINK("https://www.wikidata.org/wiki/Q16025791", "Q16025791")</f>
        <v>0</v>
      </c>
    </row>
    <row r="4265" spans="1:8">
      <c r="A4265" t="s">
        <v>4271</v>
      </c>
      <c r="B4265" t="s">
        <v>8651</v>
      </c>
      <c r="C4265" t="s">
        <v>11072</v>
      </c>
      <c r="D4265" t="s">
        <v>15201</v>
      </c>
      <c r="E4265" s="2">
        <v>7732</v>
      </c>
      <c r="F4265">
        <f>HYPERLINK("https://www2.assemblee-nationale.fr/sycomore/fiche/(num_dept)/6729", "6729.0")</f>
        <v>0</v>
      </c>
      <c r="H4265">
        <f>HYPERLINK("https://www.wikidata.org/wiki/Q3263005", "Q3263005")</f>
        <v>0</v>
      </c>
    </row>
    <row r="4266" spans="1:8">
      <c r="A4266" t="s">
        <v>4272</v>
      </c>
      <c r="B4266" t="s">
        <v>8651</v>
      </c>
      <c r="C4266" t="s">
        <v>10181</v>
      </c>
      <c r="D4266" t="s">
        <v>15202</v>
      </c>
      <c r="E4266" s="2">
        <v>3733</v>
      </c>
      <c r="F4266">
        <f>HYPERLINK("https://www2.assemblee-nationale.fr/sycomore/fiche/(num_dept)/6728", "6728.0")</f>
        <v>0</v>
      </c>
      <c r="G4266">
        <f>HYPERLINK("https://www.senat.fr/senateur-3eme-republique/ricard_henri0543r3.html", "ricard_henri0543r3")</f>
        <v>0</v>
      </c>
      <c r="H4266">
        <f>HYPERLINK("https://www.wikidata.org/wiki/Q3131907", "Q3131907")</f>
        <v>0</v>
      </c>
    </row>
    <row r="4267" spans="1:8">
      <c r="A4267" t="s">
        <v>4273</v>
      </c>
      <c r="B4267" t="s">
        <v>8651</v>
      </c>
      <c r="C4267" t="s">
        <v>11073</v>
      </c>
      <c r="D4267" t="s">
        <v>15203</v>
      </c>
      <c r="E4267" s="2">
        <v>17879</v>
      </c>
      <c r="H4267">
        <f>HYPERLINK("https://www.wikidata.org/wiki/Q3184306", "Q3184306")</f>
        <v>0</v>
      </c>
    </row>
    <row r="4268" spans="1:8">
      <c r="A4268" t="s">
        <v>4274</v>
      </c>
      <c r="B4268" t="s">
        <v>8652</v>
      </c>
      <c r="C4268" t="s">
        <v>11074</v>
      </c>
      <c r="D4268" t="s">
        <v>15204</v>
      </c>
      <c r="E4268" s="2">
        <v>19324</v>
      </c>
      <c r="F4268">
        <f>HYPERLINK("https://www2.assemblee-nationale.fr/sycomore/fiche/(num_dept)/6730", "6730.0")</f>
        <v>0</v>
      </c>
      <c r="H4268">
        <f>HYPERLINK("https://www.wikidata.org/wiki/Q15998296", "Q15998296")</f>
        <v>0</v>
      </c>
    </row>
    <row r="4269" spans="1:8">
      <c r="A4269" t="s">
        <v>4275</v>
      </c>
      <c r="B4269" t="s">
        <v>8653</v>
      </c>
      <c r="C4269" t="s">
        <v>9352</v>
      </c>
      <c r="D4269" t="s">
        <v>15205</v>
      </c>
      <c r="E4269" t="s">
        <v>16380</v>
      </c>
      <c r="F4269">
        <f>HYPERLINK("https://www2.assemblee-nationale.fr/sycomore/fiche/(num_dept)/6732", "6732.0")</f>
        <v>0</v>
      </c>
      <c r="H4269">
        <f>HYPERLINK("https://www.wikidata.org/wiki/Q16026417", "Q16026417")</f>
        <v>0</v>
      </c>
    </row>
    <row r="4270" spans="1:8">
      <c r="A4270" t="s">
        <v>4276</v>
      </c>
      <c r="B4270" t="s">
        <v>8653</v>
      </c>
      <c r="C4270" t="s">
        <v>11075</v>
      </c>
      <c r="D4270" t="s">
        <v>15206</v>
      </c>
      <c r="E4270" s="2">
        <v>5315</v>
      </c>
      <c r="F4270">
        <f>HYPERLINK("https://www2.assemblee-nationale.fr/sycomore/fiche/(num_dept)/10795", "10795.0")</f>
        <v>0</v>
      </c>
      <c r="H4270">
        <f>HYPERLINK("https://www.wikidata.org/wiki/Q16026418", "Q16026418")</f>
        <v>0</v>
      </c>
    </row>
    <row r="4271" spans="1:8">
      <c r="A4271" t="s">
        <v>4277</v>
      </c>
      <c r="B4271" t="s">
        <v>8654</v>
      </c>
      <c r="C4271" t="s">
        <v>7342</v>
      </c>
      <c r="D4271" t="s">
        <v>15207</v>
      </c>
      <c r="E4271" s="2">
        <v>10757</v>
      </c>
      <c r="G4271">
        <f>HYPERLINK("https://www.senat.fr/senateur-3eme-republique/richard_jean1211r3.html", "richard_jean1211r3")</f>
        <v>0</v>
      </c>
      <c r="H4271">
        <f>HYPERLINK("https://www.wikidata.org/wiki/Q3174311", "Q3174311")</f>
        <v>0</v>
      </c>
    </row>
    <row r="4272" spans="1:8">
      <c r="A4272" t="s">
        <v>4278</v>
      </c>
      <c r="B4272" t="s">
        <v>8653</v>
      </c>
      <c r="C4272" t="s">
        <v>10781</v>
      </c>
      <c r="D4272" t="s">
        <v>15208</v>
      </c>
      <c r="E4272" s="2">
        <v>4265</v>
      </c>
      <c r="F4272">
        <f>HYPERLINK("https://www2.assemblee-nationale.fr/sycomore/fiche/(num_dept)/6739", "6739.0")</f>
        <v>0</v>
      </c>
      <c r="H4272">
        <f>HYPERLINK("https://www.wikidata.org/wiki/Q16026419", "Q16026419")</f>
        <v>0</v>
      </c>
    </row>
    <row r="4273" spans="1:8">
      <c r="A4273" t="s">
        <v>4279</v>
      </c>
      <c r="B4273" t="s">
        <v>8654</v>
      </c>
      <c r="C4273" t="s">
        <v>9362</v>
      </c>
      <c r="D4273" t="s">
        <v>12651</v>
      </c>
      <c r="E4273" s="2">
        <v>17698</v>
      </c>
      <c r="G4273">
        <f>HYPERLINK("https://www.senat.fr/senateur-3eme-republique/richard_adrien1807r3.html", "richard_adrien1807r3")</f>
        <v>0</v>
      </c>
      <c r="H4273">
        <f>HYPERLINK("https://www.wikidata.org/wiki/Q2825255", "Q2825255")</f>
        <v>0</v>
      </c>
    </row>
    <row r="4274" spans="1:8">
      <c r="A4274" t="s">
        <v>4280</v>
      </c>
      <c r="B4274" t="s">
        <v>8653</v>
      </c>
      <c r="C4274" t="s">
        <v>11076</v>
      </c>
      <c r="D4274" t="s">
        <v>15209</v>
      </c>
      <c r="E4274" s="2">
        <v>19409</v>
      </c>
      <c r="F4274">
        <f>HYPERLINK("https://www2.assemblee-nationale.fr/sycomore/fiche/(num_dept)/6735", "6735.0")</f>
        <v>0</v>
      </c>
      <c r="H4274">
        <f>HYPERLINK("https://www.wikidata.org/wiki/Q8305870", "Q8305870")</f>
        <v>0</v>
      </c>
    </row>
    <row r="4275" spans="1:8">
      <c r="A4275" t="s">
        <v>4281</v>
      </c>
      <c r="B4275" t="s">
        <v>8653</v>
      </c>
      <c r="C4275" t="s">
        <v>9430</v>
      </c>
      <c r="D4275" t="s">
        <v>15210</v>
      </c>
      <c r="E4275" s="2">
        <v>18370</v>
      </c>
      <c r="F4275">
        <f>HYPERLINK("https://www2.assemblee-nationale.fr/sycomore/fiche/(num_dept)/6738", "6738.0")</f>
        <v>0</v>
      </c>
      <c r="H4275">
        <f>HYPERLINK("https://www.wikidata.org/wiki/Q3372095", "Q3372095")</f>
        <v>0</v>
      </c>
    </row>
    <row r="4276" spans="1:8">
      <c r="A4276" t="s">
        <v>4282</v>
      </c>
      <c r="B4276" t="s">
        <v>8653</v>
      </c>
      <c r="C4276" t="s">
        <v>9320</v>
      </c>
      <c r="D4276" t="s">
        <v>15211</v>
      </c>
      <c r="E4276" s="2">
        <v>18721</v>
      </c>
      <c r="F4276">
        <f>HYPERLINK("https://www2.assemblee-nationale.fr/sycomore/fiche/(num_dept)/6740", "6740.0")</f>
        <v>0</v>
      </c>
      <c r="H4276">
        <f>HYPERLINK("https://www.wikidata.org/wiki/Q3426819", "Q3426819")</f>
        <v>0</v>
      </c>
    </row>
    <row r="4277" spans="1:8">
      <c r="A4277" t="s">
        <v>4283</v>
      </c>
      <c r="B4277" t="s">
        <v>8655</v>
      </c>
      <c r="C4277" t="s">
        <v>9529</v>
      </c>
      <c r="D4277" t="s">
        <v>15212</v>
      </c>
      <c r="E4277" t="s">
        <v>16381</v>
      </c>
      <c r="G4277">
        <f>HYPERLINK("https://www.senat.fr/senateur-3eme-republique/richaud_leopold0066r3.html", "richaud_leopold0066r3")</f>
        <v>0</v>
      </c>
      <c r="H4277">
        <f>HYPERLINK("https://www.wikidata.org/wiki/Q2409643", "Q2409643")</f>
        <v>0</v>
      </c>
    </row>
    <row r="4278" spans="1:8">
      <c r="A4278" t="s">
        <v>4284</v>
      </c>
      <c r="B4278" t="s">
        <v>8656</v>
      </c>
      <c r="C4278" t="s">
        <v>6686</v>
      </c>
      <c r="D4278" t="s">
        <v>15213</v>
      </c>
      <c r="E4278" s="2">
        <v>11337</v>
      </c>
      <c r="F4278">
        <f>HYPERLINK("https://www2.assemblee-nationale.fr/sycomore/fiche/(num_dept)/6744", "6744.0")</f>
        <v>0</v>
      </c>
      <c r="H4278">
        <f>HYPERLINK("https://www.wikidata.org/wiki/Q16026421", "Q16026421")</f>
        <v>0</v>
      </c>
    </row>
    <row r="4279" spans="1:8">
      <c r="A4279" t="s">
        <v>4285</v>
      </c>
      <c r="B4279" t="s">
        <v>8657</v>
      </c>
      <c r="C4279" t="s">
        <v>11077</v>
      </c>
      <c r="D4279" t="s">
        <v>15214</v>
      </c>
      <c r="E4279" s="2">
        <v>12631</v>
      </c>
      <c r="F4279">
        <f>HYPERLINK("https://www2.assemblee-nationale.fr/sycomore/fiche/(num_dept)/6742", "6742.0")</f>
        <v>0</v>
      </c>
      <c r="H4279">
        <f>HYPERLINK("https://www.wikidata.org/wiki/Q3592354", "Q3592354")</f>
        <v>0</v>
      </c>
    </row>
    <row r="4280" spans="1:8">
      <c r="A4280" t="s">
        <v>4286</v>
      </c>
      <c r="B4280" t="s">
        <v>8658</v>
      </c>
      <c r="C4280" t="s">
        <v>9841</v>
      </c>
      <c r="D4280" t="s">
        <v>15215</v>
      </c>
      <c r="E4280" s="2">
        <v>13031</v>
      </c>
      <c r="F4280">
        <f>HYPERLINK("https://www2.assemblee-nationale.fr/sycomore/fiche/(num_dept)/6751", "6751.0")</f>
        <v>0</v>
      </c>
      <c r="H4280">
        <f>HYPERLINK("https://www.wikidata.org/wiki/Q78227", "Q78227")</f>
        <v>0</v>
      </c>
    </row>
    <row r="4281" spans="1:8">
      <c r="A4281" t="s">
        <v>4287</v>
      </c>
      <c r="B4281" t="s">
        <v>8659</v>
      </c>
      <c r="C4281" t="s">
        <v>11078</v>
      </c>
      <c r="D4281" t="s">
        <v>15216</v>
      </c>
      <c r="E4281" s="2">
        <v>21882</v>
      </c>
      <c r="F4281">
        <f>HYPERLINK("https://www2.assemblee-nationale.fr/sycomore/fiche/(num_dept)/6752", "6752.0")</f>
        <v>0</v>
      </c>
      <c r="H4281">
        <f>HYPERLINK("https://www.wikidata.org/wiki/Q3143189", "Q3143189")</f>
        <v>0</v>
      </c>
    </row>
    <row r="4282" spans="1:8">
      <c r="A4282" t="s">
        <v>4288</v>
      </c>
      <c r="B4282" t="s">
        <v>8660</v>
      </c>
      <c r="C4282" t="s">
        <v>11079</v>
      </c>
      <c r="D4282" t="s">
        <v>11624</v>
      </c>
      <c r="E4282" s="2">
        <v>18216</v>
      </c>
      <c r="F4282">
        <f>HYPERLINK("https://www2.assemblee-nationale.fr/sycomore/fiche/(num_dept)/6754", "6754.0")</f>
        <v>0</v>
      </c>
      <c r="H4282">
        <f>HYPERLINK("https://www.wikidata.org/wiki/Q16026423", "Q16026423")</f>
        <v>0</v>
      </c>
    </row>
    <row r="4283" spans="1:8">
      <c r="A4283" t="s">
        <v>4289</v>
      </c>
      <c r="B4283" t="s">
        <v>8661</v>
      </c>
      <c r="C4283" t="s">
        <v>9373</v>
      </c>
      <c r="D4283" t="s">
        <v>15217</v>
      </c>
      <c r="E4283" s="2">
        <v>11735</v>
      </c>
      <c r="F4283">
        <f>HYPERLINK("https://www2.assemblee-nationale.fr/sycomore/fiche/(num_dept)/6755", "6755.0")</f>
        <v>0</v>
      </c>
      <c r="H4283">
        <f>HYPERLINK("https://www.wikidata.org/wiki/Q20962351", "Q20962351")</f>
        <v>0</v>
      </c>
    </row>
    <row r="4284" spans="1:8">
      <c r="A4284" t="s">
        <v>4290</v>
      </c>
      <c r="B4284" t="s">
        <v>8662</v>
      </c>
      <c r="C4284" t="s">
        <v>11080</v>
      </c>
      <c r="D4284" t="s">
        <v>15218</v>
      </c>
      <c r="E4284" s="2">
        <v>6766</v>
      </c>
      <c r="F4284">
        <f>HYPERLINK("https://www2.assemblee-nationale.fr/sycomore/fiche/(num_dept)/10838", "10838.0")</f>
        <v>0</v>
      </c>
      <c r="H4284">
        <f>HYPERLINK("https://www.wikidata.org/wiki/Q3131916", "Q3131916")</f>
        <v>0</v>
      </c>
    </row>
    <row r="4285" spans="1:8">
      <c r="A4285" t="s">
        <v>4291</v>
      </c>
      <c r="B4285" t="s">
        <v>8663</v>
      </c>
      <c r="C4285" t="s">
        <v>7342</v>
      </c>
      <c r="D4285" t="s">
        <v>14487</v>
      </c>
      <c r="E4285" s="2">
        <v>12121</v>
      </c>
      <c r="F4285">
        <f>HYPERLINK("https://www2.assemblee-nationale.fr/sycomore/fiche/(num_dept)/6759", "6759.0")</f>
        <v>0</v>
      </c>
      <c r="H4285">
        <f>HYPERLINK("https://www.wikidata.org/wiki/Q16026424", "Q16026424")</f>
        <v>0</v>
      </c>
    </row>
    <row r="4286" spans="1:8">
      <c r="A4286" t="s">
        <v>4292</v>
      </c>
      <c r="B4286" t="s">
        <v>8664</v>
      </c>
      <c r="C4286" t="s">
        <v>11081</v>
      </c>
      <c r="D4286" t="s">
        <v>15219</v>
      </c>
      <c r="E4286" s="2">
        <v>23568</v>
      </c>
      <c r="F4286">
        <f>HYPERLINK("https://www2.assemblee-nationale.fr/sycomore/fiche/(num_dept)/6760", "6760.0")</f>
        <v>0</v>
      </c>
      <c r="H4286">
        <f>HYPERLINK("https://www.wikidata.org/wiki/Q2935058", "Q2935058")</f>
        <v>0</v>
      </c>
    </row>
    <row r="4287" spans="1:8">
      <c r="A4287" t="s">
        <v>4293</v>
      </c>
      <c r="B4287" t="s">
        <v>8665</v>
      </c>
      <c r="C4287" t="s">
        <v>8269</v>
      </c>
      <c r="D4287" t="s">
        <v>15220</v>
      </c>
      <c r="E4287" t="s">
        <v>16382</v>
      </c>
      <c r="G4287">
        <f>HYPERLINK("https://www.senat.fr/senateur-3eme-republique/rigal_pascal1680r3.html", "rigal_pascal1680r3")</f>
        <v>0</v>
      </c>
      <c r="H4287">
        <f>HYPERLINK("https://www.wikidata.org/wiki/Q3367592", "Q3367592")</f>
        <v>0</v>
      </c>
    </row>
    <row r="4288" spans="1:8">
      <c r="A4288" t="s">
        <v>4294</v>
      </c>
      <c r="B4288" t="s">
        <v>8666</v>
      </c>
      <c r="C4288" t="s">
        <v>11082</v>
      </c>
      <c r="D4288" t="s">
        <v>15221</v>
      </c>
      <c r="E4288" s="2">
        <v>13652</v>
      </c>
      <c r="F4288">
        <f>HYPERLINK("https://www2.assemblee-nationale.fr/sycomore/fiche/(num_dept)/6764", "6764.0")</f>
        <v>0</v>
      </c>
      <c r="H4288">
        <f>HYPERLINK("https://www.wikidata.org/wiki/Q16026426", "Q16026426")</f>
        <v>0</v>
      </c>
    </row>
    <row r="4289" spans="1:8">
      <c r="A4289" t="s">
        <v>4295</v>
      </c>
      <c r="B4289" t="s">
        <v>8667</v>
      </c>
      <c r="C4289" t="s">
        <v>11083</v>
      </c>
      <c r="D4289" t="s">
        <v>11714</v>
      </c>
      <c r="E4289" t="s">
        <v>16383</v>
      </c>
      <c r="F4289">
        <f>HYPERLINK("https://www2.assemblee-nationale.fr/sycomore/fiche/(num_dept)/6766", "6766.0")</f>
        <v>0</v>
      </c>
      <c r="H4289">
        <f>HYPERLINK("https://www.wikidata.org/wiki/Q16025786", "Q16025786")</f>
        <v>0</v>
      </c>
    </row>
    <row r="4290" spans="1:8">
      <c r="A4290" t="s">
        <v>4296</v>
      </c>
      <c r="B4290" t="s">
        <v>8668</v>
      </c>
      <c r="C4290" t="s">
        <v>11084</v>
      </c>
      <c r="D4290" t="s">
        <v>15222</v>
      </c>
      <c r="E4290" s="2">
        <v>548</v>
      </c>
      <c r="F4290">
        <f>HYPERLINK("https://www2.assemblee-nationale.fr/sycomore/fiche/(num_dept)/6767", "6767.0")</f>
        <v>0</v>
      </c>
      <c r="H4290">
        <f>HYPERLINK("https://www.wikidata.org/wiki/Q16026427", "Q16026427")</f>
        <v>0</v>
      </c>
    </row>
    <row r="4291" spans="1:8">
      <c r="A4291" t="s">
        <v>4297</v>
      </c>
      <c r="B4291" t="s">
        <v>8669</v>
      </c>
      <c r="C4291" t="s">
        <v>9324</v>
      </c>
      <c r="D4291" t="s">
        <v>15223</v>
      </c>
      <c r="E4291" s="2">
        <v>17771</v>
      </c>
      <c r="G4291">
        <f>HYPERLINK("https://www.senat.fr/senateur-3eme-republique/rillard_de_verneuil_henri0040r3.html", "rillard_de_verneuil_henri0040r3")</f>
        <v>0</v>
      </c>
      <c r="H4291">
        <f>HYPERLINK("https://www.wikidata.org/wiki/Q3131913", "Q3131913")</f>
        <v>0</v>
      </c>
    </row>
    <row r="4292" spans="1:8">
      <c r="A4292" t="s">
        <v>4298</v>
      </c>
      <c r="B4292" t="s">
        <v>8670</v>
      </c>
      <c r="C4292" t="s">
        <v>11085</v>
      </c>
      <c r="D4292" t="s">
        <v>15224</v>
      </c>
      <c r="E4292" s="2">
        <v>14754</v>
      </c>
      <c r="F4292">
        <f>HYPERLINK("https://www2.assemblee-nationale.fr/sycomore/fiche/(num_dept)/6774", "6774.0")</f>
        <v>0</v>
      </c>
      <c r="H4292">
        <f>HYPERLINK("https://www.wikidata.org/wiki/Q3069028", "Q3069028")</f>
        <v>0</v>
      </c>
    </row>
    <row r="4293" spans="1:8">
      <c r="A4293" t="s">
        <v>4299</v>
      </c>
      <c r="B4293" t="s">
        <v>8670</v>
      </c>
      <c r="C4293" t="s">
        <v>11086</v>
      </c>
      <c r="D4293" t="s">
        <v>15225</v>
      </c>
      <c r="E4293" s="2">
        <v>19875</v>
      </c>
      <c r="F4293">
        <f>HYPERLINK("https://www2.assemblee-nationale.fr/sycomore/fiche/(num_dept)/6773", "6773.0")</f>
        <v>0</v>
      </c>
      <c r="H4293">
        <f>HYPERLINK("https://www.wikidata.org/wiki/Q16026428", "Q16026428")</f>
        <v>0</v>
      </c>
    </row>
    <row r="4294" spans="1:8">
      <c r="A4294" t="s">
        <v>4300</v>
      </c>
      <c r="B4294" t="s">
        <v>8671</v>
      </c>
      <c r="C4294" t="s">
        <v>6864</v>
      </c>
      <c r="D4294" t="s">
        <v>15226</v>
      </c>
      <c r="E4294" s="2">
        <v>5138</v>
      </c>
      <c r="G4294">
        <f>HYPERLINK("https://www.senat.fr/senateur-3eme-republique/ringot_francois0974r3.html", "ringot_francois0974r3")</f>
        <v>0</v>
      </c>
      <c r="H4294">
        <f>HYPERLINK("https://www.wikidata.org/wiki/Q3085698", "Q3085698")</f>
        <v>0</v>
      </c>
    </row>
    <row r="4295" spans="1:8">
      <c r="A4295" t="s">
        <v>4301</v>
      </c>
      <c r="B4295" t="s">
        <v>8672</v>
      </c>
      <c r="C4295" t="s">
        <v>11087</v>
      </c>
      <c r="D4295" t="s">
        <v>15227</v>
      </c>
      <c r="E4295" t="s">
        <v>16384</v>
      </c>
      <c r="F4295">
        <f>HYPERLINK("https://www2.assemblee-nationale.fr/sycomore/fiche/(num_dept)/6779", "6779.0")</f>
        <v>0</v>
      </c>
      <c r="H4295">
        <f>HYPERLINK("https://www.wikidata.org/wiki/Q8339650", "Q8339650")</f>
        <v>0</v>
      </c>
    </row>
    <row r="4296" spans="1:8">
      <c r="A4296" t="s">
        <v>4302</v>
      </c>
      <c r="B4296" t="s">
        <v>8672</v>
      </c>
      <c r="C4296" t="s">
        <v>11088</v>
      </c>
      <c r="D4296" t="s">
        <v>15228</v>
      </c>
      <c r="E4296" s="2">
        <v>13319</v>
      </c>
      <c r="F4296">
        <f>HYPERLINK("https://www2.assemblee-nationale.fr/sycomore/fiche/(num_dept)/6780", "6780.0")</f>
        <v>0</v>
      </c>
      <c r="H4296">
        <f>HYPERLINK("https://www.wikidata.org/wiki/Q15972018", "Q15972018")</f>
        <v>0</v>
      </c>
    </row>
    <row r="4297" spans="1:8">
      <c r="A4297" t="s">
        <v>4303</v>
      </c>
      <c r="B4297" t="s">
        <v>8673</v>
      </c>
      <c r="C4297" t="s">
        <v>11089</v>
      </c>
      <c r="D4297" t="s">
        <v>13678</v>
      </c>
      <c r="E4297" s="2">
        <v>18215</v>
      </c>
      <c r="F4297">
        <f>HYPERLINK("https://www2.assemblee-nationale.fr/sycomore/fiche/(num_dept)/6781", "6781.0")</f>
        <v>0</v>
      </c>
      <c r="G4297">
        <f>HYPERLINK("https://www.senat.fr/senateur-3eme-republique/rio_alphonse0903r3.html", "rio_alphonse0903r3")</f>
        <v>0</v>
      </c>
      <c r="H4297">
        <f>HYPERLINK("https://www.wikidata.org/wiki/Q2839950", "Q2839950")</f>
        <v>0</v>
      </c>
    </row>
    <row r="4298" spans="1:8">
      <c r="A4298" t="s">
        <v>4304</v>
      </c>
      <c r="B4298" t="s">
        <v>8674</v>
      </c>
      <c r="C4298" t="s">
        <v>11090</v>
      </c>
      <c r="D4298" t="s">
        <v>15229</v>
      </c>
      <c r="E4298" s="2">
        <v>9960</v>
      </c>
      <c r="F4298">
        <f>HYPERLINK("https://www2.assemblee-nationale.fr/sycomore/fiche/(num_dept)/6782", "6782.0")</f>
        <v>0</v>
      </c>
      <c r="G4298">
        <f>HYPERLINK("https://www.senat.fr/senateur-3eme-republique/riotteau_emile1031r3.html", "riotteau_emile1031r3")</f>
        <v>0</v>
      </c>
      <c r="H4298">
        <f>HYPERLINK("https://www.wikidata.org/wiki/Q3588719", "Q3588719")</f>
        <v>0</v>
      </c>
    </row>
    <row r="4299" spans="1:8">
      <c r="A4299" t="s">
        <v>4305</v>
      </c>
      <c r="B4299" t="s">
        <v>8675</v>
      </c>
      <c r="C4299" t="s">
        <v>9355</v>
      </c>
      <c r="D4299" t="s">
        <v>15230</v>
      </c>
      <c r="E4299" s="2">
        <v>10133</v>
      </c>
      <c r="G4299">
        <f>HYPERLINK("https://www.senat.fr/senateur-3eme-republique/riou_charles0894r3.html", "riou_charles0894r3")</f>
        <v>0</v>
      </c>
      <c r="H4299">
        <f>HYPERLINK("https://www.wikidata.org/wiki/Q20027652", "Q20027652")</f>
        <v>0</v>
      </c>
    </row>
    <row r="4300" spans="1:8">
      <c r="A4300" t="s">
        <v>4306</v>
      </c>
      <c r="B4300" t="s">
        <v>8676</v>
      </c>
      <c r="C4300" t="s">
        <v>11091</v>
      </c>
      <c r="D4300" t="s">
        <v>15231</v>
      </c>
      <c r="E4300" s="2">
        <v>934</v>
      </c>
      <c r="F4300">
        <f>HYPERLINK("https://www2.assemblee-nationale.fr/sycomore/fiche/(num_dept)/6784", "6784.0")</f>
        <v>0</v>
      </c>
      <c r="H4300">
        <f>HYPERLINK("https://www.wikidata.org/wiki/Q3573931", "Q3573931")</f>
        <v>0</v>
      </c>
    </row>
    <row r="4301" spans="1:8">
      <c r="A4301" t="s">
        <v>4307</v>
      </c>
      <c r="B4301" t="s">
        <v>8677</v>
      </c>
      <c r="C4301" t="s">
        <v>11092</v>
      </c>
      <c r="D4301" t="s">
        <v>15232</v>
      </c>
      <c r="E4301" s="2">
        <v>21366</v>
      </c>
      <c r="F4301">
        <f>HYPERLINK("https://www2.assemblee-nationale.fr/sycomore/fiche/(num_dept)/6787", "6787.0")</f>
        <v>0</v>
      </c>
      <c r="H4301">
        <f>HYPERLINK("https://www.wikidata.org/wiki/Q3164404", "Q3164404")</f>
        <v>0</v>
      </c>
    </row>
    <row r="4302" spans="1:8">
      <c r="A4302" t="s">
        <v>4308</v>
      </c>
      <c r="B4302" t="s">
        <v>8678</v>
      </c>
      <c r="C4302" t="s">
        <v>9337</v>
      </c>
      <c r="D4302" t="s">
        <v>15233</v>
      </c>
      <c r="E4302" s="2">
        <v>11771</v>
      </c>
      <c r="F4302">
        <f>HYPERLINK("https://www2.assemblee-nationale.fr/sycomore/fiche/(num_dept)/6790", "6790.0")</f>
        <v>0</v>
      </c>
      <c r="G4302">
        <f>HYPERLINK("https://www.senat.fr/senateur-3eme-republique/rispal_auguste1614r3.html", "rispal_auguste1614r3")</f>
        <v>0</v>
      </c>
      <c r="H4302">
        <f>HYPERLINK("https://www.wikidata.org/wiki/Q2871383", "Q2871383")</f>
        <v>0</v>
      </c>
    </row>
    <row r="4303" spans="1:8">
      <c r="A4303" t="s">
        <v>4309</v>
      </c>
      <c r="B4303" t="s">
        <v>8679</v>
      </c>
      <c r="C4303" t="s">
        <v>11093</v>
      </c>
      <c r="D4303" t="s">
        <v>15234</v>
      </c>
      <c r="E4303" t="s">
        <v>16385</v>
      </c>
      <c r="F4303">
        <f>HYPERLINK("https://www2.assemblee-nationale.fr/sycomore/fiche/(num_dept)/6794", "6794.0")</f>
        <v>0</v>
      </c>
      <c r="H4303">
        <f>HYPERLINK("https://www.wikidata.org/wiki/Q8317159", "Q8317159")</f>
        <v>0</v>
      </c>
    </row>
    <row r="4304" spans="1:8">
      <c r="A4304" t="s">
        <v>4310</v>
      </c>
      <c r="B4304" t="s">
        <v>8680</v>
      </c>
      <c r="C4304" t="s">
        <v>11094</v>
      </c>
      <c r="D4304" t="s">
        <v>15235</v>
      </c>
      <c r="E4304" s="2">
        <v>7617</v>
      </c>
      <c r="F4304">
        <f>HYPERLINK("https://www2.assemblee-nationale.fr/sycomore/fiche/(num_dept)/6797", "6797.0")</f>
        <v>0</v>
      </c>
      <c r="G4304">
        <f>HYPERLINK("https://www.senat.fr/senateur-3eme-republique/rivals_jules0268r3.html", "rivals_jules0268r3")</f>
        <v>0</v>
      </c>
      <c r="H4304">
        <f>HYPERLINK("https://www.wikidata.org/wiki/Q3188887", "Q3188887")</f>
        <v>0</v>
      </c>
    </row>
    <row r="4305" spans="1:8">
      <c r="A4305" t="s">
        <v>4311</v>
      </c>
      <c r="B4305" t="s">
        <v>8681</v>
      </c>
      <c r="C4305" t="s">
        <v>5058</v>
      </c>
      <c r="D4305" t="s">
        <v>15236</v>
      </c>
      <c r="E4305" s="2">
        <v>20713</v>
      </c>
      <c r="H4305">
        <f>HYPERLINK("https://www.wikidata.org/wiki/Q1406144", "Q1406144")</f>
        <v>0</v>
      </c>
    </row>
    <row r="4306" spans="1:8">
      <c r="A4306" t="s">
        <v>4312</v>
      </c>
      <c r="B4306" t="s">
        <v>8682</v>
      </c>
      <c r="C4306" t="s">
        <v>11095</v>
      </c>
      <c r="D4306" t="s">
        <v>15237</v>
      </c>
      <c r="E4306" s="2">
        <v>24524</v>
      </c>
      <c r="F4306">
        <f>HYPERLINK("https://www2.assemblee-nationale.fr/sycomore/fiche/(num_dept)/6799", "6799.0")</f>
        <v>0</v>
      </c>
      <c r="H4306">
        <f>HYPERLINK("https://www.wikidata.org/wiki/Q3372101", "Q3372101")</f>
        <v>0</v>
      </c>
    </row>
    <row r="4307" spans="1:8">
      <c r="A4307" t="s">
        <v>4313</v>
      </c>
      <c r="B4307" t="s">
        <v>8683</v>
      </c>
      <c r="C4307" t="s">
        <v>9503</v>
      </c>
      <c r="D4307" t="s">
        <v>12874</v>
      </c>
      <c r="E4307" s="2">
        <v>13321</v>
      </c>
      <c r="F4307">
        <f>HYPERLINK("https://www2.assemblee-nationale.fr/sycomore/fiche/(num_dept)/6001", "6001.0")</f>
        <v>0</v>
      </c>
      <c r="G4307">
        <f>HYPERLINK("https://www.senat.fr/senateur-3eme-republique/rivet_gustave1198r3.html", "rivet_gustave1198r3")</f>
        <v>0</v>
      </c>
      <c r="H4307">
        <f>HYPERLINK("https://www.wikidata.org/wiki/Q3121310", "Q3121310")</f>
        <v>0</v>
      </c>
    </row>
    <row r="4308" spans="1:8">
      <c r="A4308" t="s">
        <v>4314</v>
      </c>
      <c r="B4308" t="s">
        <v>8684</v>
      </c>
      <c r="C4308" t="s">
        <v>7754</v>
      </c>
      <c r="D4308" t="s">
        <v>15238</v>
      </c>
      <c r="G4308">
        <f>HYPERLINK("https://www.senat.fr/senateur-3eme-republique/riviere_louis0433r3.html", "riviere_louis0433r3")</f>
        <v>0</v>
      </c>
      <c r="H4308">
        <f>HYPERLINK("https://www.wikidata.org/wiki/Q3263010", "Q3263010")</f>
        <v>0</v>
      </c>
    </row>
    <row r="4309" spans="1:8">
      <c r="A4309" t="s">
        <v>4315</v>
      </c>
      <c r="B4309" t="s">
        <v>8685</v>
      </c>
      <c r="C4309" t="s">
        <v>11096</v>
      </c>
      <c r="D4309" t="s">
        <v>15197</v>
      </c>
      <c r="E4309" t="s">
        <v>16386</v>
      </c>
      <c r="F4309">
        <f>HYPERLINK("https://www2.assemblee-nationale.fr/sycomore/fiche/(num_dept)/6005", "6005.0")</f>
        <v>0</v>
      </c>
      <c r="H4309">
        <f>HYPERLINK("https://www.wikidata.org/wiki/Q2861955", "Q2861955")</f>
        <v>0</v>
      </c>
    </row>
    <row r="4310" spans="1:8">
      <c r="A4310" t="s">
        <v>4316</v>
      </c>
      <c r="B4310" t="s">
        <v>8685</v>
      </c>
      <c r="C4310" t="s">
        <v>11097</v>
      </c>
      <c r="D4310" t="s">
        <v>15177</v>
      </c>
      <c r="E4310" s="2">
        <v>19538</v>
      </c>
      <c r="F4310">
        <f>HYPERLINK("https://www2.assemblee-nationale.fr/sycomore/fiche/(num_dept)/19493", "19493.0")</f>
        <v>0</v>
      </c>
      <c r="H4310">
        <f>HYPERLINK("https://www.wikidata.org/wiki/Q2831506", "Q2831506")</f>
        <v>0</v>
      </c>
    </row>
    <row r="4311" spans="1:8">
      <c r="A4311" t="s">
        <v>4317</v>
      </c>
      <c r="B4311" t="s">
        <v>8686</v>
      </c>
      <c r="C4311" t="s">
        <v>7001</v>
      </c>
      <c r="D4311" t="s">
        <v>15239</v>
      </c>
      <c r="E4311" s="2">
        <v>27391</v>
      </c>
      <c r="H4311">
        <f>HYPERLINK("https://www.wikidata.org/wiki/Q3103417", "Q3103417")</f>
        <v>0</v>
      </c>
    </row>
    <row r="4312" spans="1:8">
      <c r="A4312" t="s">
        <v>4318</v>
      </c>
      <c r="B4312" t="s">
        <v>8687</v>
      </c>
      <c r="C4312" t="s">
        <v>11098</v>
      </c>
      <c r="D4312" t="s">
        <v>15240</v>
      </c>
      <c r="E4312" s="2">
        <v>15267</v>
      </c>
      <c r="F4312">
        <f>HYPERLINK("https://www2.assemblee-nationale.fr/sycomore/fiche/(num_dept)/6010", "6010.0")</f>
        <v>0</v>
      </c>
      <c r="H4312">
        <f>HYPERLINK("https://www.wikidata.org/wiki/Q2885993", "Q2885993")</f>
        <v>0</v>
      </c>
    </row>
    <row r="4313" spans="1:8">
      <c r="A4313" t="s">
        <v>4319</v>
      </c>
      <c r="B4313" t="s">
        <v>8688</v>
      </c>
      <c r="C4313" t="s">
        <v>11099</v>
      </c>
      <c r="D4313" t="s">
        <v>15241</v>
      </c>
      <c r="E4313" t="s">
        <v>16387</v>
      </c>
      <c r="G4313">
        <f>HYPERLINK("https://www.senat.fr/senateur-3eme-republique/robert_de_massy_paul_alexandre0504r3.html", "robert_de_massy_paul_alexandre0504r3")</f>
        <v>0</v>
      </c>
      <c r="H4313">
        <f>HYPERLINK("https://www.wikidata.org/wiki/Q3370447", "Q3370447")</f>
        <v>0</v>
      </c>
    </row>
    <row r="4314" spans="1:8">
      <c r="A4314" t="s">
        <v>4320</v>
      </c>
      <c r="B4314" t="s">
        <v>8689</v>
      </c>
      <c r="C4314" t="s">
        <v>7754</v>
      </c>
      <c r="D4314" t="s">
        <v>15242</v>
      </c>
      <c r="E4314" t="s">
        <v>16388</v>
      </c>
      <c r="G4314">
        <f>HYPERLINK("https://www.senat.fr/senateur-3eme-republique/robert_dehault_louis0868r3.html", "robert_dehault_louis0868r3")</f>
        <v>0</v>
      </c>
      <c r="H4314">
        <f>HYPERLINK("https://www.wikidata.org/wiki/Q3263026", "Q3263026")</f>
        <v>0</v>
      </c>
    </row>
    <row r="4315" spans="1:8">
      <c r="A4315" t="s">
        <v>4321</v>
      </c>
      <c r="B4315" t="s">
        <v>8690</v>
      </c>
      <c r="C4315" t="s">
        <v>8691</v>
      </c>
      <c r="D4315" t="s">
        <v>15243</v>
      </c>
      <c r="E4315" s="2">
        <v>5845</v>
      </c>
      <c r="F4315">
        <f>HYPERLINK("https://www2.assemblee-nationale.fr/sycomore/fiche/(num_dept)/6017", "6017.0")</f>
        <v>0</v>
      </c>
      <c r="H4315">
        <f>HYPERLINK("https://www.wikidata.org/wiki/Q16026431", "Q16026431")</f>
        <v>0</v>
      </c>
    </row>
    <row r="4316" spans="1:8">
      <c r="A4316" t="s">
        <v>4322</v>
      </c>
      <c r="B4316" t="s">
        <v>8691</v>
      </c>
      <c r="C4316" t="s">
        <v>8384</v>
      </c>
      <c r="D4316" t="s">
        <v>15244</v>
      </c>
      <c r="E4316" s="2">
        <v>1580</v>
      </c>
      <c r="G4316">
        <f>HYPERLINK("https://www.senat.fr/senateur-3eme-republique/robert_pierre1590r3.html", "robert_pierre1590r3")</f>
        <v>0</v>
      </c>
      <c r="H4316">
        <f>HYPERLINK("https://www.wikidata.org/wiki/Q3386819", "Q3386819")</f>
        <v>0</v>
      </c>
    </row>
    <row r="4317" spans="1:8">
      <c r="A4317" t="s">
        <v>4323</v>
      </c>
      <c r="B4317" t="s">
        <v>8691</v>
      </c>
      <c r="C4317" t="s">
        <v>11100</v>
      </c>
      <c r="D4317" t="s">
        <v>15245</v>
      </c>
      <c r="E4317" s="2">
        <v>2636</v>
      </c>
      <c r="F4317">
        <f>HYPERLINK("https://www2.assemblee-nationale.fr/sycomore/fiche/(num_dept)/8203", "8203.0")</f>
        <v>0</v>
      </c>
      <c r="H4317">
        <f>HYPERLINK("https://www.wikidata.org/wiki/Q8316291", "Q8316291")</f>
        <v>0</v>
      </c>
    </row>
    <row r="4318" spans="1:8">
      <c r="A4318" t="s">
        <v>4324</v>
      </c>
      <c r="B4318" t="s">
        <v>8691</v>
      </c>
      <c r="C4318" t="s">
        <v>11101</v>
      </c>
      <c r="D4318" t="s">
        <v>12610</v>
      </c>
      <c r="E4318" s="2">
        <v>346</v>
      </c>
      <c r="F4318">
        <f>HYPERLINK("https://www2.assemblee-nationale.fr/sycomore/fiche/(num_dept)/6013", "6013.0")</f>
        <v>0</v>
      </c>
      <c r="H4318">
        <f>HYPERLINK("https://www.wikidata.org/wiki/Q8339600", "Q8339600")</f>
        <v>0</v>
      </c>
    </row>
    <row r="4319" spans="1:8">
      <c r="A4319" t="s">
        <v>4325</v>
      </c>
      <c r="B4319" t="s">
        <v>8692</v>
      </c>
      <c r="C4319" t="s">
        <v>8384</v>
      </c>
      <c r="D4319" t="s">
        <v>14951</v>
      </c>
      <c r="E4319" s="2">
        <v>21122</v>
      </c>
      <c r="G4319">
        <f>HYPERLINK("https://www.senat.fr/senateur-3eme-republique/robert_pierre1327r3.html", "robert_pierre1327r3")</f>
        <v>0</v>
      </c>
      <c r="H4319">
        <f>HYPERLINK("https://www.wikidata.org/wiki/Q3386818", "Q3386818")</f>
        <v>0</v>
      </c>
    </row>
    <row r="4320" spans="1:8">
      <c r="A4320" t="s">
        <v>4326</v>
      </c>
      <c r="B4320" t="s">
        <v>8692</v>
      </c>
      <c r="C4320" t="s">
        <v>9529</v>
      </c>
      <c r="D4320" t="s">
        <v>15246</v>
      </c>
      <c r="G4320">
        <f>HYPERLINK("https://www.senat.fr/senateur-3eme-republique/robert_leopold1756r3.html", "robert_leopold1756r3")</f>
        <v>0</v>
      </c>
      <c r="H4320">
        <f>HYPERLINK("https://www.wikidata.org/wiki/Q3175127", "Q3175127")</f>
        <v>0</v>
      </c>
    </row>
    <row r="4321" spans="1:8">
      <c r="A4321" t="s">
        <v>4327</v>
      </c>
      <c r="B4321" t="s">
        <v>8691</v>
      </c>
      <c r="C4321" t="s">
        <v>7942</v>
      </c>
      <c r="D4321" t="s">
        <v>15247</v>
      </c>
      <c r="E4321" s="2">
        <v>19690</v>
      </c>
      <c r="F4321">
        <f>HYPERLINK("https://www2.assemblee-nationale.fr/sycomore/fiche/(num_dept)/6014", "6014.0")</f>
        <v>0</v>
      </c>
      <c r="H4321">
        <f>HYPERLINK("https://www.wikidata.org/wiki/Q13085399", "Q13085399")</f>
        <v>0</v>
      </c>
    </row>
    <row r="4322" spans="1:8">
      <c r="A4322" t="s">
        <v>4328</v>
      </c>
      <c r="B4322" t="s">
        <v>8693</v>
      </c>
      <c r="C4322" t="s">
        <v>11102</v>
      </c>
      <c r="D4322" t="s">
        <v>15248</v>
      </c>
      <c r="E4322" s="2">
        <v>15159</v>
      </c>
      <c r="F4322">
        <f>HYPERLINK("https://www2.assemblee-nationale.fr/sycomore/fiche/(num_dept)/6018", "6018.0")</f>
        <v>0</v>
      </c>
      <c r="H4322">
        <f>HYPERLINK("https://www.wikidata.org/wiki/Q3557548", "Q3557548")</f>
        <v>0</v>
      </c>
    </row>
    <row r="4323" spans="1:8">
      <c r="A4323" t="s">
        <v>4329</v>
      </c>
      <c r="B4323" t="s">
        <v>8694</v>
      </c>
      <c r="C4323" t="s">
        <v>9355</v>
      </c>
      <c r="D4323" t="s">
        <v>15249</v>
      </c>
      <c r="E4323" t="s">
        <v>16389</v>
      </c>
      <c r="G4323">
        <f>HYPERLINK("https://www.senat.fr/senateur-3eme-republique/robin_charles0011r3.html", "robin_charles0011r3")</f>
        <v>0</v>
      </c>
      <c r="H4323">
        <f>HYPERLINK("https://www.wikidata.org/wiki/Q716201", "Q716201")</f>
        <v>0</v>
      </c>
    </row>
    <row r="4324" spans="1:8">
      <c r="A4324" t="s">
        <v>4330</v>
      </c>
      <c r="B4324" t="s">
        <v>8695</v>
      </c>
      <c r="C4324" t="s">
        <v>9429</v>
      </c>
      <c r="D4324" t="s">
        <v>15250</v>
      </c>
      <c r="E4324" t="s">
        <v>16390</v>
      </c>
      <c r="G4324">
        <f>HYPERLINK("https://www.senat.fr/senateur-3eme-republique/robinet_de_la_serve_alexandre0846r3.html", "robinet_de_la_serve_alexandre0846r3")</f>
        <v>0</v>
      </c>
      <c r="H4324">
        <f>HYPERLINK("https://www.wikidata.org/wiki/Q2834000", "Q2834000")</f>
        <v>0</v>
      </c>
    </row>
    <row r="4325" spans="1:8">
      <c r="A4325" t="s">
        <v>4331</v>
      </c>
      <c r="B4325" t="s">
        <v>8696</v>
      </c>
      <c r="C4325" t="s">
        <v>11103</v>
      </c>
      <c r="D4325" t="s">
        <v>15251</v>
      </c>
      <c r="E4325" s="2">
        <v>5884</v>
      </c>
      <c r="F4325">
        <f>HYPERLINK("https://www2.assemblee-nationale.fr/sycomore/fiche/(num_dept)/6022", "6022.0")</f>
        <v>0</v>
      </c>
      <c r="H4325">
        <f>HYPERLINK("https://www.wikidata.org/wiki/Q16026432", "Q16026432")</f>
        <v>0</v>
      </c>
    </row>
    <row r="4326" spans="1:8">
      <c r="A4326" t="s">
        <v>4332</v>
      </c>
      <c r="B4326" t="s">
        <v>8697</v>
      </c>
      <c r="C4326" t="s">
        <v>11104</v>
      </c>
      <c r="D4326" t="s">
        <v>15252</v>
      </c>
      <c r="E4326" s="2">
        <v>23070</v>
      </c>
      <c r="F4326">
        <f>HYPERLINK("https://www2.assemblee-nationale.fr/sycomore/fiche/(num_dept)/6025", "6025.0")</f>
        <v>0</v>
      </c>
      <c r="H4326">
        <f>HYPERLINK("https://www.wikidata.org/wiki/Q2935114", "Q2935114")</f>
        <v>0</v>
      </c>
    </row>
    <row r="4327" spans="1:8">
      <c r="A4327" t="s">
        <v>4333</v>
      </c>
      <c r="B4327" t="s">
        <v>8698</v>
      </c>
      <c r="C4327" t="s">
        <v>9503</v>
      </c>
      <c r="D4327" t="s">
        <v>14814</v>
      </c>
      <c r="E4327" s="2">
        <v>8625</v>
      </c>
      <c r="F4327">
        <f>HYPERLINK("https://www2.assemblee-nationale.fr/sycomore/fiche/(num_dept)/6027", "6027.0")</f>
        <v>0</v>
      </c>
      <c r="H4327">
        <f>HYPERLINK("https://www.wikidata.org/wiki/Q3121311", "Q3121311")</f>
        <v>0</v>
      </c>
    </row>
    <row r="4328" spans="1:8">
      <c r="A4328" t="s">
        <v>4334</v>
      </c>
      <c r="B4328" t="s">
        <v>8699</v>
      </c>
      <c r="C4328" t="s">
        <v>9708</v>
      </c>
      <c r="D4328" t="s">
        <v>15253</v>
      </c>
      <c r="E4328" s="2">
        <v>539</v>
      </c>
      <c r="F4328">
        <f>HYPERLINK("https://www2.assemblee-nationale.fr/sycomore/fiche/(num_dept)/6030", "6030.0")</f>
        <v>0</v>
      </c>
      <c r="H4328">
        <f>HYPERLINK("https://www.wikidata.org/wiki/Q16026434", "Q16026434")</f>
        <v>0</v>
      </c>
    </row>
    <row r="4329" spans="1:8">
      <c r="A4329" t="s">
        <v>4335</v>
      </c>
      <c r="B4329" t="s">
        <v>8699</v>
      </c>
      <c r="C4329" t="s">
        <v>11105</v>
      </c>
      <c r="D4329" t="s">
        <v>15254</v>
      </c>
      <c r="E4329" s="2">
        <v>8499</v>
      </c>
      <c r="F4329">
        <f>HYPERLINK("https://www2.assemblee-nationale.fr/sycomore/fiche/(num_dept)/6031", "6031.0")</f>
        <v>0</v>
      </c>
      <c r="H4329">
        <f>HYPERLINK("https://www.wikidata.org/wiki/Q3188891", "Q3188891")</f>
        <v>0</v>
      </c>
    </row>
    <row r="4330" spans="1:8">
      <c r="A4330" t="s">
        <v>4336</v>
      </c>
      <c r="B4330" t="s">
        <v>8699</v>
      </c>
      <c r="C4330" t="s">
        <v>11106</v>
      </c>
      <c r="D4330" t="s">
        <v>15255</v>
      </c>
      <c r="E4330" s="2">
        <v>6571</v>
      </c>
      <c r="F4330">
        <f>HYPERLINK("https://www2.assemblee-nationale.fr/sycomore/fiche/(num_dept)/6029", "6029.0")</f>
        <v>0</v>
      </c>
      <c r="H4330">
        <f>HYPERLINK("https://www.wikidata.org/wiki/Q3057161", "Q3057161")</f>
        <v>0</v>
      </c>
    </row>
    <row r="4331" spans="1:8">
      <c r="A4331" t="s">
        <v>4337</v>
      </c>
      <c r="B4331" t="s">
        <v>8699</v>
      </c>
      <c r="C4331" t="s">
        <v>11107</v>
      </c>
      <c r="D4331" t="s">
        <v>15256</v>
      </c>
      <c r="E4331" s="2">
        <v>19775</v>
      </c>
      <c r="F4331">
        <f>HYPERLINK("https://www2.assemblee-nationale.fr/sycomore/fiche/(num_dept)/6033", "6033.0")</f>
        <v>0</v>
      </c>
      <c r="H4331">
        <f>HYPERLINK("https://www.wikidata.org/wiki/Q8310777", "Q8310777")</f>
        <v>0</v>
      </c>
    </row>
    <row r="4332" spans="1:8">
      <c r="A4332" t="s">
        <v>4338</v>
      </c>
      <c r="B4332" t="s">
        <v>8700</v>
      </c>
      <c r="C4332" t="s">
        <v>9346</v>
      </c>
      <c r="D4332" t="s">
        <v>15257</v>
      </c>
      <c r="E4332" s="2">
        <v>15279</v>
      </c>
      <c r="G4332">
        <f>HYPERLINK("https://www.senat.fr/senateur-3eme-republique/roche_edouard0134r3.html", "roche_edouard0134r3")</f>
        <v>0</v>
      </c>
      <c r="H4332">
        <f>HYPERLINK("https://www.wikidata.org/wiki/Q3580018", "Q3580018")</f>
        <v>0</v>
      </c>
    </row>
    <row r="4333" spans="1:8">
      <c r="A4333" t="s">
        <v>4339</v>
      </c>
      <c r="B4333" t="s">
        <v>8699</v>
      </c>
      <c r="C4333" t="s">
        <v>5058</v>
      </c>
      <c r="D4333" t="s">
        <v>11541</v>
      </c>
      <c r="E4333" s="2">
        <v>14384</v>
      </c>
      <c r="F4333">
        <f>HYPERLINK("https://www2.assemblee-nationale.fr/sycomore/fiche/(num_dept)/6028", "6028.0")</f>
        <v>0</v>
      </c>
      <c r="H4333">
        <f>HYPERLINK("https://www.wikidata.org/wiki/Q16626123", "Q16626123")</f>
        <v>0</v>
      </c>
    </row>
    <row r="4334" spans="1:8">
      <c r="A4334" t="s">
        <v>4340</v>
      </c>
      <c r="B4334" t="s">
        <v>8699</v>
      </c>
      <c r="C4334" t="s">
        <v>11108</v>
      </c>
      <c r="D4334" t="s">
        <v>15258</v>
      </c>
      <c r="E4334" s="2">
        <v>16249</v>
      </c>
      <c r="F4334">
        <f>HYPERLINK("https://www2.assemblee-nationale.fr/sycomore/fiche/(num_dept)/6032", "6032.0")</f>
        <v>0</v>
      </c>
      <c r="H4334">
        <f>HYPERLINK("https://www.wikidata.org/wiki/Q3271304", "Q3271304")</f>
        <v>0</v>
      </c>
    </row>
    <row r="4335" spans="1:8">
      <c r="A4335" t="s">
        <v>4341</v>
      </c>
      <c r="B4335" t="s">
        <v>8701</v>
      </c>
      <c r="C4335" t="s">
        <v>11109</v>
      </c>
      <c r="D4335" t="s">
        <v>15259</v>
      </c>
      <c r="E4335" s="2">
        <v>4931</v>
      </c>
      <c r="F4335">
        <f>HYPERLINK("https://www2.assemblee-nationale.fr/sycomore/fiche/(num_dept)/8033", "8033.0")</f>
        <v>0</v>
      </c>
      <c r="H4335">
        <f>HYPERLINK("https://www.wikidata.org/wiki/Q642060", "Q642060")</f>
        <v>0</v>
      </c>
    </row>
    <row r="4336" spans="1:8">
      <c r="A4336" t="s">
        <v>4342</v>
      </c>
      <c r="B4336" t="s">
        <v>8702</v>
      </c>
      <c r="C4336" t="s">
        <v>11110</v>
      </c>
      <c r="D4336" t="s">
        <v>15260</v>
      </c>
      <c r="E4336" t="s">
        <v>16391</v>
      </c>
      <c r="F4336">
        <f>HYPERLINK("https://www2.assemblee-nationale.fr/sycomore/fiche/(num_dept)/1131", "1131.0")</f>
        <v>0</v>
      </c>
      <c r="H4336">
        <f>HYPERLINK("https://www.wikidata.org/wiki/Q15973924", "Q15973924")</f>
        <v>0</v>
      </c>
    </row>
    <row r="4337" spans="1:8">
      <c r="A4337" t="s">
        <v>4343</v>
      </c>
      <c r="B4337" t="s">
        <v>8703</v>
      </c>
      <c r="C4337" t="s">
        <v>11111</v>
      </c>
      <c r="D4337" t="s">
        <v>15261</v>
      </c>
      <c r="E4337" t="s">
        <v>16392</v>
      </c>
      <c r="F4337">
        <f>HYPERLINK("https://www2.assemblee-nationale.fr/sycomore/fiche/(num_dept)/4187", "4187.0")</f>
        <v>0</v>
      </c>
      <c r="H4337">
        <f>HYPERLINK("https://www.wikidata.org/wiki/Q6075430", "Q6075430")</f>
        <v>0</v>
      </c>
    </row>
    <row r="4338" spans="1:8">
      <c r="A4338" t="s">
        <v>4344</v>
      </c>
      <c r="B4338" t="s">
        <v>8704</v>
      </c>
      <c r="C4338" t="s">
        <v>9352</v>
      </c>
      <c r="D4338" t="s">
        <v>15262</v>
      </c>
      <c r="E4338" s="2">
        <v>19347</v>
      </c>
      <c r="F4338">
        <f>HYPERLINK("https://www2.assemblee-nationale.fr/sycomore/fiche/(num_dept)/6037", "6037.0")</f>
        <v>0</v>
      </c>
      <c r="H4338">
        <f>HYPERLINK("https://www.wikidata.org/wiki/Q16026435", "Q16026435")</f>
        <v>0</v>
      </c>
    </row>
    <row r="4339" spans="1:8">
      <c r="A4339" t="s">
        <v>4345</v>
      </c>
      <c r="B4339" t="s">
        <v>8705</v>
      </c>
      <c r="C4339" t="s">
        <v>9438</v>
      </c>
      <c r="D4339" t="s">
        <v>15263</v>
      </c>
      <c r="E4339" s="2">
        <v>22648</v>
      </c>
      <c r="F4339">
        <f>HYPERLINK("https://www2.assemblee-nationale.fr/sycomore/fiche/(num_dept)/6039", "6039.0")</f>
        <v>0</v>
      </c>
      <c r="H4339">
        <f>HYPERLINK("https://www.wikidata.org/wiki/Q3557551", "Q3557551")</f>
        <v>0</v>
      </c>
    </row>
    <row r="4340" spans="1:8">
      <c r="A4340" t="s">
        <v>4346</v>
      </c>
      <c r="B4340" t="s">
        <v>8706</v>
      </c>
      <c r="C4340" t="s">
        <v>11112</v>
      </c>
      <c r="D4340" t="s">
        <v>15264</v>
      </c>
      <c r="E4340" t="s">
        <v>16393</v>
      </c>
      <c r="F4340">
        <f>HYPERLINK("https://www2.assemblee-nationale.fr/sycomore/fiche/(num_dept)/8034", "8034.0")</f>
        <v>0</v>
      </c>
      <c r="H4340">
        <f>HYPERLINK("https://www.wikidata.org/wiki/Q16026436", "Q16026436")</f>
        <v>0</v>
      </c>
    </row>
    <row r="4341" spans="1:8">
      <c r="A4341" t="s">
        <v>4347</v>
      </c>
      <c r="B4341" t="s">
        <v>8707</v>
      </c>
      <c r="C4341" t="s">
        <v>11113</v>
      </c>
      <c r="D4341" t="s">
        <v>15265</v>
      </c>
      <c r="E4341" s="2">
        <v>15202</v>
      </c>
      <c r="F4341">
        <f>HYPERLINK("https://www2.assemblee-nationale.fr/sycomore/fiche/(num_dept)/4188", "4188.0")</f>
        <v>0</v>
      </c>
      <c r="H4341">
        <f>HYPERLINK("https://www.wikidata.org/wiki/Q8344175", "Q8344175")</f>
        <v>0</v>
      </c>
    </row>
    <row r="4342" spans="1:8">
      <c r="A4342" t="s">
        <v>4348</v>
      </c>
      <c r="B4342" t="s">
        <v>8708</v>
      </c>
      <c r="C4342" t="s">
        <v>11114</v>
      </c>
      <c r="D4342" t="s">
        <v>15266</v>
      </c>
      <c r="E4342" s="2">
        <v>769</v>
      </c>
      <c r="F4342">
        <f>HYPERLINK("https://www2.assemblee-nationale.fr/sycomore/fiche/(num_dept)/8035", "8035.0")</f>
        <v>0</v>
      </c>
      <c r="H4342">
        <f>HYPERLINK("https://www.wikidata.org/wiki/Q3056804", "Q3056804")</f>
        <v>0</v>
      </c>
    </row>
    <row r="4343" spans="1:8">
      <c r="A4343" t="s">
        <v>4349</v>
      </c>
      <c r="B4343" t="s">
        <v>8709</v>
      </c>
      <c r="C4343" t="s">
        <v>11115</v>
      </c>
      <c r="D4343" t="s">
        <v>15267</v>
      </c>
      <c r="E4343" t="s">
        <v>16394</v>
      </c>
      <c r="F4343">
        <f>HYPERLINK("https://www2.assemblee-nationale.fr/sycomore/fiche/(num_dept)/6043", "6043.0")</f>
        <v>0</v>
      </c>
      <c r="H4343">
        <f>HYPERLINK("https://www.wikidata.org/wiki/Q16026437", "Q16026437")</f>
        <v>0</v>
      </c>
    </row>
    <row r="4344" spans="1:8">
      <c r="A4344" t="s">
        <v>4350</v>
      </c>
      <c r="B4344" t="s">
        <v>8710</v>
      </c>
      <c r="C4344" t="s">
        <v>11116</v>
      </c>
      <c r="D4344" t="s">
        <v>15268</v>
      </c>
      <c r="E4344" s="2">
        <v>6654</v>
      </c>
      <c r="F4344">
        <f>HYPERLINK("https://www2.assemblee-nationale.fr/sycomore/fiche/(num_dept)/6044", "6044.0")</f>
        <v>0</v>
      </c>
      <c r="H4344">
        <f>HYPERLINK("https://www.wikidata.org/wiki/Q2994888", "Q2994888")</f>
        <v>0</v>
      </c>
    </row>
    <row r="4345" spans="1:8">
      <c r="A4345" t="s">
        <v>4351</v>
      </c>
      <c r="B4345" t="s">
        <v>8711</v>
      </c>
      <c r="C4345" t="s">
        <v>11117</v>
      </c>
      <c r="D4345" t="s">
        <v>14358</v>
      </c>
      <c r="E4345" s="2">
        <v>19278</v>
      </c>
      <c r="F4345">
        <f>HYPERLINK("https://www2.assemblee-nationale.fr/sycomore/fiche/(num_dept)/6046", "6046.0")</f>
        <v>0</v>
      </c>
      <c r="H4345">
        <f>HYPERLINK("https://www.wikidata.org/wiki/Q16026438", "Q16026438")</f>
        <v>0</v>
      </c>
    </row>
    <row r="4346" spans="1:8">
      <c r="A4346" t="s">
        <v>4352</v>
      </c>
      <c r="B4346" t="s">
        <v>8712</v>
      </c>
      <c r="C4346" t="s">
        <v>9337</v>
      </c>
      <c r="D4346" t="s">
        <v>15269</v>
      </c>
      <c r="E4346" s="2">
        <v>16028</v>
      </c>
      <c r="F4346">
        <f>HYPERLINK("https://www2.assemblee-nationale.fr/sycomore/fiche/(num_dept)/6047", "6047.0")</f>
        <v>0</v>
      </c>
      <c r="H4346">
        <f>HYPERLINK("https://www.wikidata.org/wiki/Q8328995", "Q8328995")</f>
        <v>0</v>
      </c>
    </row>
    <row r="4347" spans="1:8">
      <c r="A4347" t="s">
        <v>4353</v>
      </c>
      <c r="B4347" t="s">
        <v>8713</v>
      </c>
      <c r="C4347" t="s">
        <v>9512</v>
      </c>
      <c r="D4347" t="s">
        <v>15270</v>
      </c>
      <c r="E4347" s="2">
        <v>23276</v>
      </c>
      <c r="G4347">
        <f>HYPERLINK("https://www.senat.fr/senateur-3eme-republique/roge_gaston0949r3.html", "roge_gaston0949r3")</f>
        <v>0</v>
      </c>
      <c r="H4347">
        <f>HYPERLINK("https://www.wikidata.org/wiki/Q3099141", "Q3099141")</f>
        <v>0</v>
      </c>
    </row>
    <row r="4348" spans="1:8">
      <c r="A4348" t="s">
        <v>4354</v>
      </c>
      <c r="B4348" t="s">
        <v>8714</v>
      </c>
      <c r="C4348" t="s">
        <v>11118</v>
      </c>
      <c r="D4348" t="s">
        <v>15271</v>
      </c>
      <c r="E4348" s="2">
        <v>3061</v>
      </c>
      <c r="F4348">
        <f>HYPERLINK("https://www2.assemblee-nationale.fr/sycomore/fiche/(num_dept)/6050", "6050.0")</f>
        <v>0</v>
      </c>
      <c r="H4348">
        <f>HYPERLINK("https://www.wikidata.org/wiki/Q8321107", "Q8321107")</f>
        <v>0</v>
      </c>
    </row>
    <row r="4349" spans="1:8">
      <c r="A4349" t="s">
        <v>4355</v>
      </c>
      <c r="B4349" t="s">
        <v>8715</v>
      </c>
      <c r="C4349" t="s">
        <v>9397</v>
      </c>
      <c r="D4349" t="s">
        <v>15272</v>
      </c>
      <c r="E4349" s="2">
        <v>3525</v>
      </c>
      <c r="G4349">
        <f>HYPERLINK("https://www.senat.fr/senateur-3eme-republique/roger_marvaise_theophile0537r3.html", "roger_marvaise_theophile0537r3")</f>
        <v>0</v>
      </c>
      <c r="H4349">
        <f>HYPERLINK("https://www.wikidata.org/wiki/Q3526689", "Q3526689")</f>
        <v>0</v>
      </c>
    </row>
    <row r="4350" spans="1:8">
      <c r="A4350" t="s">
        <v>4356</v>
      </c>
      <c r="B4350" t="s">
        <v>8716</v>
      </c>
      <c r="C4350" t="s">
        <v>9629</v>
      </c>
      <c r="D4350" t="s">
        <v>15273</v>
      </c>
      <c r="E4350" s="2">
        <v>2907</v>
      </c>
      <c r="F4350">
        <f>HYPERLINK("https://www2.assemblee-nationale.fr/sycomore/fiche/(num_dept)/8115", "8115.0")</f>
        <v>0</v>
      </c>
      <c r="G4350">
        <f>HYPERLINK("https://www.senat.fr/senateur-3eme-republique/roger_jean0655r3.html", "roger_jean0655r3")</f>
        <v>0</v>
      </c>
      <c r="H4350">
        <f>HYPERLINK("https://www.wikidata.org/wiki/Q3170240", "Q3170240")</f>
        <v>0</v>
      </c>
    </row>
    <row r="4351" spans="1:8">
      <c r="A4351" t="s">
        <v>4357</v>
      </c>
      <c r="B4351" t="s">
        <v>8717</v>
      </c>
      <c r="C4351" t="s">
        <v>11119</v>
      </c>
      <c r="D4351" t="s">
        <v>15274</v>
      </c>
      <c r="E4351" s="2">
        <v>5377</v>
      </c>
      <c r="F4351">
        <f>HYPERLINK("https://www2.assemblee-nationale.fr/sycomore/fiche/(num_dept)/6052", "6052.0")</f>
        <v>0</v>
      </c>
      <c r="H4351">
        <f>HYPERLINK("https://www.wikidata.org/wiki/Q16026440", "Q16026440")</f>
        <v>0</v>
      </c>
    </row>
    <row r="4352" spans="1:8">
      <c r="A4352" t="s">
        <v>4358</v>
      </c>
      <c r="B4352" t="s">
        <v>8718</v>
      </c>
      <c r="C4352" t="s">
        <v>6686</v>
      </c>
      <c r="D4352" t="s">
        <v>15275</v>
      </c>
      <c r="E4352" s="2">
        <v>17610</v>
      </c>
      <c r="F4352">
        <f>HYPERLINK("https://www2.assemblee-nationale.fr/sycomore/fiche/(num_dept)/6053", "6053.0")</f>
        <v>0</v>
      </c>
      <c r="H4352">
        <f>HYPERLINK("https://www.wikidata.org/wiki/Q13091126", "Q13091126")</f>
        <v>0</v>
      </c>
    </row>
    <row r="4353" spans="1:8">
      <c r="A4353" t="s">
        <v>4359</v>
      </c>
      <c r="B4353" t="s">
        <v>8719</v>
      </c>
      <c r="C4353" t="s">
        <v>11120</v>
      </c>
      <c r="D4353" t="s">
        <v>15276</v>
      </c>
      <c r="E4353" s="2">
        <v>6039</v>
      </c>
      <c r="F4353">
        <f>HYPERLINK("https://www2.assemblee-nationale.fr/sycomore/fiche/(num_dept)/6055", "6055.0")</f>
        <v>0</v>
      </c>
      <c r="H4353">
        <f>HYPERLINK("https://www.wikidata.org/wiki/Q3186104", "Q3186104")</f>
        <v>0</v>
      </c>
    </row>
    <row r="4354" spans="1:8">
      <c r="A4354" t="s">
        <v>4360</v>
      </c>
      <c r="B4354" t="s">
        <v>8720</v>
      </c>
      <c r="C4354" t="s">
        <v>7782</v>
      </c>
      <c r="D4354" t="s">
        <v>15277</v>
      </c>
      <c r="E4354" s="2">
        <v>8853</v>
      </c>
      <c r="G4354">
        <f>HYPERLINK("https://www.senat.fr/senateur-3eme-republique/roland_leon0879r3.html", "roland_leon0879r3")</f>
        <v>0</v>
      </c>
      <c r="H4354">
        <f>HYPERLINK("https://www.wikidata.org/wiki/Q3271306", "Q3271306")</f>
        <v>0</v>
      </c>
    </row>
    <row r="4355" spans="1:8">
      <c r="A4355" t="s">
        <v>4361</v>
      </c>
      <c r="B4355" t="s">
        <v>8721</v>
      </c>
      <c r="C4355" t="s">
        <v>11121</v>
      </c>
      <c r="D4355" t="s">
        <v>15278</v>
      </c>
      <c r="E4355" s="2">
        <v>21325</v>
      </c>
      <c r="F4355">
        <f>HYPERLINK("https://www2.assemblee-nationale.fr/sycomore/fiche/(num_dept)/6058", "6058.0")</f>
        <v>0</v>
      </c>
      <c r="H4355">
        <f>HYPERLINK("https://www.wikidata.org/wiki/Q3302427", "Q3302427")</f>
        <v>0</v>
      </c>
    </row>
    <row r="4356" spans="1:8">
      <c r="A4356" t="s">
        <v>4362</v>
      </c>
      <c r="B4356" t="s">
        <v>8722</v>
      </c>
      <c r="C4356" t="s">
        <v>7782</v>
      </c>
      <c r="D4356" t="s">
        <v>15279</v>
      </c>
      <c r="E4356" s="2">
        <v>4505</v>
      </c>
      <c r="G4356">
        <f>HYPERLINK("https://www.senat.fr/senateur-3eme-republique/rolland_leon1715r3.html", "rolland_leon1715r3")</f>
        <v>0</v>
      </c>
      <c r="H4356">
        <f>HYPERLINK("https://www.wikidata.org/wiki/Q3271308", "Q3271308")</f>
        <v>0</v>
      </c>
    </row>
    <row r="4357" spans="1:8">
      <c r="A4357" t="s">
        <v>4363</v>
      </c>
      <c r="B4357" t="s">
        <v>8723</v>
      </c>
      <c r="C4357" t="s">
        <v>11122</v>
      </c>
      <c r="D4357" t="s">
        <v>15280</v>
      </c>
      <c r="E4357" s="2">
        <v>7190</v>
      </c>
      <c r="F4357">
        <f>HYPERLINK("https://www2.assemblee-nationale.fr/sycomore/fiche/(num_dept)/6059", "6059.0")</f>
        <v>0</v>
      </c>
      <c r="H4357">
        <f>HYPERLINK("https://www.wikidata.org/wiki/Q16026441", "Q16026441")</f>
        <v>0</v>
      </c>
    </row>
    <row r="4358" spans="1:8">
      <c r="A4358" t="s">
        <v>4364</v>
      </c>
      <c r="B4358" t="s">
        <v>8723</v>
      </c>
      <c r="C4358" t="s">
        <v>11123</v>
      </c>
      <c r="D4358" t="s">
        <v>15281</v>
      </c>
      <c r="E4358" s="2">
        <v>12120</v>
      </c>
      <c r="F4358">
        <f>HYPERLINK("https://www2.assemblee-nationale.fr/sycomore/fiche/(num_dept)/6063", "6063.0")</f>
        <v>0</v>
      </c>
      <c r="H4358">
        <f>HYPERLINK("https://www.wikidata.org/wiki/Q16026442", "Q16026442")</f>
        <v>0</v>
      </c>
    </row>
    <row r="4359" spans="1:8">
      <c r="A4359" t="s">
        <v>4365</v>
      </c>
      <c r="B4359" t="s">
        <v>8722</v>
      </c>
      <c r="C4359" t="s">
        <v>9352</v>
      </c>
      <c r="D4359" t="s">
        <v>15282</v>
      </c>
      <c r="E4359" s="2">
        <v>23575</v>
      </c>
      <c r="G4359">
        <f>HYPERLINK("https://www.senat.fr/senateur-3eme-republique/rolland_camille1131r3.html", "rolland_camille1131r3")</f>
        <v>0</v>
      </c>
      <c r="H4359">
        <f>HYPERLINK("https://www.wikidata.org/wiki/Q2935065", "Q2935065")</f>
        <v>0</v>
      </c>
    </row>
    <row r="4360" spans="1:8">
      <c r="A4360" t="s">
        <v>4366</v>
      </c>
      <c r="B4360" t="s">
        <v>8723</v>
      </c>
      <c r="C4360" t="s">
        <v>7754</v>
      </c>
      <c r="D4360" t="s">
        <v>14319</v>
      </c>
      <c r="E4360" s="2">
        <v>20516</v>
      </c>
      <c r="F4360">
        <f>HYPERLINK("https://www2.assemblee-nationale.fr/sycomore/fiche/(num_dept)/6065", "6065.0")</f>
        <v>0</v>
      </c>
      <c r="H4360">
        <f>HYPERLINK("https://www.wikidata.org/wiki/Q18535214", "Q18535214")</f>
        <v>0</v>
      </c>
    </row>
    <row r="4361" spans="1:8">
      <c r="A4361" t="s">
        <v>4367</v>
      </c>
      <c r="B4361" t="s">
        <v>8723</v>
      </c>
      <c r="C4361" t="s">
        <v>11124</v>
      </c>
      <c r="D4361" s="2">
        <v>1031</v>
      </c>
      <c r="E4361" s="2">
        <v>31751</v>
      </c>
      <c r="F4361">
        <f>HYPERLINK("https://www2.assemblee-nationale.fr/sycomore/fiche/(num_dept)/6066", "6066.0")</f>
        <v>0</v>
      </c>
      <c r="H4361">
        <f>HYPERLINK("https://www.wikidata.org/wiki/Q9296356", "Q9296356")</f>
        <v>0</v>
      </c>
    </row>
    <row r="4362" spans="1:8">
      <c r="A4362" t="s">
        <v>4368</v>
      </c>
      <c r="B4362" t="s">
        <v>8724</v>
      </c>
      <c r="C4362" t="s">
        <v>11125</v>
      </c>
      <c r="D4362" t="s">
        <v>15283</v>
      </c>
      <c r="E4362" s="2">
        <v>19301</v>
      </c>
      <c r="F4362">
        <f>HYPERLINK("https://www2.assemblee-nationale.fr/sycomore/fiche/(num_dept)/6068", "6068.0")</f>
        <v>0</v>
      </c>
      <c r="H4362">
        <f>HYPERLINK("https://www.wikidata.org/wiki/Q3263043", "Q3263043")</f>
        <v>0</v>
      </c>
    </row>
    <row r="4363" spans="1:8">
      <c r="A4363" t="s">
        <v>4369</v>
      </c>
      <c r="B4363" t="s">
        <v>8724</v>
      </c>
      <c r="C4363" t="s">
        <v>11126</v>
      </c>
      <c r="D4363" t="s">
        <v>15284</v>
      </c>
      <c r="E4363" s="2">
        <v>12412</v>
      </c>
      <c r="F4363">
        <f>HYPERLINK("https://www2.assemblee-nationale.fr/sycomore/fiche/(num_dept)/6067", "6067.0")</f>
        <v>0</v>
      </c>
      <c r="H4363">
        <f>HYPERLINK("https://www.wikidata.org/wiki/Q16026444", "Q16026444")</f>
        <v>0</v>
      </c>
    </row>
    <row r="4364" spans="1:8">
      <c r="A4364" t="s">
        <v>4370</v>
      </c>
      <c r="B4364" t="s">
        <v>8725</v>
      </c>
      <c r="C4364" t="s">
        <v>11127</v>
      </c>
      <c r="D4364" t="s">
        <v>15285</v>
      </c>
      <c r="E4364" s="2">
        <v>20993</v>
      </c>
      <c r="F4364">
        <f>HYPERLINK("https://www2.assemblee-nationale.fr/sycomore/fiche/(num_dept)/6072", "6072.0")</f>
        <v>0</v>
      </c>
      <c r="H4364">
        <f>HYPERLINK("https://www.wikidata.org/wiki/Q3526687", "Q3526687")</f>
        <v>0</v>
      </c>
    </row>
    <row r="4365" spans="1:8">
      <c r="A4365" t="s">
        <v>4371</v>
      </c>
      <c r="B4365" t="s">
        <v>8726</v>
      </c>
      <c r="C4365" t="s">
        <v>11128</v>
      </c>
      <c r="D4365" t="s">
        <v>14990</v>
      </c>
      <c r="E4365" s="2">
        <v>5608</v>
      </c>
      <c r="F4365">
        <f>HYPERLINK("https://www2.assemblee-nationale.fr/sycomore/fiche/(num_dept)/6075", "6075.0")</f>
        <v>0</v>
      </c>
      <c r="H4365">
        <f>HYPERLINK("https://www.wikidata.org/wiki/Q8329067", "Q8329067")</f>
        <v>0</v>
      </c>
    </row>
    <row r="4366" spans="1:8">
      <c r="A4366" t="s">
        <v>4372</v>
      </c>
      <c r="B4366" t="s">
        <v>8727</v>
      </c>
      <c r="C4366" t="s">
        <v>5033</v>
      </c>
      <c r="D4366" t="s">
        <v>15286</v>
      </c>
      <c r="E4366" t="s">
        <v>16395</v>
      </c>
      <c r="G4366">
        <f>HYPERLINK("https://www.senat.fr/senateur-3eme-republique/ronjat_abel1195r3.html", "ronjat_abel1195r3")</f>
        <v>0</v>
      </c>
      <c r="H4366">
        <f>HYPERLINK("https://www.wikidata.org/wiki/Q2821481", "Q2821481")</f>
        <v>0</v>
      </c>
    </row>
    <row r="4367" spans="1:8">
      <c r="A4367" t="s">
        <v>4373</v>
      </c>
      <c r="B4367" t="s">
        <v>8728</v>
      </c>
      <c r="C4367" t="s">
        <v>10130</v>
      </c>
      <c r="D4367" t="s">
        <v>15287</v>
      </c>
      <c r="E4367" s="2">
        <v>6867</v>
      </c>
      <c r="F4367">
        <f>HYPERLINK("https://www2.assemblee-nationale.fr/sycomore/fiche/(num_dept)/6076", "6076.0")</f>
        <v>0</v>
      </c>
      <c r="H4367">
        <f>HYPERLINK("https://www.wikidata.org/wiki/Q16026446", "Q16026446")</f>
        <v>0</v>
      </c>
    </row>
    <row r="4368" spans="1:8">
      <c r="A4368" t="s">
        <v>4374</v>
      </c>
      <c r="B4368" t="s">
        <v>8729</v>
      </c>
      <c r="C4368" t="s">
        <v>6864</v>
      </c>
      <c r="D4368" t="s">
        <v>15288</v>
      </c>
      <c r="E4368" t="s">
        <v>16396</v>
      </c>
      <c r="G4368">
        <f>HYPERLINK("https://www.senat.fr/senateur-3eme-republique/roques_francois0602r3.html", "roques_francois0602r3")</f>
        <v>0</v>
      </c>
      <c r="H4368">
        <f>HYPERLINK("https://www.wikidata.org/wiki/Q3085732", "Q3085732")</f>
        <v>0</v>
      </c>
    </row>
    <row r="4369" spans="1:8">
      <c r="A4369" t="s">
        <v>4375</v>
      </c>
      <c r="B4369" t="s">
        <v>8730</v>
      </c>
      <c r="C4369" t="s">
        <v>11129</v>
      </c>
      <c r="D4369" t="s">
        <v>15289</v>
      </c>
      <c r="E4369" t="s">
        <v>16397</v>
      </c>
      <c r="F4369">
        <f>HYPERLINK("https://www2.assemblee-nationale.fr/sycomore/fiche/(num_dept)/6080", "6080.0")</f>
        <v>0</v>
      </c>
      <c r="H4369">
        <f>HYPERLINK("https://www.wikidata.org/wiki/Q16026447", "Q16026447")</f>
        <v>0</v>
      </c>
    </row>
    <row r="4370" spans="1:8">
      <c r="A4370" t="s">
        <v>4376</v>
      </c>
      <c r="B4370" t="s">
        <v>8730</v>
      </c>
      <c r="C4370" t="s">
        <v>8384</v>
      </c>
      <c r="D4370" t="s">
        <v>15290</v>
      </c>
      <c r="E4370" s="2">
        <v>7362</v>
      </c>
      <c r="H4370">
        <f>HYPERLINK("https://www.wikidata.org/wiki/Q752089", "Q752089")</f>
        <v>0</v>
      </c>
    </row>
    <row r="4371" spans="1:8">
      <c r="A4371" t="s">
        <v>4377</v>
      </c>
      <c r="B4371" t="s">
        <v>8730</v>
      </c>
      <c r="C4371" t="s">
        <v>9512</v>
      </c>
      <c r="D4371" t="s">
        <v>12256</v>
      </c>
      <c r="E4371" s="2">
        <v>14019</v>
      </c>
      <c r="F4371">
        <f>HYPERLINK("https://www2.assemblee-nationale.fr/sycomore/fiche/(num_dept)/6081", "6081.0")</f>
        <v>0</v>
      </c>
      <c r="H4371">
        <f>HYPERLINK("https://www.wikidata.org/wiki/Q16026448", "Q16026448")</f>
        <v>0</v>
      </c>
    </row>
    <row r="4372" spans="1:8">
      <c r="A4372" t="s">
        <v>4378</v>
      </c>
      <c r="B4372" t="s">
        <v>8731</v>
      </c>
      <c r="C4372" t="s">
        <v>7782</v>
      </c>
      <c r="D4372" t="s">
        <v>15291</v>
      </c>
      <c r="E4372" s="2">
        <v>8051</v>
      </c>
      <c r="F4372">
        <f>HYPERLINK("https://www2.assemblee-nationale.fr/sycomore/fiche/(num_dept)/8065", "8065.0")</f>
        <v>0</v>
      </c>
      <c r="H4372">
        <f>HYPERLINK("https://www.wikidata.org/wiki/Q8317387", "Q8317387")</f>
        <v>0</v>
      </c>
    </row>
    <row r="4373" spans="1:8">
      <c r="A4373" t="s">
        <v>4379</v>
      </c>
      <c r="B4373" t="s">
        <v>8732</v>
      </c>
      <c r="C4373" t="s">
        <v>11130</v>
      </c>
      <c r="D4373" t="s">
        <v>15292</v>
      </c>
      <c r="E4373" s="2">
        <v>11065</v>
      </c>
      <c r="F4373">
        <f>HYPERLINK("https://www2.assemblee-nationale.fr/sycomore/fiche/(num_dept)/6085", "6085.0")</f>
        <v>0</v>
      </c>
      <c r="H4373">
        <f>HYPERLINK("https://www.wikidata.org/wiki/Q3131944", "Q3131944")</f>
        <v>0</v>
      </c>
    </row>
    <row r="4374" spans="1:8">
      <c r="A4374" t="s">
        <v>4380</v>
      </c>
      <c r="B4374" t="s">
        <v>8733</v>
      </c>
      <c r="C4374" t="s">
        <v>11131</v>
      </c>
      <c r="D4374" t="s">
        <v>15293</v>
      </c>
      <c r="E4374" s="2">
        <v>3944</v>
      </c>
      <c r="F4374">
        <f>HYPERLINK("https://www2.assemblee-nationale.fr/sycomore/fiche/(num_dept)/6086", "6086.0")</f>
        <v>0</v>
      </c>
      <c r="H4374">
        <f>HYPERLINK("https://www.wikidata.org/wiki/Q2395797", "Q2395797")</f>
        <v>0</v>
      </c>
    </row>
    <row r="4375" spans="1:8">
      <c r="A4375" t="s">
        <v>4381</v>
      </c>
      <c r="B4375" t="s">
        <v>8734</v>
      </c>
      <c r="C4375" t="s">
        <v>11132</v>
      </c>
      <c r="D4375" t="s">
        <v>15294</v>
      </c>
      <c r="E4375" t="s">
        <v>16047</v>
      </c>
      <c r="F4375">
        <f>HYPERLINK("https://www2.assemblee-nationale.fr/sycomore/fiche/(num_dept)/8037", "8037.0")</f>
        <v>0</v>
      </c>
      <c r="H4375">
        <f>HYPERLINK("https://www.wikidata.org/wiki/Q2960734", "Q2960734")</f>
        <v>0</v>
      </c>
    </row>
    <row r="4376" spans="1:8">
      <c r="A4376" t="s">
        <v>4382</v>
      </c>
      <c r="B4376" t="s">
        <v>8735</v>
      </c>
      <c r="C4376" t="s">
        <v>11133</v>
      </c>
      <c r="D4376" t="s">
        <v>15295</v>
      </c>
      <c r="E4376" s="2">
        <v>6195</v>
      </c>
      <c r="F4376">
        <f>HYPERLINK("https://www2.assemblee-nationale.fr/sycomore/fiche/(num_dept)/6087", "6087.0")</f>
        <v>0</v>
      </c>
      <c r="H4376">
        <f>HYPERLINK("https://www.wikidata.org/wiki/Q3420987", "Q3420987")</f>
        <v>0</v>
      </c>
    </row>
    <row r="4377" spans="1:8">
      <c r="A4377" t="s">
        <v>4383</v>
      </c>
      <c r="B4377" t="s">
        <v>8736</v>
      </c>
      <c r="C4377" t="s">
        <v>11134</v>
      </c>
      <c r="D4377" t="s">
        <v>15296</v>
      </c>
      <c r="E4377" s="2">
        <v>11116</v>
      </c>
      <c r="F4377">
        <f>HYPERLINK("https://www2.assemblee-nationale.fr/sycomore/fiche/(num_dept)/6088", "6088.0")</f>
        <v>0</v>
      </c>
      <c r="H4377">
        <f>HYPERLINK("https://www.wikidata.org/wiki/Q3260726", "Q3260726")</f>
        <v>0</v>
      </c>
    </row>
    <row r="4378" spans="1:8">
      <c r="A4378" t="s">
        <v>4384</v>
      </c>
      <c r="B4378" t="s">
        <v>8737</v>
      </c>
      <c r="C4378" t="s">
        <v>11135</v>
      </c>
      <c r="D4378" t="s">
        <v>13534</v>
      </c>
      <c r="E4378" s="2">
        <v>6510</v>
      </c>
      <c r="F4378">
        <f>HYPERLINK("https://www2.assemblee-nationale.fr/sycomore/fiche/(num_dept)/6090", "6090.0")</f>
        <v>0</v>
      </c>
      <c r="H4378">
        <f>HYPERLINK("https://www.wikidata.org/wiki/Q16026449", "Q16026449")</f>
        <v>0</v>
      </c>
    </row>
    <row r="4379" spans="1:8">
      <c r="A4379" t="s">
        <v>4385</v>
      </c>
      <c r="B4379" t="s">
        <v>8738</v>
      </c>
      <c r="C4379" t="s">
        <v>11136</v>
      </c>
      <c r="D4379" t="s">
        <v>15297</v>
      </c>
      <c r="E4379" t="s">
        <v>16398</v>
      </c>
      <c r="F4379">
        <f>HYPERLINK("https://www2.assemblee-nationale.fr/sycomore/fiche/(num_dept)/8061", "8061.0")</f>
        <v>0</v>
      </c>
      <c r="H4379">
        <f>HYPERLINK("https://www.wikidata.org/wiki/Q8301870", "Q8301870")</f>
        <v>0</v>
      </c>
    </row>
    <row r="4380" spans="1:8">
      <c r="A4380" t="s">
        <v>4386</v>
      </c>
      <c r="B4380" t="s">
        <v>8739</v>
      </c>
      <c r="C4380" t="s">
        <v>9373</v>
      </c>
      <c r="D4380" t="s">
        <v>15298</v>
      </c>
      <c r="E4380" s="2">
        <v>18926</v>
      </c>
      <c r="F4380">
        <f>HYPERLINK("https://www2.assemblee-nationale.fr/sycomore/fiche/(num_dept)/6093", "6093.0")</f>
        <v>0</v>
      </c>
      <c r="H4380">
        <f>HYPERLINK("https://www.wikidata.org/wiki/Q1400234", "Q1400234")</f>
        <v>0</v>
      </c>
    </row>
    <row r="4381" spans="1:8">
      <c r="A4381" t="s">
        <v>4387</v>
      </c>
      <c r="B4381" t="s">
        <v>8740</v>
      </c>
      <c r="C4381" t="s">
        <v>11137</v>
      </c>
      <c r="D4381" t="s">
        <v>12772</v>
      </c>
      <c r="E4381" s="2">
        <v>21067</v>
      </c>
      <c r="F4381">
        <f>HYPERLINK("https://www2.assemblee-nationale.fr/sycomore/fiche/(num_dept)/6102", "6102.0")</f>
        <v>0</v>
      </c>
      <c r="H4381">
        <f>HYPERLINK("https://www.wikidata.org/wiki/Q3301570", "Q3301570")</f>
        <v>0</v>
      </c>
    </row>
    <row r="4382" spans="1:8">
      <c r="A4382" t="s">
        <v>4388</v>
      </c>
      <c r="B4382" t="s">
        <v>8741</v>
      </c>
      <c r="C4382" t="s">
        <v>11138</v>
      </c>
      <c r="D4382" t="s">
        <v>15299</v>
      </c>
      <c r="E4382" t="s">
        <v>16399</v>
      </c>
      <c r="F4382">
        <f>HYPERLINK("https://www2.assemblee-nationale.fr/sycomore/fiche/(num_dept)/6106", "6106.0")</f>
        <v>0</v>
      </c>
      <c r="H4382">
        <f>HYPERLINK("https://www.wikidata.org/wiki/Q2401407", "Q2401407")</f>
        <v>0</v>
      </c>
    </row>
    <row r="4383" spans="1:8">
      <c r="A4383" t="s">
        <v>4389</v>
      </c>
      <c r="B4383" t="s">
        <v>8741</v>
      </c>
      <c r="C4383" t="s">
        <v>11139</v>
      </c>
      <c r="D4383" t="s">
        <v>15300</v>
      </c>
      <c r="E4383" s="2">
        <v>88</v>
      </c>
      <c r="F4383">
        <f>HYPERLINK("https://www2.assemblee-nationale.fr/sycomore/fiche/(num_dept)/6105", "6105.0")</f>
        <v>0</v>
      </c>
      <c r="H4383">
        <f>HYPERLINK("https://www.wikidata.org/wiki/Q3419169", "Q3419169")</f>
        <v>0</v>
      </c>
    </row>
    <row r="4384" spans="1:8">
      <c r="A4384" t="s">
        <v>4390</v>
      </c>
      <c r="B4384" t="s">
        <v>8741</v>
      </c>
      <c r="C4384" t="s">
        <v>11140</v>
      </c>
      <c r="D4384" t="s">
        <v>12919</v>
      </c>
      <c r="E4384" s="2">
        <v>25794</v>
      </c>
      <c r="F4384">
        <f>HYPERLINK("https://www2.assemblee-nationale.fr/sycomore/fiche/(num_dept)/6104", "6104.0")</f>
        <v>0</v>
      </c>
      <c r="H4384">
        <f>HYPERLINK("https://www.wikidata.org/wiki/Q3120480", "Q3120480")</f>
        <v>0</v>
      </c>
    </row>
    <row r="4385" spans="1:8">
      <c r="A4385" t="s">
        <v>4391</v>
      </c>
      <c r="B4385" t="s">
        <v>8742</v>
      </c>
      <c r="C4385" t="s">
        <v>11141</v>
      </c>
      <c r="D4385" t="s">
        <v>15301</v>
      </c>
      <c r="E4385" s="2">
        <v>9904</v>
      </c>
      <c r="F4385">
        <f>HYPERLINK("https://www2.assemblee-nationale.fr/sycomore/fiche/(num_dept)/6107", "6107.0")</f>
        <v>0</v>
      </c>
      <c r="H4385">
        <f>HYPERLINK("https://www.wikidata.org/wiki/Q2410604", "Q2410604")</f>
        <v>0</v>
      </c>
    </row>
    <row r="4386" spans="1:8">
      <c r="A4386" t="s">
        <v>4392</v>
      </c>
      <c r="B4386" t="s">
        <v>8743</v>
      </c>
      <c r="C4386" t="s">
        <v>9368</v>
      </c>
      <c r="D4386" t="s">
        <v>15302</v>
      </c>
      <c r="E4386" s="2">
        <v>13337</v>
      </c>
      <c r="G4386">
        <f>HYPERLINK("https://www.senat.fr/senateur-3eme-republique/rouart_eugene0097r3.html", "rouart_eugene0097r3")</f>
        <v>0</v>
      </c>
      <c r="H4386">
        <f>HYPERLINK("https://www.wikidata.org/wiki/Q3060154", "Q3060154")</f>
        <v>0</v>
      </c>
    </row>
    <row r="4387" spans="1:8">
      <c r="A4387" t="s">
        <v>4393</v>
      </c>
      <c r="B4387" t="s">
        <v>8744</v>
      </c>
      <c r="C4387" t="s">
        <v>11142</v>
      </c>
      <c r="D4387" t="s">
        <v>15303</v>
      </c>
      <c r="E4387" s="2">
        <v>7661</v>
      </c>
      <c r="F4387">
        <f>HYPERLINK("https://www2.assemblee-nationale.fr/sycomore/fiche/(num_dept)/6109", "6109.0")</f>
        <v>0</v>
      </c>
      <c r="G4387">
        <f>HYPERLINK("https://www.senat.fr/senateur-3eme-republique/rouby_hippolyte0467r3.html", "rouby_hippolyte0467r3")</f>
        <v>0</v>
      </c>
      <c r="H4387">
        <f>HYPERLINK("https://www.wikidata.org/wiki/Q3136121", "Q3136121")</f>
        <v>0</v>
      </c>
    </row>
    <row r="4388" spans="1:8">
      <c r="A4388" t="s">
        <v>4394</v>
      </c>
      <c r="B4388" t="s">
        <v>8745</v>
      </c>
      <c r="C4388" t="s">
        <v>5330</v>
      </c>
      <c r="D4388" t="s">
        <v>15304</v>
      </c>
      <c r="E4388" t="s">
        <v>15971</v>
      </c>
      <c r="F4388">
        <f>HYPERLINK("https://www2.assemblee-nationale.fr/sycomore/fiche/(num_dept)/8138", "8138.0")</f>
        <v>0</v>
      </c>
      <c r="H4388">
        <f>HYPERLINK("https://www.wikidata.org/wiki/Q2898548", "Q2898548")</f>
        <v>0</v>
      </c>
    </row>
    <row r="4389" spans="1:8">
      <c r="A4389" t="s">
        <v>4395</v>
      </c>
      <c r="B4389" t="s">
        <v>8746</v>
      </c>
      <c r="C4389" t="s">
        <v>7262</v>
      </c>
      <c r="D4389" t="s">
        <v>15305</v>
      </c>
      <c r="E4389" s="2">
        <v>21449</v>
      </c>
      <c r="F4389">
        <f>HYPERLINK("https://www2.assemblee-nationale.fr/sycomore/fiche/(num_dept)/6116", "6116.0")</f>
        <v>0</v>
      </c>
      <c r="H4389">
        <f>HYPERLINK("https://www.wikidata.org/wiki/Q29767", "Q29767")</f>
        <v>0</v>
      </c>
    </row>
    <row r="4390" spans="1:8">
      <c r="A4390" t="s">
        <v>4396</v>
      </c>
      <c r="B4390" t="s">
        <v>8747</v>
      </c>
      <c r="C4390" t="s">
        <v>11143</v>
      </c>
      <c r="D4390" t="s">
        <v>15306</v>
      </c>
      <c r="E4390" s="2">
        <v>13469</v>
      </c>
      <c r="F4390">
        <f>HYPERLINK("https://www2.assemblee-nationale.fr/sycomore/fiche/(num_dept)/6118", "6118.0")</f>
        <v>0</v>
      </c>
      <c r="H4390">
        <f>HYPERLINK("https://www.wikidata.org/wiki/Q16026452", "Q16026452")</f>
        <v>0</v>
      </c>
    </row>
    <row r="4391" spans="1:8">
      <c r="A4391" t="s">
        <v>4397</v>
      </c>
      <c r="B4391" t="s">
        <v>8748</v>
      </c>
      <c r="C4391" t="s">
        <v>11144</v>
      </c>
      <c r="D4391" t="s">
        <v>15307</v>
      </c>
      <c r="E4391" s="2">
        <v>3</v>
      </c>
      <c r="F4391">
        <f>HYPERLINK("https://www2.assemblee-nationale.fr/sycomore/fiche/(num_dept)/6114", "6114.0")</f>
        <v>0</v>
      </c>
      <c r="H4391">
        <f>HYPERLINK("https://www.wikidata.org/wiki/Q16026451", "Q16026451")</f>
        <v>0</v>
      </c>
    </row>
    <row r="4392" spans="1:8">
      <c r="A4392" t="s">
        <v>4398</v>
      </c>
      <c r="B4392" t="s">
        <v>8748</v>
      </c>
      <c r="C4392" t="s">
        <v>11145</v>
      </c>
      <c r="D4392" t="s">
        <v>15308</v>
      </c>
      <c r="E4392" s="2">
        <v>13479</v>
      </c>
      <c r="F4392">
        <f>HYPERLINK("https://www2.assemblee-nationale.fr/sycomore/fiche/(num_dept)/6115", "6115.0")</f>
        <v>0</v>
      </c>
      <c r="H4392">
        <f>HYPERLINK("https://www.wikidata.org/wiki/Q16026450", "Q16026450")</f>
        <v>0</v>
      </c>
    </row>
    <row r="4393" spans="1:8">
      <c r="A4393" t="s">
        <v>4399</v>
      </c>
      <c r="B4393" t="s">
        <v>8749</v>
      </c>
      <c r="C4393" t="s">
        <v>11146</v>
      </c>
      <c r="D4393" t="s">
        <v>15309</v>
      </c>
      <c r="E4393" t="s">
        <v>16400</v>
      </c>
      <c r="F4393">
        <f>HYPERLINK("https://www2.assemblee-nationale.fr/sycomore/fiche/(num_dept)/6120", "6120.0")</f>
        <v>0</v>
      </c>
      <c r="H4393">
        <f>HYPERLINK("https://www.wikidata.org/wiki/Q3383064", "Q3383064")</f>
        <v>0</v>
      </c>
    </row>
    <row r="4394" spans="1:8">
      <c r="A4394" t="s">
        <v>4400</v>
      </c>
      <c r="B4394" t="s">
        <v>8750</v>
      </c>
      <c r="C4394" t="s">
        <v>9851</v>
      </c>
      <c r="D4394" t="s">
        <v>15310</v>
      </c>
      <c r="E4394" t="s">
        <v>16401</v>
      </c>
      <c r="G4394">
        <f>HYPERLINK("https://www.senat.fr/senateur-3eme-republique/rouland_hippolyte1594r3.html", "rouland_hippolyte1594r3")</f>
        <v>0</v>
      </c>
      <c r="H4394">
        <f>HYPERLINK("https://www.wikidata.org/wiki/Q3136122", "Q3136122")</f>
        <v>0</v>
      </c>
    </row>
    <row r="4395" spans="1:8">
      <c r="A4395" t="s">
        <v>4401</v>
      </c>
      <c r="B4395" t="s">
        <v>8751</v>
      </c>
      <c r="C4395" t="s">
        <v>11147</v>
      </c>
      <c r="D4395" t="s">
        <v>14953</v>
      </c>
      <c r="E4395" s="2">
        <v>13547</v>
      </c>
      <c r="F4395">
        <f>HYPERLINK("https://www2.assemblee-nationale.fr/sycomore/fiche/(num_dept)/6121", "6121.0")</f>
        <v>0</v>
      </c>
      <c r="G4395">
        <f>HYPERLINK("https://www.senat.fr/senateur-3eme-republique/rouland_julien1587r3.html", "rouland_julien1587r3")</f>
        <v>0</v>
      </c>
      <c r="H4395">
        <f>HYPERLINK("https://www.wikidata.org/wiki/Q3189641", "Q3189641")</f>
        <v>0</v>
      </c>
    </row>
    <row r="4396" spans="1:8">
      <c r="A4396" t="s">
        <v>4402</v>
      </c>
      <c r="B4396" t="s">
        <v>8752</v>
      </c>
      <c r="C4396" t="s">
        <v>11148</v>
      </c>
      <c r="D4396" t="s">
        <v>15311</v>
      </c>
      <c r="E4396" t="s">
        <v>16402</v>
      </c>
      <c r="F4396">
        <f>HYPERLINK("https://www2.assemblee-nationale.fr/sycomore/fiche/(num_dept)/8038", "8038.0")</f>
        <v>0</v>
      </c>
      <c r="H4396">
        <f>HYPERLINK("https://www.wikidata.org/wiki/Q8329092", "Q8329092")</f>
        <v>0</v>
      </c>
    </row>
    <row r="4397" spans="1:8">
      <c r="A4397" t="s">
        <v>4403</v>
      </c>
      <c r="B4397" t="s">
        <v>8752</v>
      </c>
      <c r="C4397" t="s">
        <v>11149</v>
      </c>
      <c r="D4397" t="s">
        <v>15312</v>
      </c>
      <c r="E4397" s="2">
        <v>11854</v>
      </c>
      <c r="F4397">
        <f>HYPERLINK("https://www2.assemblee-nationale.fr/sycomore/fiche/(num_dept)/6124", "6124.0")</f>
        <v>0</v>
      </c>
      <c r="H4397">
        <f>HYPERLINK("https://www.wikidata.org/wiki/Q8329099", "Q8329099")</f>
        <v>0</v>
      </c>
    </row>
    <row r="4398" spans="1:8">
      <c r="A4398" t="s">
        <v>4404</v>
      </c>
      <c r="B4398" t="s">
        <v>8752</v>
      </c>
      <c r="C4398" t="s">
        <v>11150</v>
      </c>
      <c r="D4398" t="s">
        <v>12648</v>
      </c>
      <c r="E4398" s="2">
        <v>19069</v>
      </c>
      <c r="F4398">
        <f>HYPERLINK("https://www2.assemblee-nationale.fr/sycomore/fiche/(num_dept)/6123", "6123.0")</f>
        <v>0</v>
      </c>
      <c r="H4398">
        <f>HYPERLINK("https://www.wikidata.org/wiki/Q3102871", "Q3102871")</f>
        <v>0</v>
      </c>
    </row>
    <row r="4399" spans="1:8">
      <c r="A4399" t="s">
        <v>4405</v>
      </c>
      <c r="B4399" t="s">
        <v>8753</v>
      </c>
      <c r="C4399" t="s">
        <v>11151</v>
      </c>
      <c r="D4399" t="s">
        <v>15313</v>
      </c>
      <c r="E4399" s="2">
        <v>17764</v>
      </c>
      <c r="F4399">
        <f>HYPERLINK("https://www2.assemblee-nationale.fr/sycomore/fiche/(num_dept)/6127", "6127.0")</f>
        <v>0</v>
      </c>
      <c r="H4399">
        <f>HYPERLINK("https://www.wikidata.org/wiki/Q3060155", "Q3060155")</f>
        <v>0</v>
      </c>
    </row>
    <row r="4400" spans="1:8">
      <c r="A4400" t="s">
        <v>4406</v>
      </c>
      <c r="B4400" t="s">
        <v>8754</v>
      </c>
      <c r="C4400" t="s">
        <v>11152</v>
      </c>
      <c r="D4400" t="s">
        <v>15314</v>
      </c>
      <c r="E4400" s="2">
        <v>14572</v>
      </c>
      <c r="F4400">
        <f>HYPERLINK("https://www2.assemblee-nationale.fr/sycomore/fiche/(num_dept)/6131", "6131.0")</f>
        <v>0</v>
      </c>
      <c r="H4400">
        <f>HYPERLINK("https://www.wikidata.org/wiki/Q3263052", "Q3263052")</f>
        <v>0</v>
      </c>
    </row>
    <row r="4401" spans="1:8">
      <c r="A4401" t="s">
        <v>4407</v>
      </c>
      <c r="B4401" t="s">
        <v>8755</v>
      </c>
      <c r="C4401" t="s">
        <v>11153</v>
      </c>
      <c r="D4401" t="s">
        <v>15315</v>
      </c>
      <c r="E4401" s="2">
        <v>7725</v>
      </c>
      <c r="F4401">
        <f>HYPERLINK("https://www2.assemblee-nationale.fr/sycomore/fiche/(num_dept)/6132", "6132.0")</f>
        <v>0</v>
      </c>
      <c r="H4401">
        <f>HYPERLINK("https://www.wikidata.org/wiki/Q3057166", "Q3057166")</f>
        <v>0</v>
      </c>
    </row>
    <row r="4402" spans="1:8">
      <c r="A4402" t="s">
        <v>4408</v>
      </c>
      <c r="B4402" t="s">
        <v>8756</v>
      </c>
      <c r="C4402" t="s">
        <v>9373</v>
      </c>
      <c r="D4402" t="s">
        <v>15316</v>
      </c>
      <c r="E4402" s="2">
        <v>27240</v>
      </c>
      <c r="F4402">
        <f>HYPERLINK("https://www2.assemblee-nationale.fr/sycomore/fiche/(num_dept)/6133", "6133.0")</f>
        <v>0</v>
      </c>
      <c r="H4402">
        <f>HYPERLINK("https://www.wikidata.org/wiki/Q3185587", "Q3185587")</f>
        <v>0</v>
      </c>
    </row>
    <row r="4403" spans="1:8">
      <c r="A4403" t="s">
        <v>4409</v>
      </c>
      <c r="B4403" t="s">
        <v>8757</v>
      </c>
      <c r="C4403" t="s">
        <v>5058</v>
      </c>
      <c r="D4403" t="s">
        <v>15317</v>
      </c>
      <c r="E4403" s="2">
        <v>14200</v>
      </c>
      <c r="G4403">
        <f>HYPERLINK("https://www.senat.fr/senateur-3eme-republique/rouse_albert1671r3.html", "rouse_albert1671r3")</f>
        <v>0</v>
      </c>
      <c r="H4403">
        <f>HYPERLINK("https://www.wikidata.org/wiki/Q2831515", "Q2831515")</f>
        <v>0</v>
      </c>
    </row>
    <row r="4404" spans="1:8">
      <c r="A4404" t="s">
        <v>4410</v>
      </c>
      <c r="B4404" t="s">
        <v>8758</v>
      </c>
      <c r="C4404" t="s">
        <v>11154</v>
      </c>
      <c r="D4404" t="s">
        <v>15318</v>
      </c>
      <c r="E4404" s="2">
        <v>9492</v>
      </c>
      <c r="F4404">
        <f>HYPERLINK("https://www2.assemblee-nationale.fr/sycomore/fiche/(num_dept)/6135", "6135.0")</f>
        <v>0</v>
      </c>
      <c r="H4404">
        <f>HYPERLINK("https://www.wikidata.org/wiki/Q2960153", "Q2960153")</f>
        <v>0</v>
      </c>
    </row>
    <row r="4405" spans="1:8">
      <c r="A4405" t="s">
        <v>4411</v>
      </c>
      <c r="B4405" t="s">
        <v>8759</v>
      </c>
      <c r="C4405" t="s">
        <v>7010</v>
      </c>
      <c r="D4405" t="s">
        <v>15319</v>
      </c>
      <c r="E4405" s="2">
        <v>120</v>
      </c>
      <c r="G4405">
        <f>HYPERLINK("https://www.senat.fr/senateur-3eme-republique/rousseau_gervais0640r3.html", "rousseau_gervais0640r3")</f>
        <v>0</v>
      </c>
      <c r="H4405">
        <f>HYPERLINK("https://www.wikidata.org/wiki/Q3104419", "Q3104419")</f>
        <v>0</v>
      </c>
    </row>
    <row r="4406" spans="1:8">
      <c r="A4406" t="s">
        <v>4412</v>
      </c>
      <c r="B4406" t="s">
        <v>8760</v>
      </c>
      <c r="C4406" t="s">
        <v>11155</v>
      </c>
      <c r="D4406" t="s">
        <v>15320</v>
      </c>
      <c r="E4406" t="s">
        <v>16403</v>
      </c>
      <c r="F4406">
        <f>HYPERLINK("https://www2.assemblee-nationale.fr/sycomore/fiche/(num_dept)/8127", "8127.0")</f>
        <v>0</v>
      </c>
      <c r="G4406">
        <f>HYPERLINK("https://www.senat.fr/senateur-3eme-republique/rousseau_armand0808r3.html", "rousseau_armand0808r3")</f>
        <v>0</v>
      </c>
      <c r="H4406">
        <f>HYPERLINK("https://www.wikidata.org/wiki/Q2861960", "Q2861960")</f>
        <v>0</v>
      </c>
    </row>
    <row r="4407" spans="1:8">
      <c r="A4407" t="s">
        <v>4413</v>
      </c>
      <c r="B4407" t="s">
        <v>8761</v>
      </c>
      <c r="C4407" t="s">
        <v>9397</v>
      </c>
      <c r="D4407" t="s">
        <v>15321</v>
      </c>
      <c r="E4407" s="2">
        <v>1366</v>
      </c>
      <c r="G4407">
        <f>HYPERLINK("https://www.senat.fr/senateur-3eme-republique/roussel_theophile0853r3.html", "roussel_theophile0853r3")</f>
        <v>0</v>
      </c>
      <c r="H4407">
        <f>HYPERLINK("https://www.wikidata.org/wiki/Q3526694", "Q3526694")</f>
        <v>0</v>
      </c>
    </row>
    <row r="4408" spans="1:8">
      <c r="A4408" t="s">
        <v>4414</v>
      </c>
      <c r="B4408" t="s">
        <v>8761</v>
      </c>
      <c r="C4408" t="s">
        <v>9524</v>
      </c>
      <c r="D4408" t="s">
        <v>11806</v>
      </c>
      <c r="E4408" s="2">
        <v>17323</v>
      </c>
      <c r="G4408">
        <f>HYPERLINK("https://www.senat.fr/senateur-3eme-republique/roussel_emile0027r3.html", "roussel_emile0027r3")</f>
        <v>0</v>
      </c>
      <c r="H4408">
        <f>HYPERLINK("https://www.wikidata.org/wiki/Q3588730", "Q3588730")</f>
        <v>0</v>
      </c>
    </row>
    <row r="4409" spans="1:8">
      <c r="A4409" t="s">
        <v>4415</v>
      </c>
      <c r="B4409" t="s">
        <v>8761</v>
      </c>
      <c r="C4409" t="s">
        <v>9346</v>
      </c>
      <c r="D4409" t="s">
        <v>15322</v>
      </c>
      <c r="E4409" s="2">
        <v>24091</v>
      </c>
      <c r="G4409">
        <f>HYPERLINK("https://www.senat.fr/senateur-3eme-republique/roussel_edouard1407r3.html", "roussel_edouard1407r3")</f>
        <v>0</v>
      </c>
      <c r="H4409">
        <f>HYPERLINK("https://www.wikidata.org/wiki/Q3580022", "Q3580022")</f>
        <v>0</v>
      </c>
    </row>
    <row r="4410" spans="1:8">
      <c r="A4410" t="s">
        <v>4416</v>
      </c>
      <c r="B4410" t="s">
        <v>8762</v>
      </c>
      <c r="C4410" t="s">
        <v>10207</v>
      </c>
      <c r="D4410" t="s">
        <v>15323</v>
      </c>
      <c r="E4410" s="2">
        <v>13904</v>
      </c>
      <c r="F4410">
        <f>HYPERLINK("https://www2.assemblee-nationale.fr/sycomore/fiche/(num_dept)/6145", "6145.0")</f>
        <v>0</v>
      </c>
      <c r="H4410">
        <f>HYPERLINK("https://www.wikidata.org/wiki/Q3271609", "Q3271609")</f>
        <v>0</v>
      </c>
    </row>
    <row r="4411" spans="1:8">
      <c r="A4411" t="s">
        <v>4417</v>
      </c>
      <c r="B4411" t="s">
        <v>8763</v>
      </c>
      <c r="C4411" t="s">
        <v>11156</v>
      </c>
      <c r="D4411" t="s">
        <v>15324</v>
      </c>
      <c r="E4411" s="2">
        <v>8276</v>
      </c>
      <c r="F4411">
        <f>HYPERLINK("https://www2.assemblee-nationale.fr/sycomore/fiche/(num_dept)/6147", "6147.0")</f>
        <v>0</v>
      </c>
      <c r="H4411">
        <f>HYPERLINK("https://www.wikidata.org/wiki/Q3592358", "Q3592358")</f>
        <v>0</v>
      </c>
    </row>
    <row r="4412" spans="1:8">
      <c r="A4412" t="s">
        <v>4418</v>
      </c>
      <c r="B4412" t="s">
        <v>8764</v>
      </c>
      <c r="C4412" t="s">
        <v>9953</v>
      </c>
      <c r="D4412" t="s">
        <v>15325</v>
      </c>
      <c r="E4412" s="2">
        <v>15375</v>
      </c>
      <c r="G4412">
        <f>HYPERLINK("https://www.senat.fr/senateur-3eme-republique/roustan_marius0246r3.html", "roustan_marius0246r3")</f>
        <v>0</v>
      </c>
      <c r="H4412">
        <f>HYPERLINK("https://www.wikidata.org/wiki/Q3293852", "Q3293852")</f>
        <v>0</v>
      </c>
    </row>
    <row r="4413" spans="1:8">
      <c r="A4413" t="s">
        <v>4419</v>
      </c>
      <c r="B4413" t="s">
        <v>8765</v>
      </c>
      <c r="C4413" t="s">
        <v>5058</v>
      </c>
      <c r="D4413" t="s">
        <v>15317</v>
      </c>
      <c r="E4413" s="2">
        <v>14200</v>
      </c>
      <c r="F4413">
        <f>HYPERLINK("https://www2.assemblee-nationale.fr/sycomore/fiche/(num_dept)/6134", "6134.0")</f>
        <v>0</v>
      </c>
      <c r="H4413">
        <f>HYPERLINK("https://www.wikidata.org/wiki/Q2831515", "Q2831515")</f>
        <v>0</v>
      </c>
    </row>
    <row r="4414" spans="1:8">
      <c r="A4414" t="s">
        <v>4420</v>
      </c>
      <c r="B4414" t="s">
        <v>8766</v>
      </c>
      <c r="C4414" t="s">
        <v>9430</v>
      </c>
      <c r="D4414" t="s">
        <v>15326</v>
      </c>
      <c r="E4414" s="2">
        <v>6782</v>
      </c>
      <c r="G4414">
        <f>HYPERLINK("https://www.senat.fr/senateur-3eme-republique/rouvier_paul0406r3.html", "rouvier_paul0406r3")</f>
        <v>0</v>
      </c>
      <c r="H4414">
        <f>HYPERLINK("https://www.wikidata.org/wiki/Q3372135", "Q3372135")</f>
        <v>0</v>
      </c>
    </row>
    <row r="4415" spans="1:8">
      <c r="A4415" t="s">
        <v>4421</v>
      </c>
      <c r="B4415" t="s">
        <v>8767</v>
      </c>
      <c r="C4415" t="s">
        <v>10031</v>
      </c>
      <c r="D4415" t="s">
        <v>15327</v>
      </c>
      <c r="E4415" s="2">
        <v>4176</v>
      </c>
      <c r="F4415">
        <f>HYPERLINK("https://www2.assemblee-nationale.fr/sycomore/fiche/(num_dept)/6152", "6152.0")</f>
        <v>0</v>
      </c>
      <c r="G4415">
        <f>HYPERLINK("https://www.senat.fr/senateur-3eme-republique/rouvier_maurice0115r3.html", "rouvier_maurice0115r3")</f>
        <v>0</v>
      </c>
      <c r="H4415">
        <f>HYPERLINK("https://www.wikidata.org/wiki/Q471293", "Q471293")</f>
        <v>0</v>
      </c>
    </row>
    <row r="4416" spans="1:8">
      <c r="A4416" t="s">
        <v>4422</v>
      </c>
      <c r="B4416" t="s">
        <v>8768</v>
      </c>
      <c r="C4416" t="s">
        <v>11157</v>
      </c>
      <c r="D4416" t="s">
        <v>15328</v>
      </c>
      <c r="E4416" s="2">
        <v>8813</v>
      </c>
      <c r="F4416">
        <f>HYPERLINK("https://www2.assemblee-nationale.fr/sycomore/fiche/(num_dept)/1100", "1100.0")</f>
        <v>0</v>
      </c>
      <c r="H4416">
        <f>HYPERLINK("https://www.wikidata.org/wiki/Q2958604", "Q2958604")</f>
        <v>0</v>
      </c>
    </row>
    <row r="4417" spans="1:8">
      <c r="A4417" t="s">
        <v>4423</v>
      </c>
      <c r="B4417" t="s">
        <v>8769</v>
      </c>
      <c r="C4417" t="s">
        <v>11158</v>
      </c>
      <c r="D4417" t="s">
        <v>15329</v>
      </c>
      <c r="E4417" s="2">
        <v>16845</v>
      </c>
      <c r="F4417">
        <f>HYPERLINK("https://www2.assemblee-nationale.fr/sycomore/fiche/(num_dept)/6165", "6165.0")</f>
        <v>0</v>
      </c>
      <c r="H4417">
        <f>HYPERLINK("https://www.wikidata.org/wiki/Q16026454", "Q16026454")</f>
        <v>0</v>
      </c>
    </row>
    <row r="4418" spans="1:8">
      <c r="A4418" t="s">
        <v>4424</v>
      </c>
      <c r="B4418" t="s">
        <v>8770</v>
      </c>
      <c r="C4418" t="s">
        <v>11159</v>
      </c>
      <c r="D4418" t="s">
        <v>12454</v>
      </c>
      <c r="E4418" s="2">
        <v>19348</v>
      </c>
      <c r="F4418">
        <f>HYPERLINK("https://www2.assemblee-nationale.fr/sycomore/fiche/(num_dept)/6166", "6166.0")</f>
        <v>0</v>
      </c>
      <c r="G4418">
        <f>HYPERLINK("https://www.senat.fr/senateur-3eme-republique/roux_freissineng_pierre1827r3.html", "roux_freissineng_pierre1827r3")</f>
        <v>0</v>
      </c>
      <c r="H4418">
        <f>HYPERLINK("https://www.wikidata.org/wiki/Q3386881", "Q3386881")</f>
        <v>0</v>
      </c>
    </row>
    <row r="4419" spans="1:8">
      <c r="A4419" t="s">
        <v>4425</v>
      </c>
      <c r="B4419" t="s">
        <v>8771</v>
      </c>
      <c r="C4419" t="s">
        <v>11160</v>
      </c>
      <c r="D4419" t="s">
        <v>15330</v>
      </c>
      <c r="E4419" s="2">
        <v>5893</v>
      </c>
      <c r="F4419">
        <f>HYPERLINK("https://www2.assemblee-nationale.fr/sycomore/fiche/(num_dept)/6161", "6161.0")</f>
        <v>0</v>
      </c>
      <c r="H4419">
        <f>HYPERLINK("https://www.wikidata.org/wiki/Q16026456", "Q16026456")</f>
        <v>0</v>
      </c>
    </row>
    <row r="4420" spans="1:8">
      <c r="A4420" t="s">
        <v>4426</v>
      </c>
      <c r="B4420" t="s">
        <v>8771</v>
      </c>
      <c r="C4420" t="s">
        <v>11161</v>
      </c>
      <c r="D4420" t="s">
        <v>14136</v>
      </c>
      <c r="E4420" s="2">
        <v>8517</v>
      </c>
      <c r="F4420">
        <f>HYPERLINK("https://www2.assemblee-nationale.fr/sycomore/fiche/(num_dept)/7616", "7616.0")</f>
        <v>0</v>
      </c>
      <c r="H4420">
        <f>HYPERLINK("https://www.wikidata.org/wiki/Q3371651", "Q3371651")</f>
        <v>0</v>
      </c>
    </row>
    <row r="4421" spans="1:8">
      <c r="A4421" t="s">
        <v>4427</v>
      </c>
      <c r="B4421" t="s">
        <v>8771</v>
      </c>
      <c r="C4421" t="s">
        <v>9797</v>
      </c>
      <c r="D4421" t="s">
        <v>15331</v>
      </c>
      <c r="E4421" s="2">
        <v>13898</v>
      </c>
      <c r="F4421">
        <f>HYPERLINK("https://www2.assemblee-nationale.fr/sycomore/fiche/(num_dept)/6155", "6155.0")</f>
        <v>0</v>
      </c>
      <c r="H4421">
        <f>HYPERLINK("https://www.wikidata.org/wiki/Q2960157", "Q2960157")</f>
        <v>0</v>
      </c>
    </row>
    <row r="4422" spans="1:8">
      <c r="A4422" t="s">
        <v>4428</v>
      </c>
      <c r="B4422" t="s">
        <v>8771</v>
      </c>
      <c r="C4422" t="s">
        <v>10537</v>
      </c>
      <c r="D4422" t="s">
        <v>15332</v>
      </c>
      <c r="E4422" s="2">
        <v>21015</v>
      </c>
      <c r="F4422">
        <f>HYPERLINK("https://www2.assemblee-nationale.fr/sycomore/fiche/(num_dept)/6162", "6162.0")</f>
        <v>0</v>
      </c>
      <c r="H4422">
        <f>HYPERLINK("https://www.wikidata.org/wiki/Q24845886", "Q24845886")</f>
        <v>0</v>
      </c>
    </row>
    <row r="4423" spans="1:8">
      <c r="A4423" t="s">
        <v>4429</v>
      </c>
      <c r="B4423" t="s">
        <v>8771</v>
      </c>
      <c r="C4423" t="s">
        <v>5096</v>
      </c>
      <c r="D4423" t="s">
        <v>15333</v>
      </c>
      <c r="E4423" s="2">
        <v>15365</v>
      </c>
      <c r="F4423">
        <f>HYPERLINK("https://www2.assemblee-nationale.fr/sycomore/fiche/(num_dept)/6154", "6154.0")</f>
        <v>0</v>
      </c>
      <c r="H4423">
        <f>HYPERLINK("https://www.wikidata.org/wiki/Q16526906", "Q16526906")</f>
        <v>0</v>
      </c>
    </row>
    <row r="4424" spans="1:8">
      <c r="A4424" t="s">
        <v>4430</v>
      </c>
      <c r="B4424" t="s">
        <v>8771</v>
      </c>
      <c r="C4424" t="s">
        <v>11162</v>
      </c>
      <c r="D4424" t="s">
        <v>15334</v>
      </c>
      <c r="E4424" s="2">
        <v>21331</v>
      </c>
      <c r="F4424">
        <f>HYPERLINK("https://www2.assemblee-nationale.fr/sycomore/fiche/(num_dept)/7615", "7615.0")</f>
        <v>0</v>
      </c>
      <c r="H4424">
        <f>HYPERLINK("https://www.wikidata.org/wiki/Q3059683", "Q3059683")</f>
        <v>0</v>
      </c>
    </row>
    <row r="4425" spans="1:8">
      <c r="A4425" t="s">
        <v>4431</v>
      </c>
      <c r="B4425" t="s">
        <v>8772</v>
      </c>
      <c r="C4425" t="s">
        <v>11163</v>
      </c>
      <c r="D4425" t="s">
        <v>15335</v>
      </c>
      <c r="E4425" s="2">
        <v>12982</v>
      </c>
      <c r="F4425">
        <f>HYPERLINK("https://www2.assemblee-nationale.fr/sycomore/fiche/(num_dept)/6168", "6168.0")</f>
        <v>0</v>
      </c>
      <c r="H4425">
        <f>HYPERLINK("https://www.wikidata.org/wiki/Q3131954", "Q3131954")</f>
        <v>0</v>
      </c>
    </row>
    <row r="4426" spans="1:8">
      <c r="A4426" t="s">
        <v>4432</v>
      </c>
      <c r="B4426" t="s">
        <v>8773</v>
      </c>
      <c r="C4426" t="s">
        <v>9963</v>
      </c>
      <c r="D4426" t="s">
        <v>13686</v>
      </c>
      <c r="E4426" s="2">
        <v>15253</v>
      </c>
      <c r="F4426">
        <f>HYPERLINK("https://www2.assemblee-nationale.fr/sycomore/fiche/(num_dept)/7617", "7617.0")</f>
        <v>0</v>
      </c>
      <c r="H4426">
        <f>HYPERLINK("https://www.wikidata.org/wiki/Q3185233", "Q3185233")</f>
        <v>0</v>
      </c>
    </row>
    <row r="4427" spans="1:8">
      <c r="A4427" t="s">
        <v>4433</v>
      </c>
      <c r="B4427" t="s">
        <v>8774</v>
      </c>
      <c r="C4427" t="s">
        <v>8384</v>
      </c>
      <c r="D4427" t="s">
        <v>15336</v>
      </c>
      <c r="G4427">
        <f>HYPERLINK("https://www.senat.fr/senateur-3eme-republique/roy_de_loulay_pierre0415r3.html", "roy_de_loulay_pierre0415r3")</f>
        <v>0</v>
      </c>
      <c r="H4427">
        <f>HYPERLINK("https://www.wikidata.org/wiki/Q3386886", "Q3386886")</f>
        <v>0</v>
      </c>
    </row>
    <row r="4428" spans="1:8">
      <c r="A4428" t="s">
        <v>4434</v>
      </c>
      <c r="B4428" t="s">
        <v>8775</v>
      </c>
      <c r="C4428" t="s">
        <v>11164</v>
      </c>
      <c r="D4428" t="s">
        <v>12911</v>
      </c>
      <c r="E4428" s="2">
        <v>3140</v>
      </c>
      <c r="F4428">
        <f>HYPERLINK("https://www2.assemblee-nationale.fr/sycomore/fiche/(num_dept)/8039", "8039.0")</f>
        <v>0</v>
      </c>
      <c r="H4428">
        <f>HYPERLINK("https://www.wikidata.org/wiki/Q16025963", "Q16025963")</f>
        <v>0</v>
      </c>
    </row>
    <row r="4429" spans="1:8">
      <c r="A4429" t="s">
        <v>4435</v>
      </c>
      <c r="B4429" t="s">
        <v>8775</v>
      </c>
      <c r="C4429" t="s">
        <v>11165</v>
      </c>
      <c r="D4429" t="s">
        <v>15337</v>
      </c>
      <c r="E4429" s="2">
        <v>7278</v>
      </c>
      <c r="F4429">
        <f>HYPERLINK("https://www2.assemblee-nationale.fr/sycomore/fiche/(num_dept)/7619", "7619.0")</f>
        <v>0</v>
      </c>
      <c r="H4429">
        <f>HYPERLINK("https://www.wikidata.org/wiki/Q3579933", "Q3579933")</f>
        <v>0</v>
      </c>
    </row>
    <row r="4430" spans="1:8">
      <c r="A4430" t="s">
        <v>4436</v>
      </c>
      <c r="B4430" t="s">
        <v>8775</v>
      </c>
      <c r="C4430" t="s">
        <v>7942</v>
      </c>
      <c r="D4430" t="s">
        <v>15338</v>
      </c>
      <c r="E4430" s="2">
        <v>5584</v>
      </c>
      <c r="F4430">
        <f>HYPERLINK("https://www2.assemblee-nationale.fr/sycomore/fiche/(num_dept)/6172", "6172.0")</f>
        <v>0</v>
      </c>
      <c r="H4430">
        <f>HYPERLINK("https://www.wikidata.org/wiki/Q16663834", "Q16663834")</f>
        <v>0</v>
      </c>
    </row>
    <row r="4431" spans="1:8">
      <c r="A4431" t="s">
        <v>4437</v>
      </c>
      <c r="B4431" t="s">
        <v>8775</v>
      </c>
      <c r="C4431" t="s">
        <v>9324</v>
      </c>
      <c r="D4431" t="s">
        <v>15339</v>
      </c>
      <c r="E4431" s="2">
        <v>18498</v>
      </c>
      <c r="F4431">
        <f>HYPERLINK("https://www2.assemblee-nationale.fr/sycomore/fiche/(num_dept)/6171", "6171.0")</f>
        <v>0</v>
      </c>
      <c r="G4431">
        <f>HYPERLINK("https://www.senat.fr/senateur-3eme-republique/roy_henri0510r3.html", "roy_henri0510r3")</f>
        <v>0</v>
      </c>
      <c r="H4431">
        <f>HYPERLINK("https://www.wikidata.org/wiki/Q3131955", "Q3131955")</f>
        <v>0</v>
      </c>
    </row>
    <row r="4432" spans="1:8">
      <c r="A4432" t="s">
        <v>4438</v>
      </c>
      <c r="B4432" t="s">
        <v>8775</v>
      </c>
      <c r="C4432" t="s">
        <v>11166</v>
      </c>
      <c r="D4432" t="s">
        <v>15340</v>
      </c>
      <c r="E4432" s="2">
        <v>16135</v>
      </c>
      <c r="F4432">
        <f>HYPERLINK("https://www2.assemblee-nationale.fr/sycomore/fiche/(num_dept)/7618", "7618.0")</f>
        <v>0</v>
      </c>
      <c r="H4432">
        <f>HYPERLINK("https://www.wikidata.org/wiki/Q16025962", "Q16025962")</f>
        <v>0</v>
      </c>
    </row>
    <row r="4433" spans="1:8">
      <c r="A4433" t="s">
        <v>4439</v>
      </c>
      <c r="B4433" t="s">
        <v>8775</v>
      </c>
      <c r="C4433" t="s">
        <v>11167</v>
      </c>
      <c r="D4433" t="s">
        <v>15341</v>
      </c>
      <c r="E4433" s="2">
        <v>14122</v>
      </c>
      <c r="F4433">
        <f>HYPERLINK("https://www2.assemblee-nationale.fr/sycomore/fiche/(num_dept)/6170", "6170.0")</f>
        <v>0</v>
      </c>
      <c r="G4433">
        <f>HYPERLINK("https://www.senat.fr/senateur-3eme-republique/roy_eugene1007r3.html", "roy_eugene1007r3")</f>
        <v>0</v>
      </c>
      <c r="H4433">
        <f>HYPERLINK("https://www.wikidata.org/wiki/Q3060160", "Q3060160")</f>
        <v>0</v>
      </c>
    </row>
    <row r="4434" spans="1:8">
      <c r="A4434" t="s">
        <v>4440</v>
      </c>
      <c r="B4434" t="s">
        <v>8775</v>
      </c>
      <c r="C4434" t="s">
        <v>11168</v>
      </c>
      <c r="D4434" t="s">
        <v>15342</v>
      </c>
      <c r="E4434" s="2">
        <v>22890</v>
      </c>
      <c r="F4434">
        <f>HYPERLINK("https://www2.assemblee-nationale.fr/sycomore/fiche/(num_dept)/6169", "6169.0")</f>
        <v>0</v>
      </c>
      <c r="H4434">
        <f>HYPERLINK("https://www.wikidata.org/wiki/Q3165370", "Q3165370")</f>
        <v>0</v>
      </c>
    </row>
    <row r="4435" spans="1:8">
      <c r="A4435" t="s">
        <v>4441</v>
      </c>
      <c r="B4435" t="s">
        <v>8776</v>
      </c>
      <c r="C4435" t="s">
        <v>11169</v>
      </c>
      <c r="D4435" t="s">
        <v>15343</v>
      </c>
      <c r="E4435" t="s">
        <v>16404</v>
      </c>
      <c r="F4435">
        <f>HYPERLINK("https://www2.assemblee-nationale.fr/sycomore/fiche/(num_dept)/6175", "6175.0")</f>
        <v>0</v>
      </c>
      <c r="H4435">
        <f>HYPERLINK("https://www.wikidata.org/wiki/Q16026458", "Q16026458")</f>
        <v>0</v>
      </c>
    </row>
    <row r="4436" spans="1:8">
      <c r="A4436" t="s">
        <v>4442</v>
      </c>
      <c r="B4436" t="s">
        <v>8776</v>
      </c>
      <c r="C4436" t="s">
        <v>9815</v>
      </c>
      <c r="D4436" t="s">
        <v>15344</v>
      </c>
      <c r="E4436" s="2">
        <v>8620</v>
      </c>
      <c r="F4436">
        <f>HYPERLINK("https://www2.assemblee-nationale.fr/sycomore/fiche/(num_dept)/6177", "6177.0")</f>
        <v>0</v>
      </c>
      <c r="H4436">
        <f>HYPERLINK("https://www.wikidata.org/wiki/Q16026459", "Q16026459")</f>
        <v>0</v>
      </c>
    </row>
    <row r="4437" spans="1:8">
      <c r="A4437" t="s">
        <v>4443</v>
      </c>
      <c r="B4437" t="s">
        <v>8777</v>
      </c>
      <c r="C4437" t="s">
        <v>5058</v>
      </c>
      <c r="D4437" t="s">
        <v>14189</v>
      </c>
      <c r="E4437" s="2">
        <v>8316</v>
      </c>
      <c r="G4437">
        <f>HYPERLINK("https://www.senat.fr/senateur-3eme-republique/royneau_albert0777r3.html", "royneau_albert0777r3")</f>
        <v>0</v>
      </c>
      <c r="H4437">
        <f>HYPERLINK("https://www.wikidata.org/wiki/Q2831518", "Q2831518")</f>
        <v>0</v>
      </c>
    </row>
    <row r="4438" spans="1:8">
      <c r="A4438" t="s">
        <v>4444</v>
      </c>
      <c r="B4438" t="s">
        <v>8778</v>
      </c>
      <c r="C4438" t="s">
        <v>11170</v>
      </c>
      <c r="D4438" t="s">
        <v>13480</v>
      </c>
      <c r="E4438" s="2">
        <v>5735</v>
      </c>
      <c r="F4438">
        <f>HYPERLINK("https://www2.assemblee-nationale.fr/sycomore/fiche/(num_dept)/6179", "6179.0")</f>
        <v>0</v>
      </c>
      <c r="H4438">
        <f>HYPERLINK("https://www.wikidata.org/wiki/Q13077219", "Q13077219")</f>
        <v>0</v>
      </c>
    </row>
    <row r="4439" spans="1:8">
      <c r="A4439" t="s">
        <v>4445</v>
      </c>
      <c r="B4439" t="s">
        <v>8779</v>
      </c>
      <c r="C4439" t="s">
        <v>9773</v>
      </c>
      <c r="D4439" t="s">
        <v>15345</v>
      </c>
      <c r="E4439" s="2">
        <v>8770</v>
      </c>
      <c r="F4439">
        <f>HYPERLINK("https://www2.assemblee-nationale.fr/sycomore/fiche/(num_dept)/6180", "6180.0")</f>
        <v>0</v>
      </c>
      <c r="H4439">
        <f>HYPERLINK("https://www.wikidata.org/wiki/Q2865323", "Q2865323")</f>
        <v>0</v>
      </c>
    </row>
    <row r="4440" spans="1:8">
      <c r="A4440" t="s">
        <v>4446</v>
      </c>
      <c r="B4440" t="s">
        <v>8780</v>
      </c>
      <c r="C4440" t="s">
        <v>6888</v>
      </c>
      <c r="D4440" t="s">
        <v>11465</v>
      </c>
      <c r="E4440" s="2">
        <v>23427</v>
      </c>
      <c r="G4440">
        <f>HYPERLINK("https://www.senat.fr/senateur-3eme-republique/rozier_felix0719r3.html", "rozier_felix0719r3")</f>
        <v>0</v>
      </c>
      <c r="H4440">
        <f>HYPERLINK("https://www.wikidata.org/wiki/Q3092600", "Q3092600")</f>
        <v>0</v>
      </c>
    </row>
    <row r="4441" spans="1:8">
      <c r="A4441" t="s">
        <v>4447</v>
      </c>
      <c r="B4441" t="s">
        <v>8781</v>
      </c>
      <c r="C4441" t="s">
        <v>11171</v>
      </c>
      <c r="D4441" t="s">
        <v>15346</v>
      </c>
      <c r="E4441" s="2">
        <v>1235</v>
      </c>
      <c r="F4441">
        <f>HYPERLINK("https://www2.assemblee-nationale.fr/sycomore/fiche/(num_dept)/8162", "8162.0")</f>
        <v>0</v>
      </c>
      <c r="H4441">
        <f>HYPERLINK("https://www.wikidata.org/wiki/Q16026460", "Q16026460")</f>
        <v>0</v>
      </c>
    </row>
    <row r="4442" spans="1:8">
      <c r="A4442" t="s">
        <v>4448</v>
      </c>
      <c r="B4442" t="s">
        <v>8782</v>
      </c>
      <c r="C4442" t="s">
        <v>9373</v>
      </c>
      <c r="D4442" t="s">
        <v>15347</v>
      </c>
      <c r="E4442" s="2">
        <v>8664</v>
      </c>
      <c r="F4442">
        <f>HYPERLINK("https://www2.assemblee-nationale.fr/sycomore/fiche/(num_dept)/6182", "6182.0")</f>
        <v>0</v>
      </c>
      <c r="H4442">
        <f>HYPERLINK("https://www.wikidata.org/wiki/Q3185595", "Q3185595")</f>
        <v>0</v>
      </c>
    </row>
    <row r="4443" spans="1:8">
      <c r="A4443" t="s">
        <v>4449</v>
      </c>
      <c r="B4443" t="s">
        <v>8783</v>
      </c>
      <c r="C4443" t="s">
        <v>11172</v>
      </c>
      <c r="D4443" t="s">
        <v>15348</v>
      </c>
      <c r="E4443" s="2">
        <v>1861</v>
      </c>
      <c r="F4443">
        <f>HYPERLINK("https://www2.assemblee-nationale.fr/sycomore/fiche/(num_dept)/6183", "6183.0")</f>
        <v>0</v>
      </c>
      <c r="G4443">
        <f>HYPERLINK("https://www.senat.fr/senateur-3eme-republique/rubillard_anselme1245r3.html", "rubillard_anselme1245r3")</f>
        <v>0</v>
      </c>
      <c r="H4443">
        <f>HYPERLINK("https://www.wikidata.org/wiki/Q2852487", "Q2852487")</f>
        <v>0</v>
      </c>
    </row>
    <row r="4444" spans="1:8">
      <c r="A4444" t="s">
        <v>4450</v>
      </c>
      <c r="B4444" t="s">
        <v>8784</v>
      </c>
      <c r="C4444" t="s">
        <v>11173</v>
      </c>
      <c r="D4444" t="s">
        <v>15349</v>
      </c>
      <c r="E4444" s="2">
        <v>23399</v>
      </c>
      <c r="F4444">
        <f>HYPERLINK("https://www2.assemblee-nationale.fr/sycomore/fiche/(num_dept)/6184", "6184.0")</f>
        <v>0</v>
      </c>
      <c r="H4444">
        <f>HYPERLINK("https://www.wikidata.org/wiki/Q950845", "Q950845")</f>
        <v>0</v>
      </c>
    </row>
    <row r="4445" spans="1:8">
      <c r="A4445" t="s">
        <v>4451</v>
      </c>
      <c r="B4445" t="s">
        <v>8785</v>
      </c>
      <c r="C4445" t="s">
        <v>11174</v>
      </c>
      <c r="D4445" t="s">
        <v>15350</v>
      </c>
      <c r="E4445" s="2">
        <v>22202</v>
      </c>
      <c r="F4445">
        <f>HYPERLINK("https://www2.assemblee-nationale.fr/sycomore/fiche/(num_dept)/6185", "6185.0")</f>
        <v>0</v>
      </c>
      <c r="H4445">
        <f>HYPERLINK("https://www.wikidata.org/wiki/Q3426863", "Q3426863")</f>
        <v>0</v>
      </c>
    </row>
    <row r="4446" spans="1:8">
      <c r="A4446" t="s">
        <v>4452</v>
      </c>
      <c r="B4446" t="s">
        <v>8786</v>
      </c>
      <c r="C4446" t="s">
        <v>11175</v>
      </c>
      <c r="D4446" t="s">
        <v>15351</v>
      </c>
      <c r="E4446" s="2">
        <v>9719</v>
      </c>
      <c r="F4446">
        <f>HYPERLINK("https://www2.assemblee-nationale.fr/sycomore/fiche/(num_dept)/6186", "6186.0")</f>
        <v>0</v>
      </c>
      <c r="H4446">
        <f>HYPERLINK("https://www.wikidata.org/wiki/Q8329157", "Q8329157")</f>
        <v>0</v>
      </c>
    </row>
    <row r="4447" spans="1:8">
      <c r="A4447" t="s">
        <v>4453</v>
      </c>
      <c r="B4447" t="s">
        <v>8787</v>
      </c>
      <c r="C4447" t="s">
        <v>11176</v>
      </c>
      <c r="D4447" t="s">
        <v>15352</v>
      </c>
      <c r="E4447" s="2">
        <v>20177</v>
      </c>
      <c r="F4447">
        <f>HYPERLINK("https://www2.assemblee-nationale.fr/sycomore/fiche/(num_dept)/6187", "6187.0")</f>
        <v>0</v>
      </c>
      <c r="H4447">
        <f>HYPERLINK("https://www.wikidata.org/wiki/Q8337374", "Q8337374")</f>
        <v>0</v>
      </c>
    </row>
    <row r="4448" spans="1:8">
      <c r="A4448" t="s">
        <v>4454</v>
      </c>
      <c r="B4448" t="s">
        <v>8788</v>
      </c>
      <c r="C4448" t="s">
        <v>9368</v>
      </c>
      <c r="D4448" t="s">
        <v>15353</v>
      </c>
      <c r="E4448" s="2">
        <v>8810</v>
      </c>
      <c r="G4448">
        <f>HYPERLINK("https://www.senat.fr/senateur-3eme-republique/ruffier_eugene1122r3.html", "ruffier_eugene1122r3")</f>
        <v>0</v>
      </c>
      <c r="H4448">
        <f>HYPERLINK("https://www.wikidata.org/wiki/Q3060159", "Q3060159")</f>
        <v>0</v>
      </c>
    </row>
    <row r="4449" spans="1:8">
      <c r="A4449" t="s">
        <v>4455</v>
      </c>
      <c r="B4449" t="s">
        <v>8789</v>
      </c>
      <c r="C4449" t="s">
        <v>9373</v>
      </c>
      <c r="D4449" t="s">
        <v>15354</v>
      </c>
      <c r="E4449" s="2">
        <v>6145</v>
      </c>
      <c r="F4449">
        <f>HYPERLINK("https://www2.assemblee-nationale.fr/sycomore/fiche/(num_dept)/8040", "8040.0")</f>
        <v>0</v>
      </c>
      <c r="H4449">
        <f>HYPERLINK("https://www.wikidata.org/wiki/Q2388215", "Q2388215")</f>
        <v>0</v>
      </c>
    </row>
    <row r="4450" spans="1:8">
      <c r="A4450" t="s">
        <v>4456</v>
      </c>
      <c r="B4450" t="s">
        <v>8790</v>
      </c>
      <c r="C4450" t="s">
        <v>6895</v>
      </c>
      <c r="D4450" t="s">
        <v>15141</v>
      </c>
      <c r="E4450" s="2">
        <v>7232</v>
      </c>
      <c r="F4450">
        <f>HYPERLINK("https://www2.assemblee-nationale.fr/sycomore/fiche/(num_dept)/6638", "6638.0")</f>
        <v>0</v>
      </c>
      <c r="H4450">
        <f>HYPERLINK("https://www.wikidata.org/wiki/Q3093943", "Q3093943")</f>
        <v>0</v>
      </c>
    </row>
    <row r="4451" spans="1:8">
      <c r="A4451" t="s">
        <v>4457</v>
      </c>
      <c r="B4451" t="s">
        <v>8791</v>
      </c>
      <c r="C4451" t="s">
        <v>11177</v>
      </c>
      <c r="D4451" t="s">
        <v>15355</v>
      </c>
      <c r="E4451" s="2">
        <v>836</v>
      </c>
      <c r="F4451">
        <f>HYPERLINK("https://www2.assemblee-nationale.fr/sycomore/fiche/(num_dept)/6639", "6639.0")</f>
        <v>0</v>
      </c>
      <c r="H4451">
        <f>HYPERLINK("https://www.wikidata.org/wiki/Q28467651", "Q28467651")</f>
        <v>0</v>
      </c>
    </row>
    <row r="4452" spans="1:8">
      <c r="A4452" t="s">
        <v>4458</v>
      </c>
      <c r="B4452" t="s">
        <v>8792</v>
      </c>
      <c r="C4452" t="s">
        <v>11178</v>
      </c>
      <c r="D4452" t="s">
        <v>15356</v>
      </c>
      <c r="E4452" t="s">
        <v>16405</v>
      </c>
      <c r="F4452">
        <f>HYPERLINK("https://www2.assemblee-nationale.fr/sycomore/fiche/(num_dept)/6643", "6643.0")</f>
        <v>0</v>
      </c>
      <c r="H4452">
        <f>HYPERLINK("https://www.wikidata.org/wiki/Q3588737", "Q3588737")</f>
        <v>0</v>
      </c>
    </row>
    <row r="4453" spans="1:8">
      <c r="A4453" t="s">
        <v>4459</v>
      </c>
      <c r="B4453" t="s">
        <v>8793</v>
      </c>
      <c r="C4453" t="s">
        <v>11179</v>
      </c>
      <c r="D4453" t="s">
        <v>15357</v>
      </c>
      <c r="E4453" s="2">
        <v>17202</v>
      </c>
      <c r="F4453">
        <f>HYPERLINK("https://www2.assemblee-nationale.fr/sycomore/fiche/(num_dept)/6649", "6649.0")</f>
        <v>0</v>
      </c>
      <c r="H4453">
        <f>HYPERLINK("https://www.wikidata.org/wiki/Q16026399", "Q16026399")</f>
        <v>0</v>
      </c>
    </row>
    <row r="4454" spans="1:8">
      <c r="A4454" t="s">
        <v>4460</v>
      </c>
      <c r="B4454" t="s">
        <v>8794</v>
      </c>
      <c r="C4454" t="s">
        <v>10070</v>
      </c>
      <c r="D4454" t="s">
        <v>15148</v>
      </c>
      <c r="E4454" s="2">
        <v>21393</v>
      </c>
      <c r="F4454">
        <f>HYPERLINK("https://www2.assemblee-nationale.fr/sycomore/fiche/(num_dept)/6654", "6654.0")</f>
        <v>0</v>
      </c>
      <c r="H4454">
        <f>HYPERLINK("https://www.wikidata.org/wiki/Q3289373", "Q3289373")</f>
        <v>0</v>
      </c>
    </row>
    <row r="4455" spans="1:8">
      <c r="A4455" t="s">
        <v>4461</v>
      </c>
      <c r="B4455" t="s">
        <v>8795</v>
      </c>
      <c r="C4455" t="s">
        <v>11180</v>
      </c>
      <c r="D4455" t="s">
        <v>11775</v>
      </c>
      <c r="E4455" s="2">
        <v>17027</v>
      </c>
      <c r="F4455">
        <f>HYPERLINK("https://www2.assemblee-nationale.fr/sycomore/fiche/(num_dept)/6668", "6668.0")</f>
        <v>0</v>
      </c>
      <c r="H4455">
        <f>HYPERLINK("https://www.wikidata.org/wiki/Q3387685", "Q3387685")</f>
        <v>0</v>
      </c>
    </row>
    <row r="4456" spans="1:8">
      <c r="A4456" t="s">
        <v>4462</v>
      </c>
      <c r="B4456" t="s">
        <v>8796</v>
      </c>
      <c r="C4456" t="s">
        <v>11181</v>
      </c>
      <c r="D4456" t="s">
        <v>15175</v>
      </c>
      <c r="E4456" s="2">
        <v>13116</v>
      </c>
      <c r="F4456">
        <f>HYPERLINK("https://www2.assemblee-nationale.fr/sycomore/fiche/(num_dept)/6693", "6693.0")</f>
        <v>0</v>
      </c>
      <c r="H4456">
        <f>HYPERLINK("https://www.wikidata.org/wiki/Q3060161", "Q3060161")</f>
        <v>0</v>
      </c>
    </row>
    <row r="4457" spans="1:8">
      <c r="A4457" t="s">
        <v>4463</v>
      </c>
      <c r="B4457" t="s">
        <v>8797</v>
      </c>
      <c r="C4457" t="s">
        <v>10244</v>
      </c>
      <c r="D4457" t="s">
        <v>11833</v>
      </c>
      <c r="E4457" s="2">
        <v>7598</v>
      </c>
      <c r="F4457">
        <f>HYPERLINK("https://www2.assemblee-nationale.fr/sycomore/fiche/(num_dept)/6696", "6696.0")</f>
        <v>0</v>
      </c>
      <c r="H4457">
        <f>HYPERLINK("https://www.wikidata.org/wiki/Q3288371", "Q3288371")</f>
        <v>0</v>
      </c>
    </row>
    <row r="4458" spans="1:8">
      <c r="A4458" t="s">
        <v>4464</v>
      </c>
      <c r="B4458" t="s">
        <v>8798</v>
      </c>
      <c r="C4458" t="s">
        <v>11182</v>
      </c>
      <c r="D4458" t="s">
        <v>15358</v>
      </c>
      <c r="E4458" t="s">
        <v>16406</v>
      </c>
      <c r="F4458">
        <f>HYPERLINK("https://www2.assemblee-nationale.fr/sycomore/fiche/(num_dept)/6697", "6697.0")</f>
        <v>0</v>
      </c>
      <c r="H4458">
        <f>HYPERLINK("https://www.wikidata.org/wiki/Q2856699", "Q2856699")</f>
        <v>0</v>
      </c>
    </row>
    <row r="4459" spans="1:8">
      <c r="A4459" t="s">
        <v>4465</v>
      </c>
      <c r="B4459" t="s">
        <v>8799</v>
      </c>
      <c r="C4459" t="s">
        <v>11183</v>
      </c>
      <c r="D4459" t="s">
        <v>13348</v>
      </c>
      <c r="E4459" t="s">
        <v>16261</v>
      </c>
      <c r="F4459">
        <f>HYPERLINK("https://www2.assemblee-nationale.fr/sycomore/fiche/(num_dept)/6195", "6195.0")</f>
        <v>0</v>
      </c>
      <c r="H4459">
        <f>HYPERLINK("https://www.wikidata.org/wiki/Q16026486", "Q16026486")</f>
        <v>0</v>
      </c>
    </row>
    <row r="4460" spans="1:8">
      <c r="A4460" t="s">
        <v>4466</v>
      </c>
      <c r="B4460" t="s">
        <v>8800</v>
      </c>
      <c r="C4460" t="s">
        <v>9743</v>
      </c>
      <c r="D4460" t="s">
        <v>15359</v>
      </c>
      <c r="E4460" s="2">
        <v>11059</v>
      </c>
      <c r="F4460">
        <f>HYPERLINK("https://www2.assemblee-nationale.fr/sycomore/fiche/(num_dept)/6196", "6196.0")</f>
        <v>0</v>
      </c>
      <c r="G4460">
        <f>HYPERLINK("https://www.senat.fr/senateur-3eme-republique/sabaterie_pierre_jean0994r3.html", "sabaterie_pierre_jean0994r3")</f>
        <v>0</v>
      </c>
      <c r="H4460">
        <f>HYPERLINK("https://www.wikidata.org/wiki/Q3383181", "Q3383181")</f>
        <v>0</v>
      </c>
    </row>
    <row r="4461" spans="1:8">
      <c r="A4461" t="s">
        <v>4467</v>
      </c>
      <c r="B4461" t="s">
        <v>8801</v>
      </c>
      <c r="C4461" t="s">
        <v>11184</v>
      </c>
      <c r="D4461" t="s">
        <v>15360</v>
      </c>
      <c r="F4461">
        <f>HYPERLINK("https://www2.assemblee-nationale.fr/sycomore/fiche/(num_dept)/6198", "6198.0")</f>
        <v>0</v>
      </c>
      <c r="H4461">
        <f>HYPERLINK("https://www.wikidata.org/wiki/Q16798546", "Q16798546")</f>
        <v>0</v>
      </c>
    </row>
    <row r="4462" spans="1:8">
      <c r="A4462" t="s">
        <v>4468</v>
      </c>
      <c r="B4462" t="s">
        <v>8801</v>
      </c>
      <c r="C4462" t="s">
        <v>9337</v>
      </c>
      <c r="D4462" t="s">
        <v>15361</v>
      </c>
      <c r="E4462" s="2">
        <v>16312</v>
      </c>
      <c r="F4462">
        <f>HYPERLINK("https://www2.assemblee-nationale.fr/sycomore/fiche/(num_dept)/6197", "6197.0")</f>
        <v>0</v>
      </c>
      <c r="H4462">
        <f>HYPERLINK("https://www.wikidata.org/wiki/Q16026461", "Q16026461")</f>
        <v>0</v>
      </c>
    </row>
    <row r="4463" spans="1:8">
      <c r="A4463" t="s">
        <v>4469</v>
      </c>
      <c r="B4463" t="s">
        <v>8802</v>
      </c>
      <c r="C4463" t="s">
        <v>11185</v>
      </c>
      <c r="D4463" t="s">
        <v>15362</v>
      </c>
      <c r="E4463" s="2">
        <v>20727</v>
      </c>
      <c r="F4463">
        <f>HYPERLINK("https://www2.assemblee-nationale.fr/sycomore/fiche/(num_dept)/6200", "6200.0")</f>
        <v>0</v>
      </c>
      <c r="H4463">
        <f>HYPERLINK("https://www.wikidata.org/wiki/Q1233694", "Q1233694")</f>
        <v>0</v>
      </c>
    </row>
    <row r="4464" spans="1:8">
      <c r="A4464" t="s">
        <v>4470</v>
      </c>
      <c r="B4464" t="s">
        <v>8803</v>
      </c>
      <c r="C4464" t="s">
        <v>11186</v>
      </c>
      <c r="D4464" t="s">
        <v>15363</v>
      </c>
      <c r="E4464" s="2">
        <v>10441</v>
      </c>
      <c r="F4464">
        <f>HYPERLINK("https://www2.assemblee-nationale.fr/sycomore/fiche/(num_dept)/6201", "6201.0")</f>
        <v>0</v>
      </c>
      <c r="H4464">
        <f>HYPERLINK("https://www.wikidata.org/wiki/Q16026462", "Q16026462")</f>
        <v>0</v>
      </c>
    </row>
    <row r="4465" spans="1:8">
      <c r="A4465" t="s">
        <v>4471</v>
      </c>
      <c r="B4465" t="s">
        <v>8804</v>
      </c>
      <c r="C4465" t="s">
        <v>11187</v>
      </c>
      <c r="D4465" t="s">
        <v>15364</v>
      </c>
      <c r="E4465" s="2">
        <v>13088</v>
      </c>
      <c r="F4465">
        <f>HYPERLINK("https://www2.assemblee-nationale.fr/sycomore/fiche/(num_dept)/2627", "2627.0")</f>
        <v>0</v>
      </c>
      <c r="H4465">
        <f>HYPERLINK("https://www.wikidata.org/wiki/Q3384816", "Q3384816")</f>
        <v>0</v>
      </c>
    </row>
    <row r="4466" spans="1:8">
      <c r="A4466" t="s">
        <v>4472</v>
      </c>
      <c r="B4466" t="s">
        <v>8805</v>
      </c>
      <c r="C4466" t="s">
        <v>11188</v>
      </c>
      <c r="D4466" t="s">
        <v>15365</v>
      </c>
      <c r="E4466" t="s">
        <v>16407</v>
      </c>
      <c r="F4466">
        <f>HYPERLINK("https://www2.assemblee-nationale.fr/sycomore/fiche/(num_dept)/6203", "6203.0")</f>
        <v>0</v>
      </c>
      <c r="H4466">
        <f>HYPERLINK("https://www.wikidata.org/wiki/Q16026463", "Q16026463")</f>
        <v>0</v>
      </c>
    </row>
    <row r="4467" spans="1:8">
      <c r="A4467" t="s">
        <v>4473</v>
      </c>
      <c r="B4467" t="s">
        <v>8806</v>
      </c>
      <c r="C4467" t="s">
        <v>9312</v>
      </c>
      <c r="D4467" t="s">
        <v>15366</v>
      </c>
      <c r="E4467" s="2">
        <v>9471</v>
      </c>
      <c r="F4467">
        <f>HYPERLINK("https://www2.assemblee-nationale.fr/sycomore/fiche/(num_dept)/6204", "6204.0")</f>
        <v>0</v>
      </c>
      <c r="H4467">
        <f>HYPERLINK("https://www.wikidata.org/wiki/Q16026464", "Q16026464")</f>
        <v>0</v>
      </c>
    </row>
    <row r="4468" spans="1:8">
      <c r="A4468" t="s">
        <v>4474</v>
      </c>
      <c r="B4468" t="s">
        <v>8807</v>
      </c>
      <c r="C4468" t="s">
        <v>11189</v>
      </c>
      <c r="D4468" t="s">
        <v>15367</v>
      </c>
      <c r="E4468" s="2">
        <v>7700</v>
      </c>
      <c r="F4468">
        <f>HYPERLINK("https://www2.assemblee-nationale.fr/sycomore/fiche/(num_dept)/4387", "4387.0")</f>
        <v>0</v>
      </c>
      <c r="H4468">
        <f>HYPERLINK("https://www.wikidata.org/wiki/Q3434784", "Q3434784")</f>
        <v>0</v>
      </c>
    </row>
    <row r="4469" spans="1:8">
      <c r="A4469" t="s">
        <v>4475</v>
      </c>
      <c r="B4469" t="s">
        <v>8807</v>
      </c>
      <c r="C4469" t="s">
        <v>11190</v>
      </c>
      <c r="D4469" t="s">
        <v>12743</v>
      </c>
      <c r="E4469" s="2">
        <v>13329</v>
      </c>
      <c r="F4469">
        <f>HYPERLINK("https://www2.assemblee-nationale.fr/sycomore/fiche/(num_dept)/4386", "4386.0")</f>
        <v>0</v>
      </c>
      <c r="H4469">
        <f>HYPERLINK("https://www.wikidata.org/wiki/Q2960618", "Q2960618")</f>
        <v>0</v>
      </c>
    </row>
    <row r="4470" spans="1:8">
      <c r="A4470" t="s">
        <v>4476</v>
      </c>
      <c r="B4470" t="s">
        <v>8808</v>
      </c>
      <c r="C4470" t="s">
        <v>11191</v>
      </c>
      <c r="D4470" t="s">
        <v>15368</v>
      </c>
      <c r="E4470" s="2">
        <v>9208</v>
      </c>
      <c r="G4470">
        <f>HYPERLINK("https://www.senat.fr/senateur-3eme-republique/saillard_albin0682r3.html", "saillard_albin0682r3")</f>
        <v>0</v>
      </c>
      <c r="H4470">
        <f>HYPERLINK("https://www.wikidata.org/wiki/Q2831891", "Q2831891")</f>
        <v>0</v>
      </c>
    </row>
    <row r="4471" spans="1:8">
      <c r="A4471" t="s">
        <v>4477</v>
      </c>
      <c r="B4471" t="s">
        <v>8809</v>
      </c>
      <c r="C4471" t="s">
        <v>11192</v>
      </c>
      <c r="D4471" t="s">
        <v>14113</v>
      </c>
      <c r="E4471" s="2">
        <v>10846</v>
      </c>
      <c r="F4471">
        <f>HYPERLINK("https://www2.assemblee-nationale.fr/sycomore/fiche/(num_dept)/6211", "6211.0")</f>
        <v>0</v>
      </c>
      <c r="H4471">
        <f>HYPERLINK("https://www.wikidata.org/wiki/Q2856704", "Q2856704")</f>
        <v>0</v>
      </c>
    </row>
    <row r="4472" spans="1:8">
      <c r="A4472" t="s">
        <v>4478</v>
      </c>
      <c r="B4472" t="s">
        <v>8810</v>
      </c>
      <c r="C4472" t="s">
        <v>10170</v>
      </c>
      <c r="D4472" t="s">
        <v>15369</v>
      </c>
      <c r="E4472" s="2">
        <v>8651</v>
      </c>
      <c r="H4472">
        <f>HYPERLINK("https://www.wikidata.org/wiki/Q3351352", "Q3351352")</f>
        <v>0</v>
      </c>
    </row>
    <row r="4473" spans="1:8">
      <c r="A4473" t="s">
        <v>4479</v>
      </c>
      <c r="B4473" t="s">
        <v>8811</v>
      </c>
      <c r="C4473" t="s">
        <v>11193</v>
      </c>
      <c r="D4473" t="s">
        <v>11864</v>
      </c>
      <c r="E4473" s="2">
        <v>9627</v>
      </c>
      <c r="F4473">
        <f>HYPERLINK("https://www2.assemblee-nationale.fr/sycomore/fiche/(num_dept)/8256", "8256.0")</f>
        <v>0</v>
      </c>
      <c r="H4473">
        <f>HYPERLINK("https://www.wikidata.org/wiki/Q3300681", "Q3300681")</f>
        <v>0</v>
      </c>
    </row>
    <row r="4474" spans="1:8">
      <c r="A4474" t="s">
        <v>4480</v>
      </c>
      <c r="B4474" t="s">
        <v>8812</v>
      </c>
      <c r="C4474" t="s">
        <v>11194</v>
      </c>
      <c r="D4474" t="s">
        <v>15370</v>
      </c>
      <c r="E4474" s="2">
        <v>1528</v>
      </c>
      <c r="F4474">
        <f>HYPERLINK("https://www2.assemblee-nationale.fr/sycomore/fiche/(num_dept)/8044", "8044.0")</f>
        <v>0</v>
      </c>
      <c r="H4474">
        <f>HYPERLINK("https://www.wikidata.org/wiki/Q10645338", "Q10645338")</f>
        <v>0</v>
      </c>
    </row>
    <row r="4475" spans="1:8">
      <c r="A4475" t="s">
        <v>4481</v>
      </c>
      <c r="B4475" t="s">
        <v>8813</v>
      </c>
      <c r="C4475" t="s">
        <v>11195</v>
      </c>
      <c r="D4475" t="s">
        <v>15371</v>
      </c>
      <c r="E4475" s="2">
        <v>7039</v>
      </c>
      <c r="F4475">
        <f>HYPERLINK("https://www2.assemblee-nationale.fr/sycomore/fiche/(num_dept)/1207", "1207.0")</f>
        <v>0</v>
      </c>
      <c r="H4475">
        <f>HYPERLINK("https://www.wikidata.org/wiki/Q16026138", "Q16026138")</f>
        <v>0</v>
      </c>
    </row>
    <row r="4476" spans="1:8">
      <c r="A4476" t="s">
        <v>4482</v>
      </c>
      <c r="B4476" t="s">
        <v>8813</v>
      </c>
      <c r="C4476" t="s">
        <v>10070</v>
      </c>
      <c r="D4476" t="s">
        <v>11582</v>
      </c>
      <c r="E4476" s="2">
        <v>14284</v>
      </c>
      <c r="F4476">
        <f>HYPERLINK("https://www2.assemblee-nationale.fr/sycomore/fiche/(num_dept)/6215", "6215.0")</f>
        <v>0</v>
      </c>
      <c r="G4476">
        <f>HYPERLINK("https://www.senat.fr/senateur-3eme-republique/saint_germain_marcel1823r3.html", "saint_germain_marcel1823r3")</f>
        <v>0</v>
      </c>
      <c r="H4476">
        <f>HYPERLINK("https://www.wikidata.org/wiki/Q16798548", "Q16798548")</f>
        <v>0</v>
      </c>
    </row>
    <row r="4477" spans="1:8">
      <c r="A4477" t="s">
        <v>4483</v>
      </c>
      <c r="B4477" t="s">
        <v>8814</v>
      </c>
      <c r="C4477" t="s">
        <v>11196</v>
      </c>
      <c r="D4477" t="s">
        <v>13514</v>
      </c>
      <c r="E4477" s="2">
        <v>12269</v>
      </c>
      <c r="F4477">
        <f>HYPERLINK("https://www2.assemblee-nationale.fr/sycomore/fiche/(num_dept)/6217", "6217.0")</f>
        <v>0</v>
      </c>
      <c r="H4477">
        <f>HYPERLINK("https://www.wikidata.org/wiki/Q3557652", "Q3557652")</f>
        <v>0</v>
      </c>
    </row>
    <row r="4478" spans="1:8">
      <c r="A4478" t="s">
        <v>4484</v>
      </c>
      <c r="B4478" t="s">
        <v>8814</v>
      </c>
      <c r="C4478" t="s">
        <v>10834</v>
      </c>
      <c r="D4478" t="s">
        <v>15372</v>
      </c>
      <c r="E4478" s="2">
        <v>32800</v>
      </c>
      <c r="F4478">
        <f>HYPERLINK("https://www2.assemblee-nationale.fr/sycomore/fiche/(num_dept)/6216", "6216.0")</f>
        <v>0</v>
      </c>
      <c r="H4478">
        <f>HYPERLINK("https://www.wikidata.org/wiki/Q3086312", "Q3086312")</f>
        <v>0</v>
      </c>
    </row>
    <row r="4479" spans="1:8">
      <c r="A4479" t="s">
        <v>4485</v>
      </c>
      <c r="B4479" t="s">
        <v>8815</v>
      </c>
      <c r="C4479" t="s">
        <v>11197</v>
      </c>
      <c r="D4479" t="s">
        <v>15373</v>
      </c>
      <c r="E4479" s="2">
        <v>7630</v>
      </c>
      <c r="F4479">
        <f>HYPERLINK("https://www2.assemblee-nationale.fr/sycomore/fiche/(num_dept)/6218", "6218.0")</f>
        <v>0</v>
      </c>
      <c r="H4479">
        <f>HYPERLINK("https://www.wikidata.org/wiki/Q3098955", "Q3098955")</f>
        <v>0</v>
      </c>
    </row>
    <row r="4480" spans="1:8">
      <c r="A4480" t="s">
        <v>4486</v>
      </c>
      <c r="B4480" t="s">
        <v>8816</v>
      </c>
      <c r="C4480" t="s">
        <v>11198</v>
      </c>
      <c r="D4480" t="s">
        <v>15374</v>
      </c>
      <c r="E4480" s="2">
        <v>4306</v>
      </c>
      <c r="F4480">
        <f>HYPERLINK("https://www2.assemblee-nationale.fr/sycomore/fiche/(num_dept)/6222", "6222.0")</f>
        <v>0</v>
      </c>
      <c r="H4480">
        <f>HYPERLINK("https://www.wikidata.org/wiki/Q3592434", "Q3592434")</f>
        <v>0</v>
      </c>
    </row>
    <row r="4481" spans="1:8">
      <c r="A4481" t="s">
        <v>4487</v>
      </c>
      <c r="B4481" t="s">
        <v>8817</v>
      </c>
      <c r="C4481" t="s">
        <v>11199</v>
      </c>
      <c r="D4481" t="s">
        <v>14773</v>
      </c>
      <c r="E4481" s="2">
        <v>4233</v>
      </c>
      <c r="F4481">
        <f>HYPERLINK("https://www2.assemblee-nationale.fr/sycomore/fiche/(num_dept)/5591", "5591.0")</f>
        <v>0</v>
      </c>
      <c r="H4481">
        <f>HYPERLINK("https://www.wikidata.org/wiki/Q16026221", "Q16026221")</f>
        <v>0</v>
      </c>
    </row>
    <row r="4482" spans="1:8">
      <c r="A4482" t="s">
        <v>4488</v>
      </c>
      <c r="B4482" t="s">
        <v>8817</v>
      </c>
      <c r="C4482" t="s">
        <v>9312</v>
      </c>
      <c r="D4482" t="s">
        <v>11466</v>
      </c>
      <c r="E4482" s="2">
        <v>9861</v>
      </c>
      <c r="F4482">
        <f>HYPERLINK("https://www2.assemblee-nationale.fr/sycomore/fiche/(num_dept)/6219", "6219.0")</f>
        <v>0</v>
      </c>
      <c r="H4482">
        <f>HYPERLINK("https://www.wikidata.org/wiki/Q3164428", "Q3164428")</f>
        <v>0</v>
      </c>
    </row>
    <row r="4483" spans="1:8">
      <c r="A4483" t="s">
        <v>4489</v>
      </c>
      <c r="B4483" t="s">
        <v>8818</v>
      </c>
      <c r="C4483" t="s">
        <v>9511</v>
      </c>
      <c r="D4483" t="s">
        <v>15375</v>
      </c>
      <c r="E4483" s="2">
        <v>10443</v>
      </c>
      <c r="G4483">
        <f>HYPERLINK("https://www.senat.fr/senateur-3eme-republique/saint_martin_jean_marie0110r3.html", "saint_martin_jean_marie0110r3")</f>
        <v>0</v>
      </c>
      <c r="H4483">
        <f>HYPERLINK("https://www.wikidata.org/wiki/Q3167814", "Q3167814")</f>
        <v>0</v>
      </c>
    </row>
    <row r="4484" spans="1:8">
      <c r="A4484" t="s">
        <v>4490</v>
      </c>
      <c r="B4484" t="s">
        <v>8819</v>
      </c>
      <c r="C4484" t="s">
        <v>11200</v>
      </c>
      <c r="D4484" t="s">
        <v>12846</v>
      </c>
      <c r="E4484" s="2">
        <v>8812</v>
      </c>
      <c r="F4484">
        <f>HYPERLINK("https://www2.assemblee-nationale.fr/sycomore/fiche/(num_dept)/6227", "6227.0")</f>
        <v>0</v>
      </c>
      <c r="H4484">
        <f>HYPERLINK("https://www.wikidata.org/wiki/Q8298112", "Q8298112")</f>
        <v>0</v>
      </c>
    </row>
    <row r="4485" spans="1:8">
      <c r="A4485" t="s">
        <v>4491</v>
      </c>
      <c r="B4485" t="s">
        <v>8820</v>
      </c>
      <c r="C4485" t="s">
        <v>11201</v>
      </c>
      <c r="D4485" t="s">
        <v>15376</v>
      </c>
      <c r="E4485" s="2">
        <v>1756</v>
      </c>
      <c r="F4485">
        <f>HYPERLINK("https://www2.assemblee-nationale.fr/sycomore/fiche/(num_dept)/6228", "6228.0")</f>
        <v>0</v>
      </c>
      <c r="G4485">
        <f>HYPERLINK("https://www.senat.fr/senateur-3eme-republique/saint_prix_oscar0141r3.html", "saint_prix_oscar0141r3")</f>
        <v>0</v>
      </c>
      <c r="H4485">
        <f>HYPERLINK("https://www.wikidata.org/wiki/Q3357039", "Q3357039")</f>
        <v>0</v>
      </c>
    </row>
    <row r="4486" spans="1:8">
      <c r="A4486" t="s">
        <v>4492</v>
      </c>
      <c r="B4486" t="s">
        <v>8821</v>
      </c>
      <c r="C4486" t="s">
        <v>11202</v>
      </c>
      <c r="D4486" t="s">
        <v>13032</v>
      </c>
      <c r="E4486" s="2">
        <v>10336</v>
      </c>
      <c r="F4486">
        <f>HYPERLINK("https://www2.assemblee-nationale.fr/sycomore/fiche/(num_dept)/6229", "6229.0")</f>
        <v>0</v>
      </c>
      <c r="G4486">
        <f>HYPERLINK("https://www.senat.fr/senateur-3eme-republique/saint_quentin_louis0355r3.html", "saint_quentin_louis0355r3")</f>
        <v>0</v>
      </c>
      <c r="H4486">
        <f>HYPERLINK("https://www.wikidata.org/wiki/Q3261753", "Q3261753")</f>
        <v>0</v>
      </c>
    </row>
    <row r="4487" spans="1:8">
      <c r="A4487" t="s">
        <v>4493</v>
      </c>
      <c r="B4487" t="s">
        <v>8822</v>
      </c>
      <c r="C4487" t="s">
        <v>11203</v>
      </c>
      <c r="D4487" t="s">
        <v>11995</v>
      </c>
      <c r="E4487" s="2">
        <v>7376</v>
      </c>
      <c r="F4487">
        <f>HYPERLINK("https://www2.assemblee-nationale.fr/sycomore/fiche/(num_dept)/6230", "6230.0")</f>
        <v>0</v>
      </c>
      <c r="G4487">
        <f>HYPERLINK("https://www.senat.fr/senateur-3eme-republique/saint_romme_mathias1205r3.html", "saint_romme_mathias1205r3")</f>
        <v>0</v>
      </c>
      <c r="H4487">
        <f>HYPERLINK("https://www.wikidata.org/wiki/Q3298594", "Q3298594")</f>
        <v>0</v>
      </c>
    </row>
    <row r="4488" spans="1:8">
      <c r="A4488" t="s">
        <v>4494</v>
      </c>
      <c r="B4488" t="s">
        <v>8823</v>
      </c>
      <c r="C4488" t="s">
        <v>11204</v>
      </c>
      <c r="D4488" t="s">
        <v>15377</v>
      </c>
      <c r="E4488" s="2">
        <v>9452</v>
      </c>
      <c r="F4488">
        <f>HYPERLINK("https://www2.assemblee-nationale.fr/sycomore/fiche/(num_dept)/7439", "7439.0")</f>
        <v>0</v>
      </c>
      <c r="H4488">
        <f>HYPERLINK("https://www.wikidata.org/wiki/Q3093994", "Q3093994")</f>
        <v>0</v>
      </c>
    </row>
    <row r="4489" spans="1:8">
      <c r="A4489" t="s">
        <v>4495</v>
      </c>
      <c r="B4489" t="s">
        <v>8824</v>
      </c>
      <c r="C4489" t="s">
        <v>9355</v>
      </c>
      <c r="D4489" t="s">
        <v>15378</v>
      </c>
      <c r="E4489" s="2">
        <v>9633</v>
      </c>
      <c r="F4489">
        <f>HYPERLINK("https://www2.assemblee-nationale.fr/sycomore/fiche/(num_dept)/6233", "6233.0")</f>
        <v>0</v>
      </c>
      <c r="H4489">
        <f>HYPERLINK("https://www.wikidata.org/wiki/Q37793124", "Q37793124")</f>
        <v>0</v>
      </c>
    </row>
    <row r="4490" spans="1:8">
      <c r="A4490" t="s">
        <v>4496</v>
      </c>
      <c r="B4490" t="s">
        <v>8825</v>
      </c>
      <c r="C4490" t="s">
        <v>9355</v>
      </c>
      <c r="D4490" t="s">
        <v>15379</v>
      </c>
      <c r="E4490" s="2">
        <v>759</v>
      </c>
      <c r="F4490">
        <f>HYPERLINK("https://www2.assemblee-nationale.fr/sycomore/fiche/(num_dept)/6212", "6212.0")</f>
        <v>0</v>
      </c>
      <c r="H4490">
        <f>HYPERLINK("https://www.wikidata.org/wiki/Q16026468", "Q16026468")</f>
        <v>0</v>
      </c>
    </row>
    <row r="4491" spans="1:8">
      <c r="A4491" t="s">
        <v>4497</v>
      </c>
      <c r="B4491" t="s">
        <v>8826</v>
      </c>
      <c r="C4491" t="s">
        <v>9377</v>
      </c>
      <c r="D4491" t="s">
        <v>15380</v>
      </c>
      <c r="E4491" s="2">
        <v>13935</v>
      </c>
      <c r="G4491">
        <f>HYPERLINK("https://www.senat.fr/senateur-3eme-republique/saint_lucien0089r3.html", "saint_lucien0089r3")</f>
        <v>0</v>
      </c>
      <c r="H4491">
        <f>HYPERLINK("https://www.wikidata.org/wiki/Q3265709", "Q3265709")</f>
        <v>0</v>
      </c>
    </row>
    <row r="4492" spans="1:8">
      <c r="A4492" t="s">
        <v>4498</v>
      </c>
      <c r="B4492" t="s">
        <v>8827</v>
      </c>
      <c r="C4492" t="s">
        <v>11205</v>
      </c>
      <c r="D4492" t="s">
        <v>14053</v>
      </c>
      <c r="E4492" t="s">
        <v>13978</v>
      </c>
      <c r="F4492">
        <f>HYPERLINK("https://www2.assemblee-nationale.fr/sycomore/fiche/(num_dept)/4308", "4308.0")</f>
        <v>0</v>
      </c>
      <c r="H4492">
        <f>HYPERLINK("https://www.wikidata.org/wiki/Q2959560", "Q2959560")</f>
        <v>0</v>
      </c>
    </row>
    <row r="4493" spans="1:8">
      <c r="A4493" t="s">
        <v>4499</v>
      </c>
      <c r="B4493" t="s">
        <v>8828</v>
      </c>
      <c r="C4493" t="s">
        <v>10610</v>
      </c>
      <c r="D4493" t="s">
        <v>15381</v>
      </c>
      <c r="E4493" t="s">
        <v>16408</v>
      </c>
      <c r="F4493">
        <f>HYPERLINK("https://www2.assemblee-nationale.fr/sycomore/fiche/(num_dept)/6238", "6238.0")</f>
        <v>0</v>
      </c>
      <c r="H4493">
        <f>HYPERLINK("https://www.wikidata.org/wiki/Q3372505", "Q3372505")</f>
        <v>0</v>
      </c>
    </row>
    <row r="4494" spans="1:8">
      <c r="A4494" t="s">
        <v>4500</v>
      </c>
      <c r="B4494" t="s">
        <v>8829</v>
      </c>
      <c r="C4494" t="s">
        <v>11206</v>
      </c>
      <c r="D4494" t="s">
        <v>15382</v>
      </c>
      <c r="E4494" s="2">
        <v>7102</v>
      </c>
      <c r="F4494">
        <f>HYPERLINK("https://www2.assemblee-nationale.fr/sycomore/fiche/(num_dept)/6243", "6243.0")</f>
        <v>0</v>
      </c>
      <c r="H4494">
        <f>HYPERLINK("https://www.wikidata.org/wiki/Q16026469", "Q16026469")</f>
        <v>0</v>
      </c>
    </row>
    <row r="4495" spans="1:8">
      <c r="A4495" t="s">
        <v>4501</v>
      </c>
      <c r="B4495" t="s">
        <v>8830</v>
      </c>
      <c r="C4495" t="s">
        <v>8716</v>
      </c>
      <c r="D4495" t="s">
        <v>15383</v>
      </c>
      <c r="E4495" s="2">
        <v>13472</v>
      </c>
      <c r="F4495">
        <f>HYPERLINK("https://www2.assemblee-nationale.fr/sycomore/fiche/(num_dept)/6245", "6245.0")</f>
        <v>0</v>
      </c>
      <c r="H4495">
        <f>HYPERLINK("https://www.wikidata.org/wiki/Q1400172", "Q1400172")</f>
        <v>0</v>
      </c>
    </row>
    <row r="4496" spans="1:8">
      <c r="A4496" t="s">
        <v>4502</v>
      </c>
      <c r="B4496" t="s">
        <v>8831</v>
      </c>
      <c r="C4496" t="s">
        <v>9386</v>
      </c>
      <c r="D4496" t="s">
        <v>12861</v>
      </c>
      <c r="E4496" s="2">
        <v>22824</v>
      </c>
      <c r="F4496">
        <f>HYPERLINK("https://www2.assemblee-nationale.fr/sycomore/fiche/(num_dept)/6246", "6246.0")</f>
        <v>0</v>
      </c>
      <c r="H4496">
        <f>HYPERLINK("https://www.wikidata.org/wiki/Q16026470", "Q16026470")</f>
        <v>0</v>
      </c>
    </row>
    <row r="4497" spans="1:8">
      <c r="A4497" t="s">
        <v>4503</v>
      </c>
      <c r="B4497" t="s">
        <v>8832</v>
      </c>
      <c r="C4497" t="s">
        <v>9377</v>
      </c>
      <c r="D4497" t="s">
        <v>15384</v>
      </c>
      <c r="E4497" s="2">
        <v>13583</v>
      </c>
      <c r="F4497">
        <f>HYPERLINK("https://www2.assemblee-nationale.fr/sycomore/fiche/(num_dept)/6247", "6247.0")</f>
        <v>0</v>
      </c>
      <c r="H4497">
        <f>HYPERLINK("https://www.wikidata.org/wiki/Q12949554", "Q12949554")</f>
        <v>0</v>
      </c>
    </row>
    <row r="4498" spans="1:8">
      <c r="A4498" t="s">
        <v>4504</v>
      </c>
      <c r="B4498" t="s">
        <v>8833</v>
      </c>
      <c r="C4498" t="s">
        <v>11207</v>
      </c>
      <c r="D4498" t="s">
        <v>15385</v>
      </c>
      <c r="E4498" s="2">
        <v>5009</v>
      </c>
      <c r="F4498">
        <f>HYPERLINK("https://www2.assemblee-nationale.fr/sycomore/fiche/(num_dept)/6248", "6248.0")</f>
        <v>0</v>
      </c>
      <c r="H4498">
        <f>HYPERLINK("https://www.wikidata.org/wiki/Q3166140", "Q3166140")</f>
        <v>0</v>
      </c>
    </row>
    <row r="4499" spans="1:8">
      <c r="A4499" t="s">
        <v>4505</v>
      </c>
      <c r="B4499" t="s">
        <v>8834</v>
      </c>
      <c r="C4499" t="s">
        <v>11208</v>
      </c>
      <c r="D4499" t="s">
        <v>15386</v>
      </c>
      <c r="E4499" s="2">
        <v>7260</v>
      </c>
      <c r="F4499">
        <f>HYPERLINK("https://www2.assemblee-nationale.fr/sycomore/fiche/(num_dept)/6250", "6250.0")</f>
        <v>0</v>
      </c>
      <c r="H4499">
        <f>HYPERLINK("https://www.wikidata.org/wiki/Q16026472", "Q16026472")</f>
        <v>0</v>
      </c>
    </row>
    <row r="4500" spans="1:8">
      <c r="A4500" t="s">
        <v>4506</v>
      </c>
      <c r="B4500" t="s">
        <v>8835</v>
      </c>
      <c r="C4500" t="s">
        <v>11209</v>
      </c>
      <c r="D4500" t="s">
        <v>13709</v>
      </c>
      <c r="E4500" t="s">
        <v>16409</v>
      </c>
      <c r="F4500">
        <f>HYPERLINK("https://www2.assemblee-nationale.fr/sycomore/fiche/(num_dept)/8260", "8260.0")</f>
        <v>0</v>
      </c>
      <c r="H4500">
        <f>HYPERLINK("https://www.wikidata.org/wiki/Q16026473", "Q16026473")</f>
        <v>0</v>
      </c>
    </row>
    <row r="4501" spans="1:8">
      <c r="A4501" t="s">
        <v>4507</v>
      </c>
      <c r="B4501" t="s">
        <v>8836</v>
      </c>
      <c r="C4501" t="s">
        <v>9533</v>
      </c>
      <c r="D4501" t="s">
        <v>15387</v>
      </c>
      <c r="E4501" s="2">
        <v>5577</v>
      </c>
      <c r="F4501">
        <f>HYPERLINK("https://www2.assemblee-nationale.fr/sycomore/fiche/(num_dept)/6254", "6254.0")</f>
        <v>0</v>
      </c>
      <c r="H4501">
        <f>HYPERLINK("https://www.wikidata.org/wiki/Q16026474", "Q16026474")</f>
        <v>0</v>
      </c>
    </row>
    <row r="4502" spans="1:8">
      <c r="A4502" t="s">
        <v>4508</v>
      </c>
      <c r="B4502" t="s">
        <v>8836</v>
      </c>
      <c r="C4502" t="s">
        <v>10207</v>
      </c>
      <c r="D4502" t="s">
        <v>15388</v>
      </c>
      <c r="E4502" s="2">
        <v>27555</v>
      </c>
      <c r="F4502">
        <f>HYPERLINK("https://www2.assemblee-nationale.fr/sycomore/fiche/(num_dept)/6256", "6256.0")</f>
        <v>0</v>
      </c>
      <c r="H4502">
        <f>HYPERLINK("https://www.wikidata.org/wiki/Q16026475", "Q16026475")</f>
        <v>0</v>
      </c>
    </row>
    <row r="4503" spans="1:8">
      <c r="A4503" t="s">
        <v>4509</v>
      </c>
      <c r="B4503" t="s">
        <v>8837</v>
      </c>
      <c r="C4503" t="s">
        <v>9533</v>
      </c>
      <c r="D4503" t="s">
        <v>15389</v>
      </c>
      <c r="E4503" s="2">
        <v>16033</v>
      </c>
      <c r="F4503">
        <f>HYPERLINK("https://www2.assemblee-nationale.fr/sycomore/fiche/(num_dept)/6253", "6253.0")</f>
        <v>0</v>
      </c>
      <c r="H4503">
        <f>HYPERLINK("https://www.wikidata.org/wiki/Q2856706", "Q2856706")</f>
        <v>0</v>
      </c>
    </row>
    <row r="4504" spans="1:8">
      <c r="A4504" t="s">
        <v>4510</v>
      </c>
      <c r="B4504" t="s">
        <v>8838</v>
      </c>
      <c r="C4504" t="s">
        <v>9564</v>
      </c>
      <c r="D4504" t="s">
        <v>15390</v>
      </c>
      <c r="E4504" s="2">
        <v>13370</v>
      </c>
      <c r="F4504">
        <f>HYPERLINK("https://www2.assemblee-nationale.fr/sycomore/fiche/(num_dept)/6259", "6259.0")</f>
        <v>0</v>
      </c>
      <c r="G4504">
        <f>HYPERLINK("https://www.senat.fr/senateur-3eme-republique/salmon_alfred0977r3.html", "salmon_alfred0977r3")</f>
        <v>0</v>
      </c>
      <c r="H4504">
        <f>HYPERLINK("https://www.wikidata.org/wiki/Q2835437", "Q2835437")</f>
        <v>0</v>
      </c>
    </row>
    <row r="4505" spans="1:8">
      <c r="A4505" t="s">
        <v>4511</v>
      </c>
      <c r="B4505" t="s">
        <v>8839</v>
      </c>
      <c r="C4505" t="s">
        <v>7927</v>
      </c>
      <c r="D4505" t="s">
        <v>15391</v>
      </c>
      <c r="E4505" t="s">
        <v>16410</v>
      </c>
      <c r="G4505">
        <f>HYPERLINK("https://www.senat.fr/senateur-3eme-republique/salneuve_mathieu0996r3.html", "salneuve_mathieu0996r3")</f>
        <v>0</v>
      </c>
      <c r="H4505">
        <f>HYPERLINK("https://www.wikidata.org/wiki/Q3298858", "Q3298858")</f>
        <v>0</v>
      </c>
    </row>
    <row r="4506" spans="1:8">
      <c r="A4506" t="s">
        <v>4512</v>
      </c>
      <c r="B4506" t="s">
        <v>8840</v>
      </c>
      <c r="C4506" t="s">
        <v>9324</v>
      </c>
      <c r="D4506" t="s">
        <v>14924</v>
      </c>
      <c r="E4506" s="2">
        <v>3074</v>
      </c>
      <c r="F4506">
        <f>HYPERLINK("https://www2.assemblee-nationale.fr/sycomore/fiche/(num_dept)/8286", "8286.0")</f>
        <v>0</v>
      </c>
      <c r="G4506">
        <f>HYPERLINK("https://www.senat.fr/senateur-3eme-republique/salomon_henri1769r3.html", "salomon_henri1769r3")</f>
        <v>0</v>
      </c>
      <c r="H4506">
        <f>HYPERLINK("https://www.wikidata.org/wiki/Q3131977", "Q3131977")</f>
        <v>0</v>
      </c>
    </row>
    <row r="4507" spans="1:8">
      <c r="A4507" t="s">
        <v>4513</v>
      </c>
      <c r="B4507" t="s">
        <v>8841</v>
      </c>
      <c r="C4507" t="s">
        <v>9746</v>
      </c>
      <c r="D4507" t="s">
        <v>15392</v>
      </c>
      <c r="E4507" s="2">
        <v>10271</v>
      </c>
      <c r="F4507">
        <f>HYPERLINK("https://www2.assemblee-nationale.fr/sycomore/fiche/(num_dept)/6263", "6263.0")</f>
        <v>0</v>
      </c>
      <c r="H4507">
        <f>HYPERLINK("https://www.wikidata.org/wiki/Q16026477", "Q16026477")</f>
        <v>0</v>
      </c>
    </row>
    <row r="4508" spans="1:8">
      <c r="A4508" t="s">
        <v>4514</v>
      </c>
      <c r="B4508" t="s">
        <v>8842</v>
      </c>
      <c r="C4508" t="s">
        <v>9430</v>
      </c>
      <c r="D4508" t="s">
        <v>15393</v>
      </c>
      <c r="E4508" s="2">
        <v>4169</v>
      </c>
      <c r="F4508">
        <f>HYPERLINK("https://www2.assemblee-nationale.fr/sycomore/fiche/(num_dept)/6264", "6264.0")</f>
        <v>0</v>
      </c>
      <c r="H4508">
        <f>HYPERLINK("https://www.wikidata.org/wiki/Q16669286", "Q16669286")</f>
        <v>0</v>
      </c>
    </row>
    <row r="4509" spans="1:8">
      <c r="A4509" t="s">
        <v>4515</v>
      </c>
      <c r="B4509" t="s">
        <v>8843</v>
      </c>
      <c r="C4509" t="s">
        <v>9634</v>
      </c>
      <c r="D4509" t="s">
        <v>15394</v>
      </c>
      <c r="E4509" s="2">
        <v>9451</v>
      </c>
      <c r="G4509">
        <f>HYPERLINK("https://www.senat.fr/senateur-3eme-republique/sancet_frederic0154r3.html", "sancet_frederic0154r3")</f>
        <v>0</v>
      </c>
      <c r="H4509">
        <f>HYPERLINK("https://www.wikidata.org/wiki/Q3090186", "Q3090186")</f>
        <v>0</v>
      </c>
    </row>
    <row r="4510" spans="1:8">
      <c r="A4510" t="s">
        <v>4516</v>
      </c>
      <c r="B4510" t="s">
        <v>8844</v>
      </c>
      <c r="C4510" t="s">
        <v>9430</v>
      </c>
      <c r="D4510" t="s">
        <v>15395</v>
      </c>
      <c r="E4510" t="s">
        <v>16411</v>
      </c>
      <c r="F4510">
        <f>HYPERLINK("https://www2.assemblee-nationale.fr/sycomore/fiche/(num_dept)/6268", "6268.0")</f>
        <v>0</v>
      </c>
      <c r="H4510">
        <f>HYPERLINK("https://www.wikidata.org/wiki/Q16026479", "Q16026479")</f>
        <v>0</v>
      </c>
    </row>
    <row r="4511" spans="1:8">
      <c r="A4511" t="s">
        <v>4517</v>
      </c>
      <c r="B4511" t="s">
        <v>8844</v>
      </c>
      <c r="C4511" t="s">
        <v>5058</v>
      </c>
      <c r="D4511" t="s">
        <v>13178</v>
      </c>
      <c r="E4511" s="2">
        <v>10868</v>
      </c>
      <c r="F4511">
        <f>HYPERLINK("https://www2.assemblee-nationale.fr/sycomore/fiche/(num_dept)/6269", "6269.0")</f>
        <v>0</v>
      </c>
      <c r="H4511">
        <f>HYPERLINK("https://www.wikidata.org/wiki/Q16026478", "Q16026478")</f>
        <v>0</v>
      </c>
    </row>
    <row r="4512" spans="1:8">
      <c r="A4512" t="s">
        <v>4518</v>
      </c>
      <c r="B4512" t="s">
        <v>8845</v>
      </c>
      <c r="C4512" t="s">
        <v>10244</v>
      </c>
      <c r="D4512" t="s">
        <v>15396</v>
      </c>
      <c r="E4512" s="2">
        <v>18411</v>
      </c>
      <c r="F4512">
        <f>HYPERLINK("https://www2.assemblee-nationale.fr/sycomore/fiche/(num_dept)/6273", "6273.0")</f>
        <v>0</v>
      </c>
      <c r="H4512">
        <f>HYPERLINK("https://www.wikidata.org/wiki/Q1248451", "Q1248451")</f>
        <v>0</v>
      </c>
    </row>
    <row r="4513" spans="1:8">
      <c r="A4513" t="s">
        <v>4519</v>
      </c>
      <c r="B4513" t="s">
        <v>8846</v>
      </c>
      <c r="C4513" t="s">
        <v>9966</v>
      </c>
      <c r="D4513" t="s">
        <v>15397</v>
      </c>
      <c r="E4513" s="2">
        <v>8310</v>
      </c>
      <c r="F4513">
        <f>HYPERLINK("https://www2.assemblee-nationale.fr/sycomore/fiche/(num_dept)/6278", "6278.0")</f>
        <v>0</v>
      </c>
      <c r="H4513">
        <f>HYPERLINK("https://www.wikidata.org/wiki/Q16026480", "Q16026480")</f>
        <v>0</v>
      </c>
    </row>
    <row r="4514" spans="1:8">
      <c r="A4514" t="s">
        <v>4520</v>
      </c>
      <c r="B4514" t="s">
        <v>8847</v>
      </c>
      <c r="C4514" t="s">
        <v>11210</v>
      </c>
      <c r="D4514" t="s">
        <v>15398</v>
      </c>
      <c r="E4514" s="2">
        <v>12108</v>
      </c>
      <c r="F4514">
        <f>HYPERLINK("https://www2.assemblee-nationale.fr/sycomore/fiche/(num_dept)/6281", "6281.0")</f>
        <v>0</v>
      </c>
      <c r="H4514">
        <f>HYPERLINK("https://www.wikidata.org/wiki/Q16026482", "Q16026482")</f>
        <v>0</v>
      </c>
    </row>
    <row r="4515" spans="1:8">
      <c r="A4515" t="s">
        <v>4521</v>
      </c>
      <c r="B4515" t="s">
        <v>8848</v>
      </c>
      <c r="C4515" t="s">
        <v>9524</v>
      </c>
      <c r="D4515" t="s">
        <v>15399</v>
      </c>
      <c r="E4515" s="2">
        <v>13675</v>
      </c>
      <c r="G4515">
        <f>HYPERLINK("https://www.senat.fr/senateur-3eme-republique/sari_emile0482r3.html", "sari_emile0482r3")</f>
        <v>0</v>
      </c>
      <c r="H4515">
        <f>HYPERLINK("https://www.wikidata.org/wiki/Q3588745", "Q3588745")</f>
        <v>0</v>
      </c>
    </row>
    <row r="4516" spans="1:8">
      <c r="A4516" t="s">
        <v>4522</v>
      </c>
      <c r="B4516" t="s">
        <v>8849</v>
      </c>
      <c r="C4516" t="s">
        <v>9512</v>
      </c>
      <c r="D4516" t="s">
        <v>15400</v>
      </c>
      <c r="E4516" s="2">
        <v>18386</v>
      </c>
      <c r="F4516">
        <f>HYPERLINK("https://www2.assemblee-nationale.fr/sycomore/fiche/(num_dept)/6290", "6290.0")</f>
        <v>0</v>
      </c>
      <c r="H4516">
        <f>HYPERLINK("https://www.wikidata.org/wiki/Q28467659", "Q28467659")</f>
        <v>0</v>
      </c>
    </row>
    <row r="4517" spans="1:8">
      <c r="A4517" t="s">
        <v>4523</v>
      </c>
      <c r="B4517" t="s">
        <v>8850</v>
      </c>
      <c r="C4517" t="s">
        <v>7942</v>
      </c>
      <c r="D4517" t="s">
        <v>15401</v>
      </c>
      <c r="E4517" s="2">
        <v>16042</v>
      </c>
      <c r="G4517">
        <f>HYPERLINK("https://www.senat.fr/senateur-3eme-republique/sarraut_maurice0276r3.html", "sarraut_maurice0276r3")</f>
        <v>0</v>
      </c>
      <c r="H4517">
        <f>HYPERLINK("https://www.wikidata.org/wiki/Q3301380", "Q3301380")</f>
        <v>0</v>
      </c>
    </row>
    <row r="4518" spans="1:8">
      <c r="A4518" t="s">
        <v>4524</v>
      </c>
      <c r="B4518" t="s">
        <v>8851</v>
      </c>
      <c r="C4518" t="s">
        <v>5058</v>
      </c>
      <c r="D4518" t="s">
        <v>15402</v>
      </c>
      <c r="E4518" s="2">
        <v>22976</v>
      </c>
      <c r="F4518">
        <f>HYPERLINK("https://www2.assemblee-nationale.fr/sycomore/fiche/(num_dept)/6293", "6293.0")</f>
        <v>0</v>
      </c>
      <c r="G4518">
        <f>HYPERLINK("https://www.senat.fr/senateur-3eme-republique/sarraut_albert0265r3.html", "sarraut_albert0265r3")</f>
        <v>0</v>
      </c>
      <c r="H4518">
        <f>HYPERLINK("https://www.wikidata.org/wiki/Q460318", "Q460318")</f>
        <v>0</v>
      </c>
    </row>
    <row r="4519" spans="1:8">
      <c r="A4519" t="s">
        <v>4525</v>
      </c>
      <c r="B4519" t="s">
        <v>8852</v>
      </c>
      <c r="C4519" t="s">
        <v>8384</v>
      </c>
      <c r="D4519" t="s">
        <v>15317</v>
      </c>
      <c r="E4519" s="2">
        <v>11461</v>
      </c>
      <c r="F4519">
        <f>HYPERLINK("https://www2.assemblee-nationale.fr/sycomore/fiche/(num_dept)/6294", "6294.0")</f>
        <v>0</v>
      </c>
      <c r="H4519">
        <f>HYPERLINK("https://www.wikidata.org/wiki/Q3386933", "Q3386933")</f>
        <v>0</v>
      </c>
    </row>
    <row r="4520" spans="1:8">
      <c r="A4520" t="s">
        <v>4526</v>
      </c>
      <c r="B4520" t="s">
        <v>8853</v>
      </c>
      <c r="C4520" t="s">
        <v>8716</v>
      </c>
      <c r="D4520" t="s">
        <v>15403</v>
      </c>
      <c r="E4520" s="2">
        <v>28284</v>
      </c>
      <c r="F4520">
        <f>HYPERLINK("https://www2.assemblee-nationale.fr/sycomore/fiche/(num_dept)/6296", "6296.0")</f>
        <v>0</v>
      </c>
      <c r="H4520">
        <f>HYPERLINK("https://www.wikidata.org/wiki/Q8303457", "Q8303457")</f>
        <v>0</v>
      </c>
    </row>
    <row r="4521" spans="1:8">
      <c r="A4521" t="s">
        <v>4527</v>
      </c>
      <c r="B4521" t="s">
        <v>8854</v>
      </c>
      <c r="C4521" t="s">
        <v>11211</v>
      </c>
      <c r="D4521" t="s">
        <v>15404</v>
      </c>
      <c r="E4521" s="2">
        <v>3351</v>
      </c>
      <c r="F4521">
        <f>HYPERLINK("https://www2.assemblee-nationale.fr/sycomore/fiche/(num_dept)/8163", "8163.0")</f>
        <v>0</v>
      </c>
      <c r="H4521">
        <f>HYPERLINK("https://www.wikidata.org/wiki/Q16025920", "Q16025920")</f>
        <v>0</v>
      </c>
    </row>
    <row r="4522" spans="1:8">
      <c r="A4522" t="s">
        <v>4528</v>
      </c>
      <c r="B4522" t="s">
        <v>8855</v>
      </c>
      <c r="C4522" t="s">
        <v>9414</v>
      </c>
      <c r="D4522" t="s">
        <v>15405</v>
      </c>
      <c r="E4522" s="2">
        <v>5811</v>
      </c>
      <c r="F4522">
        <f>HYPERLINK("https://www2.assemblee-nationale.fr/sycomore/fiche/(num_dept)/6297", "6297.0")</f>
        <v>0</v>
      </c>
      <c r="G4522">
        <f>HYPERLINK("https://www.senat.fr/senateur-3eme-republique/sarrien_ferdinand1219r3.html", "sarrien_ferdinand1219r3")</f>
        <v>0</v>
      </c>
      <c r="H4522">
        <f>HYPERLINK("https://www.wikidata.org/wiki/Q718698", "Q718698")</f>
        <v>0</v>
      </c>
    </row>
    <row r="4523" spans="1:8">
      <c r="A4523" t="s">
        <v>4529</v>
      </c>
      <c r="B4523" t="s">
        <v>8856</v>
      </c>
      <c r="C4523" t="s">
        <v>6864</v>
      </c>
      <c r="D4523" t="s">
        <v>15406</v>
      </c>
      <c r="E4523" s="2">
        <v>30254</v>
      </c>
      <c r="F4523">
        <f>HYPERLINK("https://www2.assemblee-nationale.fr/sycomore/fiche/(num_dept)/6301", "6301.0")</f>
        <v>0</v>
      </c>
      <c r="H4523">
        <f>HYPERLINK("https://www.wikidata.org/wiki/Q3085796", "Q3085796")</f>
        <v>0</v>
      </c>
    </row>
    <row r="4524" spans="1:8">
      <c r="A4524" t="s">
        <v>4530</v>
      </c>
      <c r="B4524" t="s">
        <v>8857</v>
      </c>
      <c r="C4524" t="s">
        <v>7001</v>
      </c>
      <c r="D4524" t="s">
        <v>15172</v>
      </c>
      <c r="E4524" s="2">
        <v>11317</v>
      </c>
      <c r="F4524">
        <f>HYPERLINK("https://www2.assemblee-nationale.fr/sycomore/fiche/(num_dept)/6306", "6306.0")</f>
        <v>0</v>
      </c>
      <c r="H4524">
        <f>HYPERLINK("https://www.wikidata.org/wiki/Q16026484", "Q16026484")</f>
        <v>0</v>
      </c>
    </row>
    <row r="4525" spans="1:8">
      <c r="A4525" t="s">
        <v>4531</v>
      </c>
      <c r="B4525" t="s">
        <v>8858</v>
      </c>
      <c r="C4525" t="s">
        <v>9430</v>
      </c>
      <c r="D4525" t="s">
        <v>12352</v>
      </c>
      <c r="E4525" s="2">
        <v>12340</v>
      </c>
      <c r="G4525">
        <f>HYPERLINK("https://www.senat.fr/senateur-3eme-republique/saurin_paul1826r3.html", "saurin_paul1826r3")</f>
        <v>0</v>
      </c>
      <c r="H4525">
        <f>HYPERLINK("https://www.wikidata.org/wiki/Q20027765", "Q20027765")</f>
        <v>0</v>
      </c>
    </row>
    <row r="4526" spans="1:8">
      <c r="A4526" t="s">
        <v>4532</v>
      </c>
      <c r="B4526" t="s">
        <v>8859</v>
      </c>
      <c r="C4526" t="s">
        <v>9430</v>
      </c>
      <c r="D4526" s="2">
        <v>1375</v>
      </c>
      <c r="E4526" s="2">
        <v>30451</v>
      </c>
      <c r="F4526">
        <f>HYPERLINK("https://www2.assemblee-nationale.fr/sycomore/fiche/(num_dept)/6307", "6307.0")</f>
        <v>0</v>
      </c>
      <c r="H4526">
        <f>HYPERLINK("https://www.wikidata.org/wiki/Q3372164", "Q3372164")</f>
        <v>0</v>
      </c>
    </row>
    <row r="4527" spans="1:8">
      <c r="A4527" t="s">
        <v>4533</v>
      </c>
      <c r="B4527" t="s">
        <v>8860</v>
      </c>
      <c r="C4527" t="s">
        <v>11212</v>
      </c>
      <c r="D4527" t="s">
        <v>15407</v>
      </c>
      <c r="E4527" s="2">
        <v>11786</v>
      </c>
      <c r="F4527">
        <f>HYPERLINK("https://www2.assemblee-nationale.fr/sycomore/fiche/(num_dept)/6308", "6308.0")</f>
        <v>0</v>
      </c>
      <c r="H4527">
        <f>HYPERLINK("https://www.wikidata.org/wiki/Q3260918", "Q3260918")</f>
        <v>0</v>
      </c>
    </row>
    <row r="4528" spans="1:8">
      <c r="A4528" t="s">
        <v>4534</v>
      </c>
      <c r="B4528" t="s">
        <v>8861</v>
      </c>
      <c r="C4528" t="s">
        <v>9634</v>
      </c>
      <c r="D4528" t="s">
        <v>15408</v>
      </c>
      <c r="E4528" s="2">
        <v>3863</v>
      </c>
      <c r="G4528">
        <f>HYPERLINK("https://www.senat.fr/senateur-3eme-republique/sauton_frederic0630r3.html", "sauton_frederic0630r3")</f>
        <v>0</v>
      </c>
      <c r="H4528">
        <f>HYPERLINK("https://www.wikidata.org/wiki/Q3090193", "Q3090193")</f>
        <v>0</v>
      </c>
    </row>
    <row r="4529" spans="1:8">
      <c r="A4529" t="s">
        <v>4535</v>
      </c>
      <c r="B4529" t="s">
        <v>8862</v>
      </c>
      <c r="C4529" t="s">
        <v>11213</v>
      </c>
      <c r="D4529" t="s">
        <v>15409</v>
      </c>
      <c r="E4529" t="s">
        <v>16412</v>
      </c>
      <c r="F4529">
        <f>HYPERLINK("https://www2.assemblee-nationale.fr/sycomore/fiche/(num_dept)/6311", "6311.0")</f>
        <v>0</v>
      </c>
      <c r="H4529">
        <f>HYPERLINK("https://www.wikidata.org/wiki/Q13080937", "Q13080937")</f>
        <v>0</v>
      </c>
    </row>
    <row r="4530" spans="1:8">
      <c r="A4530" t="s">
        <v>4536</v>
      </c>
      <c r="B4530" t="s">
        <v>8863</v>
      </c>
      <c r="C4530" t="s">
        <v>10057</v>
      </c>
      <c r="D4530" t="s">
        <v>15410</v>
      </c>
      <c r="E4530" s="2">
        <v>8048</v>
      </c>
      <c r="G4530">
        <f>HYPERLINK("https://www.senat.fr/senateur-3eme-republique/sauvan_honore0123r3.html", "sauvan_honore0123r3")</f>
        <v>0</v>
      </c>
      <c r="H4530">
        <f>HYPERLINK("https://www.wikidata.org/wiki/Q3140255", "Q3140255")</f>
        <v>0</v>
      </c>
    </row>
    <row r="4531" spans="1:8">
      <c r="A4531" t="s">
        <v>4537</v>
      </c>
      <c r="B4531" t="s">
        <v>8864</v>
      </c>
      <c r="C4531" t="s">
        <v>11214</v>
      </c>
      <c r="D4531" t="s">
        <v>13074</v>
      </c>
      <c r="E4531" s="2">
        <v>14424</v>
      </c>
      <c r="F4531">
        <f>HYPERLINK("https://www2.assemblee-nationale.fr/sycomore/fiche/(num_dept)/6317", "6317.0")</f>
        <v>0</v>
      </c>
      <c r="H4531">
        <f>HYPERLINK("https://www.wikidata.org/wiki/Q16026485", "Q16026485")</f>
        <v>0</v>
      </c>
    </row>
    <row r="4532" spans="1:8">
      <c r="A4532" t="s">
        <v>4538</v>
      </c>
      <c r="B4532" t="s">
        <v>8865</v>
      </c>
      <c r="C4532" t="s">
        <v>10244</v>
      </c>
      <c r="D4532" t="s">
        <v>15411</v>
      </c>
      <c r="E4532" s="2">
        <v>4421</v>
      </c>
      <c r="F4532">
        <f>HYPERLINK("https://www2.assemblee-nationale.fr/sycomore/fiche/(num_dept)/6320", "6320.0")</f>
        <v>0</v>
      </c>
      <c r="H4532">
        <f>HYPERLINK("https://www.wikidata.org/wiki/Q16026489", "Q16026489")</f>
        <v>0</v>
      </c>
    </row>
    <row r="4533" spans="1:8">
      <c r="A4533" t="s">
        <v>4539</v>
      </c>
      <c r="B4533" t="s">
        <v>8866</v>
      </c>
      <c r="C4533" t="s">
        <v>9471</v>
      </c>
      <c r="D4533" t="s">
        <v>15412</v>
      </c>
      <c r="E4533" s="2">
        <v>5095</v>
      </c>
      <c r="F4533">
        <f>HYPERLINK("https://www2.assemblee-nationale.fr/sycomore/fiche/(num_dept)/6319", "6319.0")</f>
        <v>0</v>
      </c>
      <c r="H4533">
        <f>HYPERLINK("https://www.wikidata.org/wiki/Q16026488", "Q16026488")</f>
        <v>0</v>
      </c>
    </row>
    <row r="4534" spans="1:8">
      <c r="A4534" t="s">
        <v>4540</v>
      </c>
      <c r="B4534" t="s">
        <v>8867</v>
      </c>
      <c r="C4534" t="s">
        <v>9954</v>
      </c>
      <c r="D4534" t="s">
        <v>15413</v>
      </c>
      <c r="E4534" t="s">
        <v>16413</v>
      </c>
      <c r="G4534">
        <f>HYPERLINK("https://www.senat.fr/senateur-3eme-republique/savary_alexis0797r3.html", "savary_alexis0797r3")</f>
        <v>0</v>
      </c>
      <c r="H4534">
        <f>HYPERLINK("https://www.wikidata.org/wiki/Q2834648", "Q2834648")</f>
        <v>0</v>
      </c>
    </row>
    <row r="4535" spans="1:8">
      <c r="A4535" t="s">
        <v>4541</v>
      </c>
      <c r="B4535" t="s">
        <v>8868</v>
      </c>
      <c r="C4535" t="s">
        <v>9355</v>
      </c>
      <c r="D4535" t="s">
        <v>15414</v>
      </c>
      <c r="E4535" t="s">
        <v>16414</v>
      </c>
      <c r="F4535">
        <f>HYPERLINK("https://www2.assemblee-nationale.fr/sycomore/fiche/(num_dept)/8174", "8174.0")</f>
        <v>0</v>
      </c>
      <c r="H4535">
        <f>HYPERLINK("https://www.wikidata.org/wiki/Q2960196", "Q2960196")</f>
        <v>0</v>
      </c>
    </row>
    <row r="4536" spans="1:8">
      <c r="A4536" t="s">
        <v>4542</v>
      </c>
      <c r="B4536" t="s">
        <v>8869</v>
      </c>
      <c r="C4536" t="s">
        <v>8928</v>
      </c>
      <c r="D4536" t="s">
        <v>15415</v>
      </c>
      <c r="E4536" s="2">
        <v>13994</v>
      </c>
      <c r="G4536">
        <f>HYPERLINK("https://www.senat.fr/senateur-3eme-republique/savignol_simon0111r3.html", "savignol_simon0111r3")</f>
        <v>0</v>
      </c>
      <c r="H4536">
        <f>HYPERLINK("https://www.wikidata.org/wiki/Q3484441", "Q3484441")</f>
        <v>0</v>
      </c>
    </row>
    <row r="4537" spans="1:8">
      <c r="A4537" t="s">
        <v>4543</v>
      </c>
      <c r="B4537" t="s">
        <v>8870</v>
      </c>
      <c r="C4537" t="s">
        <v>9460</v>
      </c>
      <c r="D4537" t="s">
        <v>13758</v>
      </c>
      <c r="E4537" t="s">
        <v>16415</v>
      </c>
      <c r="F4537">
        <f>HYPERLINK("https://www2.assemblee-nationale.fr/sycomore/fiche/(num_dept)/6327", "6327.0")</f>
        <v>0</v>
      </c>
      <c r="G4537">
        <f>HYPERLINK("https://www.senat.fr/senateur-3eme-republique/say_leon1623r3.html", "say_leon1623r3")</f>
        <v>0</v>
      </c>
      <c r="H4537">
        <f>HYPERLINK("https://www.wikidata.org/wiki/Q3271322", "Q3271322")</f>
        <v>0</v>
      </c>
    </row>
    <row r="4538" spans="1:8">
      <c r="A4538" t="s">
        <v>4544</v>
      </c>
      <c r="B4538" t="s">
        <v>8871</v>
      </c>
      <c r="C4538" t="s">
        <v>7001</v>
      </c>
      <c r="D4538" t="s">
        <v>15416</v>
      </c>
      <c r="E4538" s="2">
        <v>27844</v>
      </c>
      <c r="F4538">
        <f>HYPERLINK("https://www2.assemblee-nationale.fr/sycomore/fiche/(num_dept)/6328", "6328.0")</f>
        <v>0</v>
      </c>
      <c r="H4538">
        <f>HYPERLINK("https://www.wikidata.org/wiki/Q3103471", "Q3103471")</f>
        <v>0</v>
      </c>
    </row>
    <row r="4539" spans="1:8">
      <c r="A4539" t="s">
        <v>4545</v>
      </c>
      <c r="B4539" t="s">
        <v>8872</v>
      </c>
      <c r="C4539" t="s">
        <v>9355</v>
      </c>
      <c r="D4539" t="s">
        <v>15417</v>
      </c>
      <c r="E4539" s="2">
        <v>13185</v>
      </c>
      <c r="F4539">
        <f>HYPERLINK("https://www2.assemblee-nationale.fr/sycomore/fiche/(num_dept)/6332", "6332.0")</f>
        <v>0</v>
      </c>
      <c r="H4539">
        <f>HYPERLINK("https://www.wikidata.org/wiki/Q8340240", "Q8340240")</f>
        <v>0</v>
      </c>
    </row>
    <row r="4540" spans="1:8">
      <c r="A4540" t="s">
        <v>4546</v>
      </c>
      <c r="B4540" t="s">
        <v>8873</v>
      </c>
      <c r="C4540" t="s">
        <v>9482</v>
      </c>
      <c r="D4540" t="s">
        <v>15418</v>
      </c>
      <c r="E4540" t="s">
        <v>16416</v>
      </c>
      <c r="G4540">
        <f>HYPERLINK("https://www.senat.fr/senateur-3eme-republique/scherer_edmond1530r3.html", "scherer_edmond1530r3")</f>
        <v>0</v>
      </c>
      <c r="H4540">
        <f>HYPERLINK("https://www.wikidata.org/wiki/Q1033589", "Q1033589")</f>
        <v>0</v>
      </c>
    </row>
    <row r="4541" spans="1:8">
      <c r="A4541" t="s">
        <v>4547</v>
      </c>
      <c r="B4541" t="s">
        <v>8874</v>
      </c>
      <c r="C4541" t="s">
        <v>9337</v>
      </c>
      <c r="D4541" t="s">
        <v>15419</v>
      </c>
      <c r="E4541" t="s">
        <v>16142</v>
      </c>
      <c r="G4541">
        <f>HYPERLINK("https://www.senat.fr/senateur-3eme-republique/scheurer_kestner_auguste1533r3.html", "scheurer_kestner_auguste1533r3")</f>
        <v>0</v>
      </c>
      <c r="H4541">
        <f>HYPERLINK("https://www.wikidata.org/wiki/Q166297", "Q166297")</f>
        <v>0</v>
      </c>
    </row>
    <row r="4542" spans="1:8">
      <c r="A4542" t="s">
        <v>4548</v>
      </c>
      <c r="B4542" t="s">
        <v>8875</v>
      </c>
      <c r="C4542" t="s">
        <v>9471</v>
      </c>
      <c r="D4542" t="s">
        <v>15420</v>
      </c>
      <c r="E4542" s="2">
        <v>15400</v>
      </c>
      <c r="G4542">
        <f>HYPERLINK("https://www.senat.fr/senateur-3eme-republique/scheurer_jules1112r3.html", "scheurer_jules1112r3")</f>
        <v>0</v>
      </c>
      <c r="H4542">
        <f>HYPERLINK("https://www.wikidata.org/wiki/Q3188907", "Q3188907")</f>
        <v>0</v>
      </c>
    </row>
    <row r="4543" spans="1:8">
      <c r="A4543" t="s">
        <v>4549</v>
      </c>
      <c r="B4543" t="s">
        <v>8876</v>
      </c>
      <c r="C4543" t="s">
        <v>9438</v>
      </c>
      <c r="D4543" t="s">
        <v>15421</v>
      </c>
      <c r="E4543" s="2">
        <v>12411</v>
      </c>
      <c r="F4543">
        <f>HYPERLINK("https://www2.assemblee-nationale.fr/sycomore/fiche/(num_dept)/6339", "6339.0")</f>
        <v>0</v>
      </c>
      <c r="H4543">
        <f>HYPERLINK("https://www.wikidata.org/wiki/Q16026490", "Q16026490")</f>
        <v>0</v>
      </c>
    </row>
    <row r="4544" spans="1:8">
      <c r="A4544" t="s">
        <v>4550</v>
      </c>
      <c r="B4544" t="s">
        <v>8877</v>
      </c>
      <c r="C4544" t="s">
        <v>11215</v>
      </c>
      <c r="D4544" t="s">
        <v>15422</v>
      </c>
      <c r="E4544" s="2">
        <v>17920</v>
      </c>
      <c r="F4544">
        <f>HYPERLINK("https://www2.assemblee-nationale.fr/sycomore/fiche/(num_dept)/6343", "6343.0")</f>
        <v>0</v>
      </c>
      <c r="H4544">
        <f>HYPERLINK("https://www.wikidata.org/wiki/Q3161589", "Q3161589")</f>
        <v>0</v>
      </c>
    </row>
    <row r="4545" spans="1:8">
      <c r="A4545" t="s">
        <v>4551</v>
      </c>
      <c r="B4545" t="s">
        <v>8877</v>
      </c>
      <c r="C4545" t="s">
        <v>9324</v>
      </c>
      <c r="D4545" t="s">
        <v>15423</v>
      </c>
      <c r="E4545" s="2">
        <v>20023</v>
      </c>
      <c r="F4545">
        <f>HYPERLINK("https://www2.assemblee-nationale.fr/sycomore/fiche/(num_dept)/6342", "6342.0")</f>
        <v>0</v>
      </c>
      <c r="H4545">
        <f>HYPERLINK("https://www.wikidata.org/wiki/Q16026491", "Q16026491")</f>
        <v>0</v>
      </c>
    </row>
    <row r="4546" spans="1:8">
      <c r="A4546" t="s">
        <v>4552</v>
      </c>
      <c r="B4546" t="s">
        <v>8878</v>
      </c>
      <c r="C4546" t="s">
        <v>11216</v>
      </c>
      <c r="D4546" t="s">
        <v>15424</v>
      </c>
      <c r="E4546" t="s">
        <v>16417</v>
      </c>
      <c r="F4546">
        <f>HYPERLINK("https://www2.assemblee-nationale.fr/sycomore/fiche/(num_dept)/17834", "17834.0")</f>
        <v>0</v>
      </c>
      <c r="H4546">
        <f>HYPERLINK("https://www.wikidata.org/wiki/Q2034069", "Q2034069")</f>
        <v>0</v>
      </c>
    </row>
    <row r="4547" spans="1:8">
      <c r="A4547" t="s">
        <v>4553</v>
      </c>
      <c r="B4547" t="s">
        <v>8878</v>
      </c>
      <c r="C4547" t="s">
        <v>9355</v>
      </c>
      <c r="D4547" t="s">
        <v>15425</v>
      </c>
      <c r="E4547" s="2">
        <v>5456</v>
      </c>
      <c r="F4547">
        <f>HYPERLINK("https://www2.assemblee-nationale.fr/sycomore/fiche/(num_dept)/6350", "6350.0")</f>
        <v>0</v>
      </c>
      <c r="H4547">
        <f>HYPERLINK("https://www.wikidata.org/wiki/Q2960201", "Q2960201")</f>
        <v>0</v>
      </c>
    </row>
    <row r="4548" spans="1:8">
      <c r="A4548" t="s">
        <v>4554</v>
      </c>
      <c r="B4548" t="s">
        <v>8878</v>
      </c>
      <c r="C4548" t="s">
        <v>9368</v>
      </c>
      <c r="D4548" t="s">
        <v>15426</v>
      </c>
      <c r="E4548" s="2">
        <v>15662</v>
      </c>
      <c r="F4548">
        <f>HYPERLINK("https://www2.assemblee-nationale.fr/sycomore/fiche/(num_dept)/6351", "6351.0")</f>
        <v>0</v>
      </c>
      <c r="H4548">
        <f>HYPERLINK("https://www.wikidata.org/wiki/Q3059938", "Q3059938")</f>
        <v>0</v>
      </c>
    </row>
    <row r="4549" spans="1:8">
      <c r="A4549" t="s">
        <v>4555</v>
      </c>
      <c r="B4549" t="s">
        <v>8879</v>
      </c>
      <c r="C4549" t="s">
        <v>9438</v>
      </c>
      <c r="D4549" t="s">
        <v>15427</v>
      </c>
      <c r="E4549" t="s">
        <v>16418</v>
      </c>
      <c r="G4549">
        <f>HYPERLINK("https://www.senat.fr/senateur-3eme-republique/schoelcher_victor1534r3.html", "schoelcher_victor1534r3")</f>
        <v>0</v>
      </c>
      <c r="H4549">
        <f>HYPERLINK("https://www.wikidata.org/wiki/Q120417", "Q120417")</f>
        <v>0</v>
      </c>
    </row>
    <row r="4550" spans="1:8">
      <c r="A4550" t="s">
        <v>4556</v>
      </c>
      <c r="B4550" t="s">
        <v>8880</v>
      </c>
      <c r="C4550" t="s">
        <v>11217</v>
      </c>
      <c r="D4550" t="s">
        <v>15428</v>
      </c>
      <c r="E4550" s="2">
        <v>17825</v>
      </c>
      <c r="G4550">
        <f>HYPERLINK("https://www.senat.fr/senateur-3eme-republique/schrameck_abraham0319r3.html", "schrameck_abraham0319r3")</f>
        <v>0</v>
      </c>
      <c r="H4550">
        <f>HYPERLINK("https://www.wikidata.org/wiki/Q330586", "Q330586")</f>
        <v>0</v>
      </c>
    </row>
    <row r="4551" spans="1:8">
      <c r="A4551" t="s">
        <v>4557</v>
      </c>
      <c r="B4551" t="s">
        <v>8881</v>
      </c>
      <c r="C4551" t="s">
        <v>8691</v>
      </c>
      <c r="D4551" t="s">
        <v>15429</v>
      </c>
      <c r="E4551" s="2">
        <v>23258</v>
      </c>
      <c r="F4551">
        <f>HYPERLINK("https://www2.assemblee-nationale.fr/sycomore/fiche/(num_dept)/6358", "6358.0")</f>
        <v>0</v>
      </c>
      <c r="H4551">
        <f>HYPERLINK("https://www.wikidata.org/wiki/Q15981", "Q15981")</f>
        <v>0</v>
      </c>
    </row>
    <row r="4552" spans="1:8">
      <c r="A4552" t="s">
        <v>4558</v>
      </c>
      <c r="B4552" t="s">
        <v>8882</v>
      </c>
      <c r="C4552" t="s">
        <v>10306</v>
      </c>
      <c r="D4552" t="s">
        <v>11598</v>
      </c>
      <c r="E4552" s="2">
        <v>20762</v>
      </c>
      <c r="G4552">
        <f>HYPERLINK("https://www.senat.fr/senateur-3eme-republique/sclafer_james0169r4.html", "sclafer_james0169r4")</f>
        <v>0</v>
      </c>
      <c r="H4552">
        <f>HYPERLINK("https://www.wikidata.org/wiki/Q3161394", "Q3161394")</f>
        <v>0</v>
      </c>
    </row>
    <row r="4553" spans="1:8">
      <c r="A4553" t="s">
        <v>4559</v>
      </c>
      <c r="B4553" t="s">
        <v>8883</v>
      </c>
      <c r="C4553" t="s">
        <v>10306</v>
      </c>
      <c r="D4553" t="s">
        <v>15430</v>
      </c>
      <c r="E4553" s="2">
        <v>20762</v>
      </c>
      <c r="F4553">
        <f>HYPERLINK("https://www2.assemblee-nationale.fr/sycomore/fiche/(num_dept)/6364", "6364.0")</f>
        <v>0</v>
      </c>
      <c r="H4553">
        <f>HYPERLINK("https://www.wikidata.org/wiki/Q3161394", "Q3161394")</f>
        <v>0</v>
      </c>
    </row>
    <row r="4554" spans="1:8">
      <c r="A4554" t="s">
        <v>4560</v>
      </c>
      <c r="B4554" t="s">
        <v>8884</v>
      </c>
      <c r="C4554" t="s">
        <v>10026</v>
      </c>
      <c r="D4554" t="s">
        <v>15431</v>
      </c>
      <c r="E4554" t="s">
        <v>16419</v>
      </c>
      <c r="F4554">
        <f>HYPERLINK("https://www2.assemblee-nationale.fr/sycomore/fiche/(num_dept)/8196", "8196.0")</f>
        <v>0</v>
      </c>
      <c r="G4554">
        <f>HYPERLINK("https://www.senat.fr/senateur-3eme-republique/screpel_achille1392r3.html", "screpel_achille1392r3")</f>
        <v>0</v>
      </c>
      <c r="H4554">
        <f>HYPERLINK("https://www.wikidata.org/wiki/Q2823098", "Q2823098")</f>
        <v>0</v>
      </c>
    </row>
    <row r="4555" spans="1:8">
      <c r="A4555" t="s">
        <v>4561</v>
      </c>
      <c r="B4555" t="s">
        <v>8885</v>
      </c>
      <c r="C4555" t="s">
        <v>9324</v>
      </c>
      <c r="D4555" t="s">
        <v>15432</v>
      </c>
      <c r="E4555" s="2">
        <v>5229</v>
      </c>
      <c r="G4555">
        <f>HYPERLINK("https://www.senat.fr/senateur-3eme-republique/sculfort_henri1387r3.html", "sculfort_henri1387r3")</f>
        <v>0</v>
      </c>
      <c r="H4555">
        <f>HYPERLINK("https://www.wikidata.org/wiki/Q3131998", "Q3131998")</f>
        <v>0</v>
      </c>
    </row>
    <row r="4556" spans="1:8">
      <c r="A4556" t="s">
        <v>4562</v>
      </c>
      <c r="B4556" t="s">
        <v>8886</v>
      </c>
      <c r="C4556" t="s">
        <v>9337</v>
      </c>
      <c r="D4556" t="s">
        <v>15433</v>
      </c>
      <c r="E4556" t="s">
        <v>16420</v>
      </c>
      <c r="G4556">
        <f>HYPERLINK("https://www.senat.fr/senateur-3eme-republique/sebire_auguste1035r3.html", "sebire_auguste1035r3")</f>
        <v>0</v>
      </c>
      <c r="H4556">
        <f>HYPERLINK("https://www.wikidata.org/wiki/Q2871408", "Q2871408")</f>
        <v>0</v>
      </c>
    </row>
    <row r="4557" spans="1:8">
      <c r="A4557" t="s">
        <v>4563</v>
      </c>
      <c r="B4557" t="s">
        <v>8887</v>
      </c>
      <c r="C4557" t="s">
        <v>9355</v>
      </c>
      <c r="D4557" t="s">
        <v>15434</v>
      </c>
      <c r="E4557" s="2">
        <v>6251</v>
      </c>
      <c r="G4557">
        <f>HYPERLINK("https://www.senat.fr/senateur-3eme-republique/sebline_charles0033r3.html", "sebline_charles0033r3")</f>
        <v>0</v>
      </c>
      <c r="H4557">
        <f>HYPERLINK("https://www.wikidata.org/wiki/Q2960281", "Q2960281")</f>
        <v>0</v>
      </c>
    </row>
    <row r="4558" spans="1:8">
      <c r="A4558" t="s">
        <v>4564</v>
      </c>
      <c r="B4558" t="s">
        <v>8888</v>
      </c>
      <c r="C4558" t="s">
        <v>7942</v>
      </c>
      <c r="D4558" t="s">
        <v>15435</v>
      </c>
      <c r="E4558" s="2">
        <v>10876</v>
      </c>
      <c r="F4558">
        <f>HYPERLINK("https://www2.assemblee-nationale.fr/sycomore/fiche/(num_dept)/6366", "6366.0")</f>
        <v>0</v>
      </c>
      <c r="H4558">
        <f>HYPERLINK("https://www.wikidata.org/wiki/Q15968488", "Q15968488")</f>
        <v>0</v>
      </c>
    </row>
    <row r="4559" spans="1:8">
      <c r="A4559" t="s">
        <v>4565</v>
      </c>
      <c r="B4559" t="s">
        <v>8889</v>
      </c>
      <c r="C4559" t="s">
        <v>11218</v>
      </c>
      <c r="D4559" t="s">
        <v>15436</v>
      </c>
      <c r="E4559" t="s">
        <v>16421</v>
      </c>
      <c r="F4559">
        <f>HYPERLINK("https://www2.assemblee-nationale.fr/sycomore/fiche/(num_dept)/6372", "6372.0")</f>
        <v>0</v>
      </c>
      <c r="H4559">
        <f>HYPERLINK("https://www.wikidata.org/wiki/Q16026492", "Q16026492")</f>
        <v>0</v>
      </c>
    </row>
    <row r="4560" spans="1:8">
      <c r="A4560" t="s">
        <v>4566</v>
      </c>
      <c r="B4560" t="s">
        <v>8890</v>
      </c>
      <c r="C4560" t="s">
        <v>9524</v>
      </c>
      <c r="D4560" t="s">
        <v>15437</v>
      </c>
      <c r="E4560" s="2">
        <v>29845</v>
      </c>
      <c r="F4560">
        <f>HYPERLINK("https://www2.assemblee-nationale.fr/sycomore/fiche/(num_dept)/6375", "6375.0")</f>
        <v>0</v>
      </c>
      <c r="H4560">
        <f>HYPERLINK("https://www.wikidata.org/wiki/Q16026493", "Q16026493")</f>
        <v>0</v>
      </c>
    </row>
    <row r="4561" spans="1:8">
      <c r="A4561" t="s">
        <v>4567</v>
      </c>
      <c r="B4561" t="s">
        <v>8891</v>
      </c>
      <c r="C4561" t="s">
        <v>11219</v>
      </c>
      <c r="D4561" t="s">
        <v>15438</v>
      </c>
      <c r="E4561" s="2">
        <v>10119</v>
      </c>
      <c r="F4561">
        <f>HYPERLINK("https://www2.assemblee-nationale.fr/sycomore/fiche/(num_dept)/6376", "6376.0")</f>
        <v>0</v>
      </c>
      <c r="H4561">
        <f>HYPERLINK("https://www.wikidata.org/wiki/Q16026494", "Q16026494")</f>
        <v>0</v>
      </c>
    </row>
    <row r="4562" spans="1:8">
      <c r="A4562" t="s">
        <v>4568</v>
      </c>
      <c r="B4562" t="s">
        <v>8892</v>
      </c>
      <c r="C4562" t="s">
        <v>9324</v>
      </c>
      <c r="D4562" t="s">
        <v>15439</v>
      </c>
      <c r="E4562" s="2">
        <v>16034</v>
      </c>
      <c r="G4562">
        <f>HYPERLINK("https://www.senat.fr/senateur-3eme-republique/sellier_henri1367r3.html", "sellier_henri1367r3")</f>
        <v>0</v>
      </c>
      <c r="H4562">
        <f>HYPERLINK("https://www.wikidata.org/wiki/Q3131999", "Q3131999")</f>
        <v>0</v>
      </c>
    </row>
    <row r="4563" spans="1:8">
      <c r="A4563" t="s">
        <v>4569</v>
      </c>
      <c r="B4563" t="s">
        <v>8892</v>
      </c>
      <c r="C4563" t="s">
        <v>7754</v>
      </c>
      <c r="D4563" t="s">
        <v>15440</v>
      </c>
      <c r="E4563" s="2">
        <v>28517</v>
      </c>
      <c r="F4563">
        <f>HYPERLINK("https://www2.assemblee-nationale.fr/sycomore/fiche/(num_dept)/6377", "6377.0")</f>
        <v>0</v>
      </c>
      <c r="H4563">
        <f>HYPERLINK("https://www.wikidata.org/wiki/Q2389449", "Q2389449")</f>
        <v>0</v>
      </c>
    </row>
    <row r="4564" spans="1:8">
      <c r="A4564" t="s">
        <v>4570</v>
      </c>
      <c r="B4564" t="s">
        <v>8893</v>
      </c>
      <c r="C4564" t="s">
        <v>9054</v>
      </c>
      <c r="D4564" t="s">
        <v>15441</v>
      </c>
      <c r="E4564" s="2">
        <v>21748</v>
      </c>
      <c r="F4564">
        <f>HYPERLINK("https://www2.assemblee-nationale.fr/sycomore/fiche/(num_dept)/6378", "6378.0")</f>
        <v>0</v>
      </c>
      <c r="H4564">
        <f>HYPERLINK("https://www.wikidata.org/wiki/Q3525560", "Q3525560")</f>
        <v>0</v>
      </c>
    </row>
    <row r="4565" spans="1:8">
      <c r="A4565" t="s">
        <v>4571</v>
      </c>
      <c r="B4565" t="s">
        <v>8894</v>
      </c>
      <c r="C4565" t="s">
        <v>10070</v>
      </c>
      <c r="D4565" t="s">
        <v>15442</v>
      </c>
      <c r="E4565" s="2">
        <v>8284</v>
      </c>
      <c r="F4565">
        <f>HYPERLINK("https://www2.assemblee-nationale.fr/sycomore/fiche/(num_dept)/6379", "6379.0")</f>
        <v>0</v>
      </c>
      <c r="H4565">
        <f>HYPERLINK("https://www.wikidata.org/wiki/Q2019775", "Q2019775")</f>
        <v>0</v>
      </c>
    </row>
    <row r="4566" spans="1:8">
      <c r="A4566" t="s">
        <v>4572</v>
      </c>
      <c r="B4566" t="s">
        <v>8895</v>
      </c>
      <c r="C4566" t="s">
        <v>9533</v>
      </c>
      <c r="D4566" t="s">
        <v>15443</v>
      </c>
      <c r="E4566" s="2">
        <v>8371</v>
      </c>
      <c r="F4566">
        <f>HYPERLINK("https://www2.assemblee-nationale.fr/sycomore/fiche/(num_dept)/6380", "6380.0")</f>
        <v>0</v>
      </c>
      <c r="H4566">
        <f>HYPERLINK("https://www.wikidata.org/wiki/Q8340642", "Q8340642")</f>
        <v>0</v>
      </c>
    </row>
    <row r="4567" spans="1:8">
      <c r="A4567" t="s">
        <v>4573</v>
      </c>
      <c r="B4567" t="s">
        <v>8896</v>
      </c>
      <c r="C4567" t="s">
        <v>7233</v>
      </c>
      <c r="D4567" t="s">
        <v>14358</v>
      </c>
      <c r="E4567" s="2">
        <v>22364</v>
      </c>
      <c r="G4567">
        <f>HYPERLINK("https://www.senat.fr/senateur-3eme-republique/senes_henry1740r3.html", "senes_henry1740r3")</f>
        <v>0</v>
      </c>
      <c r="H4567">
        <f>HYPERLINK("https://www.wikidata.org/wiki/Q3133099", "Q3133099")</f>
        <v>0</v>
      </c>
    </row>
    <row r="4568" spans="1:8">
      <c r="A4568" t="s">
        <v>4574</v>
      </c>
      <c r="B4568" t="s">
        <v>8897</v>
      </c>
      <c r="C4568" t="s">
        <v>10219</v>
      </c>
      <c r="D4568" t="s">
        <v>15444</v>
      </c>
      <c r="E4568" s="2">
        <v>8627</v>
      </c>
      <c r="F4568">
        <f>HYPERLINK("https://www2.assemblee-nationale.fr/sycomore/fiche/(num_dept)/6384", "6384.0")</f>
        <v>0</v>
      </c>
      <c r="H4568">
        <f>HYPERLINK("https://www.wikidata.org/wiki/Q16026496", "Q16026496")</f>
        <v>0</v>
      </c>
    </row>
    <row r="4569" spans="1:8">
      <c r="A4569" t="s">
        <v>4575</v>
      </c>
      <c r="B4569" t="s">
        <v>8898</v>
      </c>
      <c r="C4569" t="s">
        <v>9669</v>
      </c>
      <c r="D4569" t="s">
        <v>12314</v>
      </c>
      <c r="E4569" s="2">
        <v>410</v>
      </c>
      <c r="F4569">
        <f>HYPERLINK("https://www2.assemblee-nationale.fr/sycomore/fiche/(num_dept)/7623", "7623.0")</f>
        <v>0</v>
      </c>
      <c r="H4569">
        <f>HYPERLINK("https://www.wikidata.org/wiki/Q13077261", "Q13077261")</f>
        <v>0</v>
      </c>
    </row>
    <row r="4570" spans="1:8">
      <c r="A4570" t="s">
        <v>4576</v>
      </c>
      <c r="B4570" t="s">
        <v>8899</v>
      </c>
      <c r="C4570" t="s">
        <v>11220</v>
      </c>
      <c r="D4570" t="s">
        <v>15445</v>
      </c>
      <c r="E4570" s="2">
        <v>2068</v>
      </c>
      <c r="F4570">
        <f>HYPERLINK("https://www2.assemblee-nationale.fr/sycomore/fiche/(num_dept)/8045", "8045.0")</f>
        <v>0</v>
      </c>
      <c r="H4570">
        <f>HYPERLINK("https://www.wikidata.org/wiki/Q15969646", "Q15969646")</f>
        <v>0</v>
      </c>
    </row>
    <row r="4571" spans="1:8">
      <c r="A4571" t="s">
        <v>4577</v>
      </c>
      <c r="B4571" t="s">
        <v>8900</v>
      </c>
      <c r="C4571" t="s">
        <v>9373</v>
      </c>
      <c r="D4571" t="s">
        <v>15446</v>
      </c>
      <c r="E4571" s="2">
        <v>5515</v>
      </c>
      <c r="F4571">
        <f>HYPERLINK("https://www2.assemblee-nationale.fr/sycomore/fiche/(num_dept)/6386", "6386.0")</f>
        <v>0</v>
      </c>
      <c r="H4571">
        <f>HYPERLINK("https://www.wikidata.org/wiki/Q16026497", "Q16026497")</f>
        <v>0</v>
      </c>
    </row>
    <row r="4572" spans="1:8">
      <c r="A4572" t="s">
        <v>4578</v>
      </c>
      <c r="B4572" t="s">
        <v>8901</v>
      </c>
      <c r="C4572" t="s">
        <v>9373</v>
      </c>
      <c r="D4572" t="s">
        <v>15447</v>
      </c>
      <c r="E4572" s="2">
        <v>23774</v>
      </c>
      <c r="F4572">
        <f>HYPERLINK("https://www2.assemblee-nationale.fr/sycomore/fiche/(num_dept)/6391", "6391.0")</f>
        <v>0</v>
      </c>
      <c r="H4572">
        <f>HYPERLINK("https://www.wikidata.org/wiki/Q3185630", "Q3185630")</f>
        <v>0</v>
      </c>
    </row>
    <row r="4573" spans="1:8">
      <c r="A4573" t="s">
        <v>4579</v>
      </c>
      <c r="B4573" t="s">
        <v>8902</v>
      </c>
      <c r="C4573" t="s">
        <v>9355</v>
      </c>
      <c r="D4573" t="s">
        <v>15448</v>
      </c>
      <c r="E4573" s="2">
        <v>18200</v>
      </c>
      <c r="H4573">
        <f>HYPERLINK("https://www.wikidata.org/wiki/Q2960216", "Q2960216")</f>
        <v>0</v>
      </c>
    </row>
    <row r="4574" spans="1:8">
      <c r="A4574" t="s">
        <v>4580</v>
      </c>
      <c r="B4574" t="s">
        <v>8903</v>
      </c>
      <c r="C4574" t="s">
        <v>9373</v>
      </c>
      <c r="D4574" t="s">
        <v>15449</v>
      </c>
      <c r="E4574" s="2">
        <v>16078</v>
      </c>
      <c r="G4574">
        <f>HYPERLINK("https://www.senat.fr/senateur-3eme-republique/serlin_joseph1200r3.html", "serlin_joseph1200r3")</f>
        <v>0</v>
      </c>
      <c r="H4574">
        <f>HYPERLINK("https://www.wikidata.org/wiki/Q2401772", "Q2401772")</f>
        <v>0</v>
      </c>
    </row>
    <row r="4575" spans="1:8">
      <c r="A4575" t="s">
        <v>4581</v>
      </c>
      <c r="B4575" t="s">
        <v>8904</v>
      </c>
      <c r="C4575" t="s">
        <v>11221</v>
      </c>
      <c r="D4575" t="s">
        <v>15450</v>
      </c>
      <c r="E4575" s="2">
        <v>816</v>
      </c>
      <c r="F4575">
        <f>HYPERLINK("https://www2.assemblee-nationale.fr/sycomore/fiche/(num_dept)/6397", "6397.0")</f>
        <v>0</v>
      </c>
      <c r="H4575">
        <f>HYPERLINK("https://www.wikidata.org/wiki/Q3121020", "Q3121020")</f>
        <v>0</v>
      </c>
    </row>
    <row r="4576" spans="1:8">
      <c r="A4576" t="s">
        <v>4582</v>
      </c>
      <c r="B4576" t="s">
        <v>8905</v>
      </c>
      <c r="C4576" t="s">
        <v>7754</v>
      </c>
      <c r="D4576" t="s">
        <v>15451</v>
      </c>
      <c r="E4576" s="2">
        <v>14253</v>
      </c>
      <c r="F4576">
        <f>HYPERLINK("https://www2.assemblee-nationale.fr/sycomore/fiche/(num_dept)/6399", "6399.0")</f>
        <v>0</v>
      </c>
      <c r="G4576">
        <f>HYPERLINK("https://www.senat.fr/senateur-3eme-republique/serre_louis1705r3.html", "serre_louis1705r3")</f>
        <v>0</v>
      </c>
      <c r="H4576">
        <f>HYPERLINK("https://www.wikidata.org/wiki/Q195990", "Q195990")</f>
        <v>0</v>
      </c>
    </row>
    <row r="4577" spans="1:8">
      <c r="A4577" t="s">
        <v>4583</v>
      </c>
      <c r="B4577" t="s">
        <v>8905</v>
      </c>
      <c r="C4577" t="s">
        <v>8370</v>
      </c>
      <c r="D4577" s="2">
        <v>429</v>
      </c>
      <c r="E4577" s="2">
        <v>33499</v>
      </c>
      <c r="F4577">
        <f>HYPERLINK("https://www2.assemblee-nationale.fr/sycomore/fiche/(num_dept)/6400", "6400.0")</f>
        <v>0</v>
      </c>
      <c r="H4577">
        <f>HYPERLINK("https://www.wikidata.org/wiki/Q2327528", "Q2327528")</f>
        <v>0</v>
      </c>
    </row>
    <row r="4578" spans="1:8">
      <c r="A4578" t="s">
        <v>4584</v>
      </c>
      <c r="B4578" t="s">
        <v>8906</v>
      </c>
      <c r="C4578" t="s">
        <v>10057</v>
      </c>
      <c r="D4578" t="s">
        <v>15452</v>
      </c>
      <c r="E4578" s="2">
        <v>2190</v>
      </c>
      <c r="F4578">
        <f>HYPERLINK("https://www2.assemblee-nationale.fr/sycomore/fiche/(num_dept)/6801", "6801.0")</f>
        <v>0</v>
      </c>
      <c r="H4578">
        <f>HYPERLINK("https://www.wikidata.org/wiki/Q16026498", "Q16026498")</f>
        <v>0</v>
      </c>
    </row>
    <row r="4579" spans="1:8">
      <c r="A4579" t="s">
        <v>4585</v>
      </c>
      <c r="B4579" t="s">
        <v>8907</v>
      </c>
      <c r="C4579" t="s">
        <v>9357</v>
      </c>
      <c r="D4579" t="s">
        <v>15453</v>
      </c>
      <c r="E4579" s="2">
        <v>18281</v>
      </c>
      <c r="H4579">
        <f>HYPERLINK("https://www.wikidata.org/wiki/Q3014669", "Q3014669")</f>
        <v>0</v>
      </c>
    </row>
    <row r="4580" spans="1:8">
      <c r="A4580" t="s">
        <v>4586</v>
      </c>
      <c r="B4580" t="s">
        <v>8908</v>
      </c>
      <c r="C4580" t="s">
        <v>9324</v>
      </c>
      <c r="D4580" t="s">
        <v>15454</v>
      </c>
      <c r="G4580">
        <f>HYPERLINK("https://www.senat.fr/senateur-3eme-republique/servain_henri0592r3.html", "servain_henri0592r3")</f>
        <v>0</v>
      </c>
      <c r="H4580">
        <f>HYPERLINK("https://www.wikidata.org/wiki/Q3132005", "Q3132005")</f>
        <v>0</v>
      </c>
    </row>
    <row r="4581" spans="1:8">
      <c r="A4581" t="s">
        <v>4587</v>
      </c>
      <c r="B4581" t="s">
        <v>8909</v>
      </c>
      <c r="C4581" t="s">
        <v>9324</v>
      </c>
      <c r="D4581" t="s">
        <v>15455</v>
      </c>
      <c r="E4581" s="2">
        <v>11563</v>
      </c>
      <c r="F4581">
        <f>HYPERLINK("https://www2.assemblee-nationale.fr/sycomore/fiche/(num_dept)/6805", "6805.0")</f>
        <v>0</v>
      </c>
      <c r="H4581">
        <f>HYPERLINK("https://www.wikidata.org/wiki/Q3132005", "Q3132005")</f>
        <v>0</v>
      </c>
    </row>
    <row r="4582" spans="1:8">
      <c r="A4582" t="s">
        <v>4588</v>
      </c>
      <c r="B4582" t="s">
        <v>8910</v>
      </c>
      <c r="C4582" t="s">
        <v>7314</v>
      </c>
      <c r="D4582" t="s">
        <v>15456</v>
      </c>
      <c r="E4582" s="2">
        <v>9525</v>
      </c>
      <c r="G4582">
        <f>HYPERLINK("https://www.senat.fr/senateur-3eme-republique/servant_jacques1772r3.html", "servant_jacques1772r3")</f>
        <v>0</v>
      </c>
      <c r="H4582">
        <f>HYPERLINK("https://www.wikidata.org/wiki/Q3159995", "Q3159995")</f>
        <v>0</v>
      </c>
    </row>
    <row r="4583" spans="1:8">
      <c r="A4583" t="s">
        <v>4589</v>
      </c>
      <c r="B4583" t="s">
        <v>8911</v>
      </c>
      <c r="C4583" t="s">
        <v>11222</v>
      </c>
      <c r="D4583" t="s">
        <v>15457</v>
      </c>
      <c r="E4583" s="2">
        <v>3464</v>
      </c>
      <c r="F4583">
        <f>HYPERLINK("https://www2.assemblee-nationale.fr/sycomore/fiche/(num_dept)/6811", "6811.0")</f>
        <v>0</v>
      </c>
      <c r="H4583">
        <f>HYPERLINK("https://www.wikidata.org/wiki/Q3271327", "Q3271327")</f>
        <v>0</v>
      </c>
    </row>
    <row r="4584" spans="1:8">
      <c r="A4584" t="s">
        <v>4590</v>
      </c>
      <c r="B4584" t="s">
        <v>8912</v>
      </c>
      <c r="C4584" t="s">
        <v>7314</v>
      </c>
      <c r="D4584" t="s">
        <v>15458</v>
      </c>
      <c r="E4584" s="2">
        <v>6412</v>
      </c>
      <c r="F4584">
        <f>HYPERLINK("https://www2.assemblee-nationale.fr/sycomore/fiche/(num_dept)/6814", "6814.0")</f>
        <v>0</v>
      </c>
      <c r="H4584">
        <f>HYPERLINK("https://www.wikidata.org/wiki/Q16026500", "Q16026500")</f>
        <v>0</v>
      </c>
    </row>
    <row r="4585" spans="1:8">
      <c r="A4585" t="s">
        <v>4591</v>
      </c>
      <c r="B4585" t="s">
        <v>8913</v>
      </c>
      <c r="C4585" t="s">
        <v>7754</v>
      </c>
      <c r="D4585" t="s">
        <v>15459</v>
      </c>
      <c r="E4585" s="2">
        <v>21265</v>
      </c>
      <c r="F4585">
        <f>HYPERLINK("https://www2.assemblee-nationale.fr/sycomore/fiche/(num_dept)/6816", "6816.0")</f>
        <v>0</v>
      </c>
      <c r="H4585">
        <f>HYPERLINK("https://www.wikidata.org/wiki/Q16026501", "Q16026501")</f>
        <v>0</v>
      </c>
    </row>
    <row r="4586" spans="1:8">
      <c r="A4586" t="s">
        <v>4592</v>
      </c>
      <c r="B4586" t="s">
        <v>8914</v>
      </c>
      <c r="C4586" t="s">
        <v>9457</v>
      </c>
      <c r="D4586" t="s">
        <v>15460</v>
      </c>
      <c r="E4586" s="2">
        <v>10372</v>
      </c>
      <c r="F4586">
        <f>HYPERLINK("https://www2.assemblee-nationale.fr/sycomore/fiche/(num_dept)/6813", "6813.0")</f>
        <v>0</v>
      </c>
      <c r="H4586">
        <f>HYPERLINK("https://www.wikidata.org/wiki/Q2839960", "Q2839960")</f>
        <v>0</v>
      </c>
    </row>
    <row r="4587" spans="1:8">
      <c r="A4587" t="s">
        <v>4593</v>
      </c>
      <c r="B4587" t="s">
        <v>8915</v>
      </c>
      <c r="C4587" t="s">
        <v>5058</v>
      </c>
      <c r="D4587" t="s">
        <v>15461</v>
      </c>
      <c r="E4587" s="2">
        <v>6845</v>
      </c>
      <c r="F4587">
        <f>HYPERLINK("https://www2.assemblee-nationale.fr/sycomore/fiche/(num_dept)/6817", "6817.0")</f>
        <v>0</v>
      </c>
      <c r="H4587">
        <f>HYPERLINK("https://www.wikidata.org/wiki/Q2831554", "Q2831554")</f>
        <v>0</v>
      </c>
    </row>
    <row r="4588" spans="1:8">
      <c r="A4588" t="s">
        <v>4594</v>
      </c>
      <c r="B4588" t="s">
        <v>8916</v>
      </c>
      <c r="C4588" t="s">
        <v>11223</v>
      </c>
      <c r="D4588" t="s">
        <v>15462</v>
      </c>
      <c r="E4588" s="2">
        <v>11019</v>
      </c>
      <c r="F4588">
        <f>HYPERLINK("https://www2.assemblee-nationale.fr/sycomore/fiche/(num_dept)/6819", "6819.0")</f>
        <v>0</v>
      </c>
      <c r="H4588">
        <f>HYPERLINK("https://www.wikidata.org/wiki/Q3592438", "Q3592438")</f>
        <v>0</v>
      </c>
    </row>
    <row r="4589" spans="1:8">
      <c r="A4589" t="s">
        <v>4595</v>
      </c>
      <c r="B4589" t="s">
        <v>8917</v>
      </c>
      <c r="C4589" t="s">
        <v>7942</v>
      </c>
      <c r="D4589" t="s">
        <v>15463</v>
      </c>
      <c r="E4589" s="2">
        <v>11896</v>
      </c>
      <c r="F4589">
        <f>HYPERLINK("https://www2.assemblee-nationale.fr/sycomore/fiche/(num_dept)/6821", "6821.0")</f>
        <v>0</v>
      </c>
      <c r="H4589">
        <f>HYPERLINK("https://www.wikidata.org/wiki/Q3301402", "Q3301402")</f>
        <v>0</v>
      </c>
    </row>
    <row r="4590" spans="1:8">
      <c r="A4590" t="s">
        <v>4596</v>
      </c>
      <c r="B4590" t="s">
        <v>8918</v>
      </c>
      <c r="C4590" t="s">
        <v>7342</v>
      </c>
      <c r="D4590" t="s">
        <v>15464</v>
      </c>
      <c r="E4590" s="2">
        <v>12757</v>
      </c>
      <c r="F4590">
        <f>HYPERLINK("https://www2.assemblee-nationale.fr/sycomore/fiche/(num_dept)/6823", "6823.0")</f>
        <v>0</v>
      </c>
      <c r="H4590">
        <f>HYPERLINK("https://www.wikidata.org/wiki/Q16026502", "Q16026502")</f>
        <v>0</v>
      </c>
    </row>
    <row r="4591" spans="1:8">
      <c r="A4591" t="s">
        <v>4597</v>
      </c>
      <c r="B4591" t="s">
        <v>8919</v>
      </c>
      <c r="C4591" t="s">
        <v>9538</v>
      </c>
      <c r="D4591" t="s">
        <v>15465</v>
      </c>
      <c r="E4591" s="2">
        <v>8618</v>
      </c>
      <c r="F4591">
        <f>HYPERLINK("https://www2.assemblee-nationale.fr/sycomore/fiche/(num_dept)/6825", "6825.0")</f>
        <v>0</v>
      </c>
      <c r="H4591">
        <f>HYPERLINK("https://www.wikidata.org/wiki/Q8308227", "Q8308227")</f>
        <v>0</v>
      </c>
    </row>
    <row r="4592" spans="1:8">
      <c r="A4592" t="s">
        <v>4598</v>
      </c>
      <c r="B4592" t="s">
        <v>8920</v>
      </c>
      <c r="C4592" t="s">
        <v>9471</v>
      </c>
      <c r="D4592" t="s">
        <v>15466</v>
      </c>
      <c r="E4592" s="2">
        <v>8305</v>
      </c>
      <c r="F4592">
        <f>HYPERLINK("https://www2.assemblee-nationale.fr/sycomore/fiche/(num_dept)/6832", "6832.0")</f>
        <v>0</v>
      </c>
      <c r="G4592">
        <f>HYPERLINK("https://www.senat.fr/senateur-3eme-republique/siegfried_jules1584r3.html", "siegfried_jules1584r3")</f>
        <v>0</v>
      </c>
      <c r="H4592">
        <f>HYPERLINK("https://www.wikidata.org/wiki/Q3188910", "Q3188910")</f>
        <v>0</v>
      </c>
    </row>
    <row r="4593" spans="1:8">
      <c r="A4593" t="s">
        <v>4599</v>
      </c>
      <c r="B4593" t="s">
        <v>8921</v>
      </c>
      <c r="C4593" t="s">
        <v>7754</v>
      </c>
      <c r="D4593" t="s">
        <v>15467</v>
      </c>
      <c r="E4593" s="2">
        <v>9224</v>
      </c>
      <c r="G4593">
        <f>HYPERLINK("https://www.senat.fr/senateur-3eme-republique/sigallas_louis1738r3.html", "sigallas_louis1738r3")</f>
        <v>0</v>
      </c>
      <c r="H4593">
        <f>HYPERLINK("https://www.wikidata.org/wiki/Q3263115", "Q3263115")</f>
        <v>0</v>
      </c>
    </row>
    <row r="4594" spans="1:8">
      <c r="A4594" t="s">
        <v>4600</v>
      </c>
      <c r="B4594" t="s">
        <v>8922</v>
      </c>
      <c r="C4594" t="s">
        <v>7942</v>
      </c>
      <c r="D4594" t="s">
        <v>15468</v>
      </c>
      <c r="E4594" s="2">
        <v>1413</v>
      </c>
      <c r="F4594">
        <f>HYPERLINK("https://www2.assemblee-nationale.fr/sycomore/fiche/(num_dept)/6834", "6834.0")</f>
        <v>0</v>
      </c>
      <c r="G4594">
        <f>HYPERLINK("https://www.senat.fr/senateur-3eme-republique/signard_maurice1168r3.html", "signard_maurice1168r3")</f>
        <v>0</v>
      </c>
      <c r="H4594">
        <f>HYPERLINK("https://www.wikidata.org/wiki/Q3301410", "Q3301410")</f>
        <v>0</v>
      </c>
    </row>
    <row r="4595" spans="1:8">
      <c r="A4595" t="s">
        <v>4601</v>
      </c>
      <c r="B4595" t="s">
        <v>8923</v>
      </c>
      <c r="C4595" t="s">
        <v>9373</v>
      </c>
      <c r="D4595" t="s">
        <v>15469</v>
      </c>
      <c r="G4595">
        <f>HYPERLINK("https://www.senat.fr/senateur-3eme-republique/sigrist_joseph1105r3.html", "sigrist_joseph1105r3")</f>
        <v>0</v>
      </c>
      <c r="H4595">
        <f>HYPERLINK("https://www.wikidata.org/wiki/Q3185639", "Q3185639")</f>
        <v>0</v>
      </c>
    </row>
    <row r="4596" spans="1:8">
      <c r="A4596" t="s">
        <v>4602</v>
      </c>
      <c r="B4596" t="s">
        <v>8924</v>
      </c>
      <c r="C4596" t="s">
        <v>11224</v>
      </c>
      <c r="D4596" t="s">
        <v>12506</v>
      </c>
      <c r="E4596" s="2">
        <v>22104</v>
      </c>
      <c r="F4596">
        <f>HYPERLINK("https://www2.assemblee-nationale.fr/sycomore/fiche/(num_dept)/3769", "3769.0")</f>
        <v>0</v>
      </c>
      <c r="H4596">
        <f>HYPERLINK("https://www.wikidata.org/wiki/Q8326201", "Q8326201")</f>
        <v>0</v>
      </c>
    </row>
    <row r="4597" spans="1:8">
      <c r="A4597" t="s">
        <v>4603</v>
      </c>
      <c r="B4597" t="s">
        <v>8925</v>
      </c>
      <c r="C4597" t="s">
        <v>9373</v>
      </c>
      <c r="D4597" t="s">
        <v>15470</v>
      </c>
      <c r="E4597" s="2">
        <v>20352</v>
      </c>
      <c r="F4597">
        <f>HYPERLINK("https://www2.assemblee-nationale.fr/sycomore/fiche/(num_dept)/6838", "6838.0")</f>
        <v>0</v>
      </c>
      <c r="H4597">
        <f>HYPERLINK("https://www.wikidata.org/wiki/Q16026503", "Q16026503")</f>
        <v>0</v>
      </c>
    </row>
    <row r="4598" spans="1:8">
      <c r="A4598" t="s">
        <v>4604</v>
      </c>
      <c r="B4598" t="s">
        <v>8926</v>
      </c>
      <c r="C4598" t="s">
        <v>6864</v>
      </c>
      <c r="D4598" t="s">
        <v>15471</v>
      </c>
      <c r="E4598" s="2">
        <v>4412</v>
      </c>
      <c r="F4598">
        <f>HYPERLINK("https://www2.assemblee-nationale.fr/sycomore/fiche/(num_dept)/8129", "8129.0")</f>
        <v>0</v>
      </c>
      <c r="G4598">
        <f>HYPERLINK("https://www.senat.fr/senateur-3eme-republique/silhol_francois0820r3.html", "silhol_francois0820r3")</f>
        <v>0</v>
      </c>
      <c r="H4598">
        <f>HYPERLINK("https://www.wikidata.org/wiki/Q2645925", "Q2645925")</f>
        <v>0</v>
      </c>
    </row>
    <row r="4599" spans="1:8">
      <c r="A4599" t="s">
        <v>4605</v>
      </c>
      <c r="B4599" t="s">
        <v>8927</v>
      </c>
      <c r="C4599" t="s">
        <v>7782</v>
      </c>
      <c r="D4599" t="s">
        <v>15472</v>
      </c>
      <c r="E4599" s="2">
        <v>23912</v>
      </c>
      <c r="F4599">
        <f>HYPERLINK("https://www2.assemblee-nationale.fr/sycomore/fiche/(num_dept)/6840", "6840.0")</f>
        <v>0</v>
      </c>
      <c r="H4599">
        <f>HYPERLINK("https://www.wikidata.org/wiki/Q1466655", "Q1466655")</f>
        <v>0</v>
      </c>
    </row>
    <row r="4600" spans="1:8">
      <c r="A4600" t="s">
        <v>4606</v>
      </c>
      <c r="B4600" t="s">
        <v>8928</v>
      </c>
      <c r="C4600" t="s">
        <v>11225</v>
      </c>
      <c r="D4600" t="s">
        <v>15473</v>
      </c>
      <c r="E4600" s="2">
        <v>4143</v>
      </c>
      <c r="F4600">
        <f>HYPERLINK("https://www2.assemblee-nationale.fr/sycomore/fiche/(num_dept)/6842", "6842.0")</f>
        <v>0</v>
      </c>
      <c r="H4600">
        <f>HYPERLINK("https://www.wikidata.org/wiki/Q3071489", "Q3071489")</f>
        <v>0</v>
      </c>
    </row>
    <row r="4601" spans="1:8">
      <c r="A4601" t="s">
        <v>4607</v>
      </c>
      <c r="B4601" t="s">
        <v>8928</v>
      </c>
      <c r="C4601" t="s">
        <v>10163</v>
      </c>
      <c r="D4601" t="s">
        <v>15474</v>
      </c>
      <c r="E4601" s="2">
        <v>4523</v>
      </c>
      <c r="F4601">
        <f>HYPERLINK("https://www2.assemblee-nationale.fr/sycomore/fiche/(num_dept)/6841", "6841.0")</f>
        <v>0</v>
      </c>
      <c r="H4601">
        <f>HYPERLINK("https://www.wikidata.org/wiki/Q8332983", "Q8332983")</f>
        <v>0</v>
      </c>
    </row>
    <row r="4602" spans="1:8">
      <c r="A4602" t="s">
        <v>4608</v>
      </c>
      <c r="B4602" t="s">
        <v>8928</v>
      </c>
      <c r="C4602" t="s">
        <v>7233</v>
      </c>
      <c r="D4602" t="s">
        <v>15475</v>
      </c>
      <c r="E4602" s="2">
        <v>9833</v>
      </c>
      <c r="F4602">
        <f>HYPERLINK("https://www2.assemblee-nationale.fr/sycomore/fiche/(num_dept)/6843", "6843.0")</f>
        <v>0</v>
      </c>
      <c r="H4602">
        <f>HYPERLINK("https://www.wikidata.org/wiki/Q773411", "Q773411")</f>
        <v>0</v>
      </c>
    </row>
    <row r="4603" spans="1:8">
      <c r="A4603" t="s">
        <v>4609</v>
      </c>
      <c r="B4603" t="s">
        <v>8928</v>
      </c>
      <c r="C4603" t="s">
        <v>9430</v>
      </c>
      <c r="D4603" t="s">
        <v>15476</v>
      </c>
      <c r="E4603" s="2">
        <v>20581</v>
      </c>
      <c r="F4603">
        <f>HYPERLINK("https://www2.assemblee-nationale.fr/sycomore/fiche/(num_dept)/6845", "6845.0")</f>
        <v>0</v>
      </c>
      <c r="H4603">
        <f>HYPERLINK("https://www.wikidata.org/wiki/Q3372205", "Q3372205")</f>
        <v>0</v>
      </c>
    </row>
    <row r="4604" spans="1:8">
      <c r="A4604" t="s">
        <v>4610</v>
      </c>
      <c r="B4604" t="s">
        <v>8929</v>
      </c>
      <c r="C4604" t="s">
        <v>9621</v>
      </c>
      <c r="D4604" t="s">
        <v>15477</v>
      </c>
      <c r="E4604" s="2">
        <v>8261</v>
      </c>
      <c r="F4604">
        <f>HYPERLINK("https://www2.assemblee-nationale.fr/sycomore/fiche/(num_dept)/6847", "6847.0")</f>
        <v>0</v>
      </c>
      <c r="G4604">
        <f>HYPERLINK("https://www.senat.fr/senateur-3eme-republique/simonet_hippolyte0626r3.html", "simonet_hippolyte0626r3")</f>
        <v>0</v>
      </c>
      <c r="H4604">
        <f>HYPERLINK("https://www.wikidata.org/wiki/Q3136130", "Q3136130")</f>
        <v>0</v>
      </c>
    </row>
    <row r="4605" spans="1:8">
      <c r="A4605" t="s">
        <v>4611</v>
      </c>
      <c r="B4605" t="s">
        <v>8929</v>
      </c>
      <c r="C4605" t="s">
        <v>7754</v>
      </c>
      <c r="D4605" t="s">
        <v>15331</v>
      </c>
      <c r="E4605" s="2">
        <v>12361</v>
      </c>
      <c r="F4605">
        <f>HYPERLINK("https://www2.assemblee-nationale.fr/sycomore/fiche/(num_dept)/6849", "6849.0")</f>
        <v>0</v>
      </c>
      <c r="H4605">
        <f>HYPERLINK("https://www.wikidata.org/wiki/Q3263117", "Q3263117")</f>
        <v>0</v>
      </c>
    </row>
    <row r="4606" spans="1:8">
      <c r="A4606" t="s">
        <v>4612</v>
      </c>
      <c r="B4606" t="s">
        <v>8929</v>
      </c>
      <c r="C4606" t="s">
        <v>9743</v>
      </c>
      <c r="D4606" t="s">
        <v>15478</v>
      </c>
      <c r="E4606" s="2">
        <v>12905</v>
      </c>
      <c r="F4606">
        <f>HYPERLINK("https://www2.assemblee-nationale.fr/sycomore/fiche/(num_dept)/6848", "6848.0")</f>
        <v>0</v>
      </c>
      <c r="H4606">
        <f>HYPERLINK("https://www.wikidata.org/wiki/Q16026505", "Q16026505")</f>
        <v>0</v>
      </c>
    </row>
    <row r="4607" spans="1:8">
      <c r="A4607" t="s">
        <v>4613</v>
      </c>
      <c r="B4607" t="s">
        <v>8930</v>
      </c>
      <c r="C4607" t="s">
        <v>9352</v>
      </c>
      <c r="D4607" t="s">
        <v>15479</v>
      </c>
      <c r="E4607" s="2">
        <v>11693</v>
      </c>
      <c r="F4607">
        <f>HYPERLINK("https://www2.assemblee-nationale.fr/sycomore/fiche/(num_dept)/6850", "6850.0")</f>
        <v>0</v>
      </c>
      <c r="H4607">
        <f>HYPERLINK("https://www.wikidata.org/wiki/Q16026506", "Q16026506")</f>
        <v>0</v>
      </c>
    </row>
    <row r="4608" spans="1:8">
      <c r="A4608" t="s">
        <v>4614</v>
      </c>
      <c r="B4608" t="s">
        <v>8931</v>
      </c>
      <c r="C4608" t="s">
        <v>11226</v>
      </c>
      <c r="D4608" t="s">
        <v>15480</v>
      </c>
      <c r="E4608" t="s">
        <v>16422</v>
      </c>
      <c r="F4608">
        <f>HYPERLINK("https://www2.assemblee-nationale.fr/sycomore/fiche/(num_dept)/6851", "6851.0")</f>
        <v>0</v>
      </c>
      <c r="H4608">
        <f>HYPERLINK("https://www.wikidata.org/wiki/Q16026507", "Q16026507")</f>
        <v>0</v>
      </c>
    </row>
    <row r="4609" spans="1:8">
      <c r="A4609" t="s">
        <v>4615</v>
      </c>
      <c r="B4609" t="s">
        <v>8932</v>
      </c>
      <c r="C4609" t="s">
        <v>9512</v>
      </c>
      <c r="D4609" t="s">
        <v>15481</v>
      </c>
      <c r="E4609" s="2">
        <v>16430</v>
      </c>
      <c r="F4609">
        <f>HYPERLINK("https://www2.assemblee-nationale.fr/sycomore/fiche/(num_dept)/6853", "6853.0")</f>
        <v>0</v>
      </c>
      <c r="H4609">
        <f>HYPERLINK("https://www.wikidata.org/wiki/Q16026508", "Q16026508")</f>
        <v>0</v>
      </c>
    </row>
    <row r="4610" spans="1:8">
      <c r="A4610" t="s">
        <v>4616</v>
      </c>
      <c r="B4610" t="s">
        <v>8933</v>
      </c>
      <c r="C4610" t="s">
        <v>9453</v>
      </c>
      <c r="D4610" t="s">
        <v>15482</v>
      </c>
      <c r="E4610" s="2">
        <v>9698</v>
      </c>
      <c r="F4610">
        <f>HYPERLINK("https://www2.assemblee-nationale.fr/sycomore/fiche/(num_dept)/6854", "6854.0")</f>
        <v>0</v>
      </c>
      <c r="G4610">
        <f>HYPERLINK("https://www.senat.fr/senateur-3eme-republique/simyan_julien1227r3.html", "simyan_julien1227r3")</f>
        <v>0</v>
      </c>
      <c r="H4610">
        <f>HYPERLINK("https://www.wikidata.org/wiki/Q3189661", "Q3189661")</f>
        <v>0</v>
      </c>
    </row>
    <row r="4611" spans="1:8">
      <c r="A4611" t="s">
        <v>4617</v>
      </c>
      <c r="B4611" t="s">
        <v>8934</v>
      </c>
      <c r="C4611" t="s">
        <v>8384</v>
      </c>
      <c r="D4611" t="s">
        <v>13110</v>
      </c>
      <c r="E4611" s="2">
        <v>14330</v>
      </c>
      <c r="F4611">
        <f>HYPERLINK("https://www2.assemblee-nationale.fr/sycomore/fiche/(num_dept)/6856", "6856.0")</f>
        <v>0</v>
      </c>
      <c r="H4611">
        <f>HYPERLINK("https://www.wikidata.org/wiki/Q16026509", "Q16026509")</f>
        <v>0</v>
      </c>
    </row>
    <row r="4612" spans="1:8">
      <c r="A4612" t="s">
        <v>4618</v>
      </c>
      <c r="B4612" t="s">
        <v>8935</v>
      </c>
      <c r="C4612" t="s">
        <v>7782</v>
      </c>
      <c r="D4612" t="s">
        <v>15483</v>
      </c>
      <c r="E4612" s="2">
        <v>15532</v>
      </c>
      <c r="F4612">
        <f>HYPERLINK("https://www2.assemblee-nationale.fr/sycomore/fiche/(num_dept)/6857", "6857.0")</f>
        <v>0</v>
      </c>
      <c r="G4612">
        <f>HYPERLINK("https://www.senat.fr/senateur-3eme-republique/sireyjol_leon0664r3.html", "sireyjol_leon0664r3")</f>
        <v>0</v>
      </c>
      <c r="H4612">
        <f>HYPERLINK("https://www.wikidata.org/wiki/Q3271332", "Q3271332")</f>
        <v>0</v>
      </c>
    </row>
    <row r="4613" spans="1:8">
      <c r="A4613" t="s">
        <v>4619</v>
      </c>
      <c r="B4613" t="s">
        <v>8936</v>
      </c>
      <c r="C4613" t="s">
        <v>10213</v>
      </c>
      <c r="D4613" t="s">
        <v>15484</v>
      </c>
      <c r="E4613" t="s">
        <v>16423</v>
      </c>
      <c r="F4613">
        <f>HYPERLINK("https://www2.assemblee-nationale.fr/sycomore/fiche/(num_dept)/6861", "6861.0")</f>
        <v>0</v>
      </c>
      <c r="H4613">
        <f>HYPERLINK("https://www.wikidata.org/wiki/Q16026510", "Q16026510")</f>
        <v>0</v>
      </c>
    </row>
    <row r="4614" spans="1:8">
      <c r="A4614" t="s">
        <v>4620</v>
      </c>
      <c r="B4614" t="s">
        <v>8937</v>
      </c>
      <c r="C4614" t="s">
        <v>9471</v>
      </c>
      <c r="D4614" t="s">
        <v>15485</v>
      </c>
      <c r="E4614" s="2">
        <v>6618</v>
      </c>
      <c r="F4614">
        <f>HYPERLINK("https://www2.assemblee-nationale.fr/sycomore/fiche/(num_dept)/6860", "6860.0")</f>
        <v>0</v>
      </c>
      <c r="H4614">
        <f>HYPERLINK("https://www.wikidata.org/wiki/Q16026511", "Q16026511")</f>
        <v>0</v>
      </c>
    </row>
    <row r="4615" spans="1:8">
      <c r="A4615" t="s">
        <v>4621</v>
      </c>
      <c r="B4615" t="s">
        <v>8937</v>
      </c>
      <c r="C4615" t="s">
        <v>9344</v>
      </c>
      <c r="D4615" t="s">
        <v>15486</v>
      </c>
      <c r="E4615" s="2">
        <v>5143</v>
      </c>
      <c r="F4615">
        <f>HYPERLINK("https://www2.assemblee-nationale.fr/sycomore/fiche/(num_dept)/6859", "6859.0")</f>
        <v>0</v>
      </c>
      <c r="H4615">
        <f>HYPERLINK("https://www.wikidata.org/wiki/Q3010497", "Q3010497")</f>
        <v>0</v>
      </c>
    </row>
    <row r="4616" spans="1:8">
      <c r="A4616" t="s">
        <v>4622</v>
      </c>
      <c r="B4616" t="s">
        <v>8938</v>
      </c>
      <c r="C4616" t="s">
        <v>10167</v>
      </c>
      <c r="D4616" t="s">
        <v>15487</v>
      </c>
      <c r="E4616" s="2">
        <v>21090</v>
      </c>
      <c r="F4616">
        <f>HYPERLINK("https://www2.assemblee-nationale.fr/sycomore/fiche/(num_dept)/6863", "6863.0")</f>
        <v>0</v>
      </c>
      <c r="H4616">
        <f>HYPERLINK("https://www.wikidata.org/wiki/Q16026512", "Q16026512")</f>
        <v>0</v>
      </c>
    </row>
    <row r="4617" spans="1:8">
      <c r="A4617" t="s">
        <v>4623</v>
      </c>
      <c r="B4617" t="s">
        <v>8939</v>
      </c>
      <c r="C4617" t="s">
        <v>9324</v>
      </c>
      <c r="D4617" t="s">
        <v>15488</v>
      </c>
      <c r="E4617" s="2">
        <v>18854</v>
      </c>
      <c r="F4617">
        <f>HYPERLINK("https://www2.assemblee-nationale.fr/sycomore/fiche/(num_dept)/6864", "6864.0")</f>
        <v>0</v>
      </c>
      <c r="H4617">
        <f>HYPERLINK("https://www.wikidata.org/wiki/Q3132022", "Q3132022")</f>
        <v>0</v>
      </c>
    </row>
    <row r="4618" spans="1:8">
      <c r="A4618" t="s">
        <v>4624</v>
      </c>
      <c r="B4618" t="s">
        <v>8940</v>
      </c>
      <c r="C4618" t="s">
        <v>11227</v>
      </c>
      <c r="D4618" t="s">
        <v>15489</v>
      </c>
      <c r="E4618" s="2">
        <v>10028</v>
      </c>
      <c r="F4618">
        <f>HYPERLINK("https://www2.assemblee-nationale.fr/sycomore/fiche/(num_dept)/6867", "6867.0")</f>
        <v>0</v>
      </c>
      <c r="H4618">
        <f>HYPERLINK("https://www.wikidata.org/wiki/Q3190989", "Q3190989")</f>
        <v>0</v>
      </c>
    </row>
    <row r="4619" spans="1:8">
      <c r="A4619" t="s">
        <v>4625</v>
      </c>
      <c r="B4619" t="s">
        <v>8941</v>
      </c>
      <c r="C4619" t="s">
        <v>11228</v>
      </c>
      <c r="D4619" t="s">
        <v>15490</v>
      </c>
      <c r="E4619" s="2">
        <v>2259</v>
      </c>
      <c r="F4619">
        <f>HYPERLINK("https://www2.assemblee-nationale.fr/sycomore/fiche/(num_dept)/6868", "6868.0")</f>
        <v>0</v>
      </c>
      <c r="H4619">
        <f>HYPERLINK("https://www.wikidata.org/wiki/Q8299196", "Q8299196")</f>
        <v>0</v>
      </c>
    </row>
    <row r="4620" spans="1:8">
      <c r="A4620" t="s">
        <v>4626</v>
      </c>
      <c r="B4620" t="s">
        <v>8942</v>
      </c>
      <c r="C4620" t="s">
        <v>9471</v>
      </c>
      <c r="D4620" t="s">
        <v>13434</v>
      </c>
      <c r="E4620" s="2">
        <v>317</v>
      </c>
      <c r="F4620">
        <f>HYPERLINK("https://www2.assemblee-nationale.fr/sycomore/fiche/(num_dept)/6871", "6871.0")</f>
        <v>0</v>
      </c>
      <c r="H4620">
        <f>HYPERLINK("https://www.wikidata.org/wiki/Q16026513", "Q16026513")</f>
        <v>0</v>
      </c>
    </row>
    <row r="4621" spans="1:8">
      <c r="A4621" t="s">
        <v>4627</v>
      </c>
      <c r="B4621" t="s">
        <v>8943</v>
      </c>
      <c r="C4621" t="s">
        <v>7314</v>
      </c>
      <c r="D4621" t="s">
        <v>15491</v>
      </c>
      <c r="G4621">
        <f>HYPERLINK("https://www.senat.fr/senateur-3eme-republique/songeon_jacques1356r3.html", "songeon_jacques1356r3")</f>
        <v>0</v>
      </c>
      <c r="H4621">
        <f>HYPERLINK("https://www.wikidata.org/wiki/Q13080899", "Q13080899")</f>
        <v>0</v>
      </c>
    </row>
    <row r="4622" spans="1:8">
      <c r="A4622" t="s">
        <v>4628</v>
      </c>
      <c r="B4622" t="s">
        <v>8944</v>
      </c>
      <c r="C4622" t="s">
        <v>7754</v>
      </c>
      <c r="D4622" t="s">
        <v>15492</v>
      </c>
      <c r="E4622" s="2">
        <v>2914</v>
      </c>
      <c r="F4622">
        <f>HYPERLINK("https://www2.assemblee-nationale.fr/sycomore/fiche/(num_dept)/6872", "6872.0")</f>
        <v>0</v>
      </c>
      <c r="H4622">
        <f>HYPERLINK("https://www.wikidata.org/wiki/Q16026514", "Q16026514")</f>
        <v>0</v>
      </c>
    </row>
    <row r="4623" spans="1:8">
      <c r="A4623" t="s">
        <v>4629</v>
      </c>
      <c r="B4623" t="s">
        <v>8945</v>
      </c>
      <c r="C4623" t="s">
        <v>11229</v>
      </c>
      <c r="D4623" t="s">
        <v>15493</v>
      </c>
      <c r="E4623" t="s">
        <v>16155</v>
      </c>
      <c r="F4623">
        <f>HYPERLINK("https://www2.assemblee-nationale.fr/sycomore/fiche/(num_dept)/8046", "8046.0")</f>
        <v>0</v>
      </c>
      <c r="H4623">
        <f>HYPERLINK("https://www.wikidata.org/wiki/Q8302481", "Q8302481")</f>
        <v>0</v>
      </c>
    </row>
    <row r="4624" spans="1:8">
      <c r="A4624" t="s">
        <v>4630</v>
      </c>
      <c r="B4624" t="s">
        <v>8946</v>
      </c>
      <c r="C4624" t="s">
        <v>11230</v>
      </c>
      <c r="D4624" t="s">
        <v>15494</v>
      </c>
      <c r="E4624" s="2">
        <v>6782</v>
      </c>
      <c r="F4624">
        <f>HYPERLINK("https://www2.assemblee-nationale.fr/sycomore/fiche/(num_dept)/6873", "6873.0")</f>
        <v>0</v>
      </c>
      <c r="H4624">
        <f>HYPERLINK("https://www.wikidata.org/wiki/Q16026515", "Q16026515")</f>
        <v>0</v>
      </c>
    </row>
    <row r="4625" spans="1:8">
      <c r="A4625" t="s">
        <v>4631</v>
      </c>
      <c r="B4625" t="s">
        <v>8947</v>
      </c>
      <c r="C4625" t="s">
        <v>11231</v>
      </c>
      <c r="D4625" t="s">
        <v>15495</v>
      </c>
      <c r="E4625" t="s">
        <v>15965</v>
      </c>
      <c r="F4625">
        <f>HYPERLINK("https://www2.assemblee-nationale.fr/sycomore/fiche/(num_dept)/6875", "6875.0")</f>
        <v>0</v>
      </c>
      <c r="H4625">
        <f>HYPERLINK("https://www.wikidata.org/wiki/Q3167677", "Q3167677")</f>
        <v>0</v>
      </c>
    </row>
    <row r="4626" spans="1:8">
      <c r="A4626" t="s">
        <v>4632</v>
      </c>
      <c r="B4626" t="s">
        <v>8948</v>
      </c>
      <c r="C4626" t="s">
        <v>6864</v>
      </c>
      <c r="D4626" t="s">
        <v>15496</v>
      </c>
      <c r="E4626" s="2">
        <v>779</v>
      </c>
      <c r="G4626">
        <f>HYPERLINK("https://www.senat.fr/senateur-3eme-republique/soubigou_francois0789r3.html", "soubigou_francois0789r3")</f>
        <v>0</v>
      </c>
      <c r="H4626">
        <f>HYPERLINK("https://www.wikidata.org/wiki/Q3085847", "Q3085847")</f>
        <v>0</v>
      </c>
    </row>
    <row r="4627" spans="1:8">
      <c r="A4627" t="s">
        <v>4633</v>
      </c>
      <c r="B4627" t="s">
        <v>8949</v>
      </c>
      <c r="C4627" t="s">
        <v>7754</v>
      </c>
      <c r="D4627" t="s">
        <v>15497</v>
      </c>
      <c r="E4627" s="2">
        <v>5408</v>
      </c>
      <c r="F4627">
        <f>HYPERLINK("https://www2.assemblee-nationale.fr/sycomore/fiche/(num_dept)/6876", "6876.0")</f>
        <v>0</v>
      </c>
      <c r="H4627">
        <f>HYPERLINK("https://www.wikidata.org/wiki/Q3263127", "Q3263127")</f>
        <v>0</v>
      </c>
    </row>
    <row r="4628" spans="1:8">
      <c r="A4628" t="s">
        <v>4634</v>
      </c>
      <c r="B4628" t="s">
        <v>8950</v>
      </c>
      <c r="C4628" t="s">
        <v>11232</v>
      </c>
      <c r="D4628" t="s">
        <v>15498</v>
      </c>
      <c r="E4628" s="2">
        <v>819</v>
      </c>
      <c r="F4628">
        <f>HYPERLINK("https://www2.assemblee-nationale.fr/sycomore/fiche/(num_dept)/8047", "8047.0")</f>
        <v>0</v>
      </c>
      <c r="H4628">
        <f>HYPERLINK("https://www.wikidata.org/wiki/Q16026516", "Q16026516")</f>
        <v>0</v>
      </c>
    </row>
    <row r="4629" spans="1:8">
      <c r="A4629" t="s">
        <v>4635</v>
      </c>
      <c r="B4629" t="s">
        <v>8951</v>
      </c>
      <c r="C4629" t="s">
        <v>9397</v>
      </c>
      <c r="D4629" t="s">
        <v>15499</v>
      </c>
      <c r="E4629" s="2">
        <v>49</v>
      </c>
      <c r="F4629">
        <f>HYPERLINK("https://www2.assemblee-nationale.fr/sycomore/fiche/(num_dept)/8177", "8177.0")</f>
        <v>0</v>
      </c>
      <c r="H4629">
        <f>HYPERLINK("https://www.wikidata.org/wiki/Q8311130", "Q8311130")</f>
        <v>0</v>
      </c>
    </row>
    <row r="4630" spans="1:8">
      <c r="A4630" t="s">
        <v>4636</v>
      </c>
      <c r="B4630" t="s">
        <v>8952</v>
      </c>
      <c r="C4630" t="s">
        <v>11233</v>
      </c>
      <c r="D4630" t="s">
        <v>15500</v>
      </c>
      <c r="E4630" s="2">
        <v>4033</v>
      </c>
      <c r="F4630">
        <f>HYPERLINK("https://www2.assemblee-nationale.fr/sycomore/fiche/(num_dept)/7989", "7989.0")</f>
        <v>0</v>
      </c>
      <c r="H4630">
        <f>HYPERLINK("https://www.wikidata.org/wiki/Q3385874", "Q3385874")</f>
        <v>0</v>
      </c>
    </row>
    <row r="4631" spans="1:8">
      <c r="A4631" t="s">
        <v>4637</v>
      </c>
      <c r="B4631" t="s">
        <v>8953</v>
      </c>
      <c r="C4631" t="s">
        <v>9567</v>
      </c>
      <c r="D4631" t="s">
        <v>15501</v>
      </c>
      <c r="E4631" s="2">
        <v>9359</v>
      </c>
      <c r="F4631">
        <f>HYPERLINK("https://www2.assemblee-nationale.fr/sycomore/fiche/(num_dept)/6879", "6879.0")</f>
        <v>0</v>
      </c>
      <c r="H4631">
        <f>HYPERLINK("https://www.wikidata.org/wiki/Q16026517", "Q16026517")</f>
        <v>0</v>
      </c>
    </row>
    <row r="4632" spans="1:8">
      <c r="A4632" t="s">
        <v>4638</v>
      </c>
      <c r="B4632" t="s">
        <v>8954</v>
      </c>
      <c r="C4632" t="s">
        <v>7754</v>
      </c>
      <c r="D4632" t="s">
        <v>15502</v>
      </c>
      <c r="E4632" s="2">
        <v>14497</v>
      </c>
      <c r="G4632">
        <f>HYPERLINK("https://www.senat.fr/senateur-3eme-republique/soulie_louis1355r3.html", "soulie_louis1355r3")</f>
        <v>0</v>
      </c>
      <c r="H4632">
        <f>HYPERLINK("https://www.wikidata.org/wiki/Q3263128", "Q3263128")</f>
        <v>0</v>
      </c>
    </row>
    <row r="4633" spans="1:8">
      <c r="A4633" t="s">
        <v>4639</v>
      </c>
      <c r="B4633" t="s">
        <v>8955</v>
      </c>
      <c r="C4633" t="s">
        <v>9346</v>
      </c>
      <c r="D4633" t="s">
        <v>15503</v>
      </c>
      <c r="E4633" s="2">
        <v>14125</v>
      </c>
      <c r="F4633">
        <f>HYPERLINK("https://www2.assemblee-nationale.fr/sycomore/fiche/(num_dept)/6883", "6883.0")</f>
        <v>0</v>
      </c>
      <c r="H4633">
        <f>HYPERLINK("https://www.wikidata.org/wiki/Q16026518", "Q16026518")</f>
        <v>0</v>
      </c>
    </row>
    <row r="4634" spans="1:8">
      <c r="A4634" t="s">
        <v>4640</v>
      </c>
      <c r="B4634" t="s">
        <v>8956</v>
      </c>
      <c r="C4634" t="s">
        <v>11234</v>
      </c>
      <c r="D4634" t="s">
        <v>15504</v>
      </c>
      <c r="E4634" t="s">
        <v>16212</v>
      </c>
      <c r="F4634">
        <f>HYPERLINK("https://www2.assemblee-nationale.fr/sycomore/fiche/(num_dept)/6888", "6888.0")</f>
        <v>0</v>
      </c>
      <c r="H4634">
        <f>HYPERLINK("https://www.wikidata.org/wiki/Q16026519", "Q16026519")</f>
        <v>0</v>
      </c>
    </row>
    <row r="4635" spans="1:8">
      <c r="A4635" t="s">
        <v>4641</v>
      </c>
      <c r="B4635" t="s">
        <v>8957</v>
      </c>
      <c r="C4635" t="s">
        <v>9373</v>
      </c>
      <c r="D4635" t="s">
        <v>15505</v>
      </c>
      <c r="E4635" s="2">
        <v>5660</v>
      </c>
      <c r="F4635">
        <f>HYPERLINK("https://www2.assemblee-nationale.fr/sycomore/fiche/(num_dept)/6891", "6891.0")</f>
        <v>0</v>
      </c>
      <c r="H4635">
        <f>HYPERLINK("https://www.wikidata.org/wiki/Q16026521", "Q16026521")</f>
        <v>0</v>
      </c>
    </row>
    <row r="4636" spans="1:8">
      <c r="A4636" t="s">
        <v>4642</v>
      </c>
      <c r="B4636" t="s">
        <v>8958</v>
      </c>
      <c r="C4636" t="s">
        <v>11235</v>
      </c>
      <c r="D4636" t="s">
        <v>15506</v>
      </c>
      <c r="E4636" t="s">
        <v>16424</v>
      </c>
      <c r="F4636">
        <f>HYPERLINK("https://www2.assemblee-nationale.fr/sycomore/fiche/(num_dept)/8067", "8067.0")</f>
        <v>0</v>
      </c>
      <c r="G4636">
        <f>HYPERLINK("https://www.senat.fr/senateur-3eme-republique/soustre_marius0057r3.html", "soustre_marius0057r3")</f>
        <v>0</v>
      </c>
      <c r="H4636">
        <f>HYPERLINK("https://www.wikidata.org/wiki/Q3293858", "Q3293858")</f>
        <v>0</v>
      </c>
    </row>
    <row r="4637" spans="1:8">
      <c r="A4637" t="s">
        <v>4643</v>
      </c>
      <c r="B4637" t="s">
        <v>8959</v>
      </c>
      <c r="C4637" t="s">
        <v>11236</v>
      </c>
      <c r="D4637" t="s">
        <v>15507</v>
      </c>
      <c r="E4637" t="s">
        <v>16425</v>
      </c>
      <c r="F4637">
        <f>HYPERLINK("https://www2.assemblee-nationale.fr/sycomore/fiche/(num_dept)/6893", "6893.0")</f>
        <v>0</v>
      </c>
      <c r="H4637">
        <f>HYPERLINK("https://www.wikidata.org/wiki/Q3185406", "Q3185406")</f>
        <v>0</v>
      </c>
    </row>
    <row r="4638" spans="1:8">
      <c r="A4638" t="s">
        <v>4644</v>
      </c>
      <c r="B4638" t="s">
        <v>8960</v>
      </c>
      <c r="C4638" t="s">
        <v>9355</v>
      </c>
      <c r="D4638" t="s">
        <v>15508</v>
      </c>
      <c r="E4638" s="2">
        <v>29076</v>
      </c>
      <c r="F4638">
        <f>HYPERLINK("https://www2.assemblee-nationale.fr/sycomore/fiche/(num_dept)/6897", "6897.0")</f>
        <v>0</v>
      </c>
      <c r="H4638">
        <f>HYPERLINK("https://www.wikidata.org/wiki/Q2960255", "Q2960255")</f>
        <v>0</v>
      </c>
    </row>
    <row r="4639" spans="1:8">
      <c r="A4639" t="s">
        <v>4645</v>
      </c>
      <c r="B4639" t="s">
        <v>8961</v>
      </c>
      <c r="C4639" t="s">
        <v>7942</v>
      </c>
      <c r="D4639" t="s">
        <v>15509</v>
      </c>
      <c r="E4639" s="2">
        <v>8003</v>
      </c>
      <c r="F4639">
        <f>HYPERLINK("https://www2.assemblee-nationale.fr/sycomore/fiche/(num_dept)/6900", "6900.0")</f>
        <v>0</v>
      </c>
      <c r="H4639">
        <f>HYPERLINK("https://www.wikidata.org/wiki/Q13085412", "Q13085412")</f>
        <v>0</v>
      </c>
    </row>
    <row r="4640" spans="1:8">
      <c r="A4640" t="s">
        <v>4646</v>
      </c>
      <c r="B4640" t="s">
        <v>8962</v>
      </c>
      <c r="C4640" t="s">
        <v>9368</v>
      </c>
      <c r="D4640" t="s">
        <v>15510</v>
      </c>
      <c r="E4640" t="s">
        <v>16426</v>
      </c>
      <c r="F4640">
        <f>HYPERLINK("https://www2.assemblee-nationale.fr/sycomore/fiche/(num_dept)/6901", "6901.0")</f>
        <v>0</v>
      </c>
      <c r="G4640">
        <f>HYPERLINK("https://www.senat.fr/senateur-3eme-republique/spuller_eugene0548r3.html", "spuller_eugene0548r3")</f>
        <v>0</v>
      </c>
      <c r="H4640">
        <f>HYPERLINK("https://www.wikidata.org/wiki/Q3060180", "Q3060180")</f>
        <v>0</v>
      </c>
    </row>
    <row r="4641" spans="1:8">
      <c r="A4641" t="s">
        <v>4647</v>
      </c>
      <c r="B4641" t="s">
        <v>8963</v>
      </c>
      <c r="C4641" t="s">
        <v>9471</v>
      </c>
      <c r="D4641" t="s">
        <v>15511</v>
      </c>
      <c r="E4641" t="s">
        <v>16427</v>
      </c>
      <c r="F4641">
        <f>HYPERLINK("https://www2.assemblee-nationale.fr/sycomore/fiche/(num_dept)/6903", "6903.0")</f>
        <v>0</v>
      </c>
      <c r="H4641">
        <f>HYPERLINK("https://www.wikidata.org/wiki/Q3188919", "Q3188919")</f>
        <v>0</v>
      </c>
    </row>
    <row r="4642" spans="1:8">
      <c r="A4642" t="s">
        <v>4648</v>
      </c>
      <c r="B4642" t="s">
        <v>8963</v>
      </c>
      <c r="C4642" t="s">
        <v>10211</v>
      </c>
      <c r="D4642" t="s">
        <v>15512</v>
      </c>
      <c r="E4642" s="2">
        <v>18616</v>
      </c>
      <c r="F4642">
        <f>HYPERLINK("https://www2.assemblee-nationale.fr/sycomore/fiche/(num_dept)/6904", "6904.0")</f>
        <v>0</v>
      </c>
      <c r="G4642">
        <f>HYPERLINK("https://www.senat.fr/senateur-3eme-republique/steeg_theodore1554r3.html", "steeg_theodore1554r3")</f>
        <v>0</v>
      </c>
      <c r="H4642">
        <f>HYPERLINK("https://www.wikidata.org/wiki/Q717905", "Q717905")</f>
        <v>0</v>
      </c>
    </row>
    <row r="4643" spans="1:8">
      <c r="A4643" t="s">
        <v>4649</v>
      </c>
      <c r="B4643" t="s">
        <v>8964</v>
      </c>
      <c r="C4643" t="s">
        <v>11237</v>
      </c>
      <c r="D4643" t="s">
        <v>15513</v>
      </c>
      <c r="E4643" s="2">
        <v>4221</v>
      </c>
      <c r="F4643">
        <f>HYPERLINK("https://www2.assemblee-nationale.fr/sycomore/fiche/(num_dept)/8048", "8048.0")</f>
        <v>0</v>
      </c>
      <c r="H4643">
        <f>HYPERLINK("https://www.wikidata.org/wiki/Q15964324", "Q15964324")</f>
        <v>0</v>
      </c>
    </row>
    <row r="4644" spans="1:8">
      <c r="A4644" t="s">
        <v>4650</v>
      </c>
      <c r="B4644" t="s">
        <v>8965</v>
      </c>
      <c r="C4644" t="s">
        <v>7314</v>
      </c>
      <c r="D4644" t="s">
        <v>15514</v>
      </c>
      <c r="E4644" s="2">
        <v>18253</v>
      </c>
      <c r="F4644">
        <f>HYPERLINK("https://www2.assemblee-nationale.fr/sycomore/fiche/(num_dept)/6907", "6907.0")</f>
        <v>0</v>
      </c>
      <c r="H4644">
        <f>HYPERLINK("https://www.wikidata.org/wiki/Q1243761", "Q1243761")</f>
        <v>0</v>
      </c>
    </row>
    <row r="4645" spans="1:8">
      <c r="A4645" t="s">
        <v>4651</v>
      </c>
      <c r="B4645" t="s">
        <v>8966</v>
      </c>
      <c r="C4645" t="s">
        <v>9355</v>
      </c>
      <c r="D4645" t="s">
        <v>15515</v>
      </c>
      <c r="E4645" s="2">
        <v>14645</v>
      </c>
      <c r="G4645">
        <f>HYPERLINK("https://www.senat.fr/senateur-3eme-republique/stourm_charles0545r3.html", "stourm_charles0545r3")</f>
        <v>0</v>
      </c>
      <c r="H4645">
        <f>HYPERLINK("https://www.wikidata.org/wiki/Q2960260", "Q2960260")</f>
        <v>0</v>
      </c>
    </row>
    <row r="4646" spans="1:8">
      <c r="A4646" t="s">
        <v>4652</v>
      </c>
      <c r="B4646" t="s">
        <v>8967</v>
      </c>
      <c r="C4646" t="s">
        <v>9430</v>
      </c>
      <c r="D4646" t="s">
        <v>15420</v>
      </c>
      <c r="E4646" s="2">
        <v>15394</v>
      </c>
      <c r="G4646">
        <f>HYPERLINK("https://www.senat.fr/senateur-3eme-republique/strauss_paul1334r3.html", "strauss_paul1334r3")</f>
        <v>0</v>
      </c>
      <c r="H4646">
        <f>HYPERLINK("https://www.wikidata.org/wiki/Q3372237", "Q3372237")</f>
        <v>0</v>
      </c>
    </row>
    <row r="4647" spans="1:8">
      <c r="A4647" t="s">
        <v>4653</v>
      </c>
      <c r="B4647" t="s">
        <v>8968</v>
      </c>
      <c r="C4647" t="s">
        <v>7342</v>
      </c>
      <c r="D4647" t="s">
        <v>15516</v>
      </c>
      <c r="E4647" s="2">
        <v>15668</v>
      </c>
      <c r="G4647">
        <f>HYPERLINK("https://www.senat.fr/senateur-3eme-republique/stuhl_jean0708r3.html", "stuhl_jean0708r3")</f>
        <v>0</v>
      </c>
      <c r="H4647">
        <f>HYPERLINK("https://www.wikidata.org/wiki/Q3174691", "Q3174691")</f>
        <v>0</v>
      </c>
    </row>
    <row r="4648" spans="1:8">
      <c r="A4648" t="s">
        <v>4654</v>
      </c>
      <c r="B4648" t="s">
        <v>8969</v>
      </c>
      <c r="C4648" t="s">
        <v>10070</v>
      </c>
      <c r="D4648" s="2">
        <v>169</v>
      </c>
      <c r="E4648" s="2">
        <v>26299</v>
      </c>
      <c r="F4648">
        <f>HYPERLINK("https://www2.assemblee-nationale.fr/sycomore/fiche/(num_dept)/6914", "6914.0")</f>
        <v>0</v>
      </c>
      <c r="H4648">
        <f>HYPERLINK("https://www.wikidata.org/wiki/Q3289422", "Q3289422")</f>
        <v>0</v>
      </c>
    </row>
    <row r="4649" spans="1:8">
      <c r="A4649" t="s">
        <v>4655</v>
      </c>
      <c r="B4649" t="s">
        <v>8970</v>
      </c>
      <c r="C4649" t="s">
        <v>5096</v>
      </c>
      <c r="D4649" t="s">
        <v>15517</v>
      </c>
      <c r="E4649" s="2">
        <v>3849</v>
      </c>
      <c r="F4649">
        <f>HYPERLINK("https://www2.assemblee-nationale.fr/sycomore/fiche/(num_dept)/6916", "6916.0")</f>
        <v>0</v>
      </c>
      <c r="H4649">
        <f>HYPERLINK("https://www.wikidata.org/wiki/Q14623368", "Q14623368")</f>
        <v>0</v>
      </c>
    </row>
    <row r="4650" spans="1:8">
      <c r="A4650" t="s">
        <v>4656</v>
      </c>
      <c r="B4650" t="s">
        <v>8971</v>
      </c>
      <c r="C4650" t="s">
        <v>11238</v>
      </c>
      <c r="D4650" t="s">
        <v>11619</v>
      </c>
      <c r="E4650" t="s">
        <v>16428</v>
      </c>
      <c r="G4650">
        <f>HYPERLINK("https://www.senat.fr/senateur-3eme-republique/suisse_jules1865r3.html", "suisse_jules1865r3")</f>
        <v>0</v>
      </c>
      <c r="H4650">
        <f>HYPERLINK("https://www.wikidata.org/wiki/Q548532", "Q548532")</f>
        <v>0</v>
      </c>
    </row>
    <row r="4651" spans="1:8">
      <c r="A4651" t="s">
        <v>4657</v>
      </c>
      <c r="B4651" t="s">
        <v>8972</v>
      </c>
      <c r="C4651" t="s">
        <v>9851</v>
      </c>
      <c r="D4651" t="s">
        <v>15518</v>
      </c>
      <c r="E4651" s="2">
        <v>3383</v>
      </c>
      <c r="F4651">
        <f>HYPERLINK("https://www2.assemblee-nationale.fr/sycomore/fiche/(num_dept)/6921", "6921.0")</f>
        <v>0</v>
      </c>
      <c r="H4651">
        <f>HYPERLINK("https://www.wikidata.org/wiki/Q8339601", "Q8339601")</f>
        <v>0</v>
      </c>
    </row>
    <row r="4652" spans="1:8">
      <c r="A4652" t="s">
        <v>4658</v>
      </c>
      <c r="B4652" t="s">
        <v>8973</v>
      </c>
      <c r="C4652" t="s">
        <v>5033</v>
      </c>
      <c r="D4652" t="s">
        <v>13216</v>
      </c>
      <c r="E4652" s="2">
        <v>4782</v>
      </c>
      <c r="F4652">
        <f>HYPERLINK("https://www2.assemblee-nationale.fr/sycomore/fiche/(num_dept)/6922", "6922.0")</f>
        <v>0</v>
      </c>
      <c r="H4652">
        <f>HYPERLINK("https://www.wikidata.org/wiki/Q16026523", "Q16026523")</f>
        <v>0</v>
      </c>
    </row>
    <row r="4653" spans="1:8">
      <c r="A4653" t="s">
        <v>4659</v>
      </c>
      <c r="B4653" t="s">
        <v>8974</v>
      </c>
      <c r="C4653" t="s">
        <v>8691</v>
      </c>
      <c r="D4653" t="s">
        <v>15519</v>
      </c>
      <c r="E4653" s="2">
        <v>16103</v>
      </c>
      <c r="F4653">
        <f>HYPERLINK("https://www2.assemblee-nationale.fr/sycomore/fiche/(num_dept)/6923", "6923.0")</f>
        <v>0</v>
      </c>
      <c r="H4653">
        <f>HYPERLINK("https://www.wikidata.org/wiki/Q3435381", "Q3435381")</f>
        <v>0</v>
      </c>
    </row>
    <row r="4654" spans="1:8">
      <c r="A4654" t="s">
        <v>4660</v>
      </c>
      <c r="B4654" t="s">
        <v>8975</v>
      </c>
      <c r="C4654" t="s">
        <v>9355</v>
      </c>
      <c r="D4654" t="s">
        <v>15520</v>
      </c>
      <c r="E4654" s="2">
        <v>23891</v>
      </c>
      <c r="F4654">
        <f>HYPERLINK("https://www2.assemblee-nationale.fr/sycomore/fiche/(num_dept)/6924", "6924.0")</f>
        <v>0</v>
      </c>
      <c r="H4654">
        <f>HYPERLINK("https://www.wikidata.org/wiki/Q2960269", "Q2960269")</f>
        <v>0</v>
      </c>
    </row>
    <row r="4655" spans="1:8">
      <c r="A4655" t="s">
        <v>4661</v>
      </c>
      <c r="B4655" t="s">
        <v>8976</v>
      </c>
      <c r="C4655" t="s">
        <v>9438</v>
      </c>
      <c r="D4655" t="s">
        <v>15521</v>
      </c>
      <c r="E4655" s="2">
        <v>11146</v>
      </c>
      <c r="G4655">
        <f>HYPERLINK("https://www.senat.fr/senateur-3eme-republique/surreaux_victor1760r3.html", "surreaux_victor1760r3")</f>
        <v>0</v>
      </c>
      <c r="H4655">
        <f>HYPERLINK("https://www.wikidata.org/wiki/Q3557590", "Q3557590")</f>
        <v>0</v>
      </c>
    </row>
    <row r="4656" spans="1:8">
      <c r="A4656" t="s">
        <v>4662</v>
      </c>
      <c r="B4656" t="s">
        <v>8977</v>
      </c>
      <c r="C4656" t="s">
        <v>10610</v>
      </c>
      <c r="D4656" t="s">
        <v>15522</v>
      </c>
      <c r="E4656" s="2">
        <v>555</v>
      </c>
      <c r="F4656">
        <f>HYPERLINK("https://www2.assemblee-nationale.fr/sycomore/fiche/(num_dept)/6925", "6925.0")</f>
        <v>0</v>
      </c>
      <c r="H4656">
        <f>HYPERLINK("https://www.wikidata.org/wiki/Q3372240", "Q3372240")</f>
        <v>0</v>
      </c>
    </row>
    <row r="4657" spans="1:8">
      <c r="A4657" t="s">
        <v>4663</v>
      </c>
      <c r="B4657" t="s">
        <v>8978</v>
      </c>
      <c r="C4657" t="s">
        <v>9386</v>
      </c>
      <c r="D4657" t="s">
        <v>15523</v>
      </c>
      <c r="E4657" s="2">
        <v>33431</v>
      </c>
      <c r="F4657">
        <f>HYPERLINK("https://www2.assemblee-nationale.fr/sycomore/fiche/(num_dept)/6926", "6926.0")</f>
        <v>0</v>
      </c>
      <c r="H4657">
        <f>HYPERLINK("https://www.wikidata.org/wiki/Q3421158", "Q3421158")</f>
        <v>0</v>
      </c>
    </row>
    <row r="4658" spans="1:8">
      <c r="A4658" t="s">
        <v>4664</v>
      </c>
      <c r="B4658" t="s">
        <v>8979</v>
      </c>
      <c r="C4658" t="s">
        <v>11239</v>
      </c>
      <c r="D4658" t="s">
        <v>15524</v>
      </c>
      <c r="E4658" s="2">
        <v>13907</v>
      </c>
      <c r="F4658">
        <f>HYPERLINK("https://www2.assemblee-nationale.fr/sycomore/fiche/(num_dept)/6928", "6928.0")</f>
        <v>0</v>
      </c>
      <c r="H4658">
        <f>HYPERLINK("https://www.wikidata.org/wiki/Q3175718", "Q3175718")</f>
        <v>0</v>
      </c>
    </row>
    <row r="4659" spans="1:8">
      <c r="A4659" t="s">
        <v>4665</v>
      </c>
      <c r="B4659" t="s">
        <v>8980</v>
      </c>
      <c r="C4659" t="s">
        <v>6895</v>
      </c>
      <c r="D4659" t="s">
        <v>15525</v>
      </c>
      <c r="E4659" s="2">
        <v>1804</v>
      </c>
      <c r="F4659">
        <f>HYPERLINK("https://www2.assemblee-nationale.fr/sycomore/fiche/(num_dept)/6930", "6930.0")</f>
        <v>0</v>
      </c>
      <c r="H4659">
        <f>HYPERLINK("https://www.wikidata.org/wiki/Q595086", "Q595086")</f>
        <v>0</v>
      </c>
    </row>
    <row r="4660" spans="1:8">
      <c r="A4660" t="s">
        <v>4666</v>
      </c>
      <c r="B4660" t="s">
        <v>8981</v>
      </c>
      <c r="C4660" t="s">
        <v>11240</v>
      </c>
      <c r="D4660" t="s">
        <v>15526</v>
      </c>
      <c r="E4660" s="2">
        <v>2520</v>
      </c>
      <c r="F4660">
        <f>HYPERLINK("https://www2.assemblee-nationale.fr/sycomore/fiche/(num_dept)/3331", "3331.0")</f>
        <v>0</v>
      </c>
      <c r="H4660">
        <f>HYPERLINK("https://www.wikidata.org/wiki/Q16025760", "Q16025760")</f>
        <v>0</v>
      </c>
    </row>
    <row r="4661" spans="1:8">
      <c r="A4661" t="s">
        <v>4667</v>
      </c>
      <c r="B4661" t="s">
        <v>8982</v>
      </c>
      <c r="C4661" t="s">
        <v>11241</v>
      </c>
      <c r="D4661" t="s">
        <v>15527</v>
      </c>
      <c r="E4661" s="2">
        <v>5196</v>
      </c>
      <c r="F4661">
        <f>HYPERLINK("https://www2.assemblee-nationale.fr/sycomore/fiche/(num_dept)/6382", "6382.0")</f>
        <v>0</v>
      </c>
      <c r="H4661">
        <f>HYPERLINK("https://www.wikidata.org/wiki/Q16026495", "Q16026495")</f>
        <v>0</v>
      </c>
    </row>
    <row r="4662" spans="1:8">
      <c r="A4662" t="s">
        <v>4668</v>
      </c>
      <c r="B4662" t="s">
        <v>8982</v>
      </c>
      <c r="C4662" t="s">
        <v>7342</v>
      </c>
      <c r="D4662" t="s">
        <v>15528</v>
      </c>
      <c r="E4662" s="2">
        <v>16040</v>
      </c>
      <c r="F4662">
        <f>HYPERLINK("https://www2.assemblee-nationale.fr/sycomore/fiche/(num_dept)/6381", "6381.0")</f>
        <v>0</v>
      </c>
      <c r="H4662">
        <f>HYPERLINK("https://www.wikidata.org/wiki/Q16798560", "Q16798560")</f>
        <v>0</v>
      </c>
    </row>
    <row r="4663" spans="1:8">
      <c r="A4663" t="s">
        <v>4669</v>
      </c>
      <c r="B4663" t="s">
        <v>8983</v>
      </c>
      <c r="C4663" t="s">
        <v>11242</v>
      </c>
      <c r="D4663" t="s">
        <v>15529</v>
      </c>
      <c r="E4663" s="2">
        <v>18066</v>
      </c>
      <c r="F4663">
        <f>HYPERLINK("https://www2.assemblee-nationale.fr/sycomore/fiche/(num_dept)/6390", "6390.0")</f>
        <v>0</v>
      </c>
      <c r="H4663">
        <f>HYPERLINK("https://www.wikidata.org/wiki/Q3383056", "Q3383056")</f>
        <v>0</v>
      </c>
    </row>
    <row r="4664" spans="1:8">
      <c r="A4664" t="s">
        <v>4670</v>
      </c>
      <c r="B4664" t="s">
        <v>8984</v>
      </c>
      <c r="C4664" t="s">
        <v>5058</v>
      </c>
      <c r="D4664" t="s">
        <v>15530</v>
      </c>
      <c r="E4664" s="2">
        <v>22410</v>
      </c>
      <c r="F4664">
        <f>HYPERLINK("https://www2.assemblee-nationale.fr/sycomore/fiche/(num_dept)/6395", "6395.0")</f>
        <v>0</v>
      </c>
      <c r="H4664">
        <f>HYPERLINK("https://www.wikidata.org/wiki/Q8334416", "Q8334416")</f>
        <v>0</v>
      </c>
    </row>
    <row r="4665" spans="1:8">
      <c r="A4665" t="s">
        <v>4671</v>
      </c>
      <c r="B4665" t="s">
        <v>8985</v>
      </c>
      <c r="C4665" t="s">
        <v>8691</v>
      </c>
      <c r="D4665" t="s">
        <v>15531</v>
      </c>
      <c r="E4665" s="2">
        <v>19446</v>
      </c>
      <c r="F4665">
        <f>HYPERLINK("https://www2.assemblee-nationale.fr/sycomore/fiche/(num_dept)/6396", "6396.0")</f>
        <v>0</v>
      </c>
      <c r="H4665">
        <f>HYPERLINK("https://www.wikidata.org/wiki/Q3436380", "Q3436380")</f>
        <v>0</v>
      </c>
    </row>
    <row r="4666" spans="1:8">
      <c r="A4666" t="s">
        <v>4672</v>
      </c>
      <c r="B4666" t="s">
        <v>8986</v>
      </c>
      <c r="C4666" t="s">
        <v>9438</v>
      </c>
      <c r="D4666" t="s">
        <v>15532</v>
      </c>
      <c r="E4666" s="2">
        <v>21095</v>
      </c>
      <c r="F4666">
        <f>HYPERLINK("https://www2.assemblee-nationale.fr/sycomore/fiche/(num_dept)/6815", "6815.0")</f>
        <v>0</v>
      </c>
      <c r="H4666">
        <f>HYPERLINK("https://www.wikidata.org/wiki/Q3557596", "Q3557596")</f>
        <v>0</v>
      </c>
    </row>
    <row r="4667" spans="1:8">
      <c r="A4667" t="s">
        <v>4673</v>
      </c>
      <c r="B4667" t="s">
        <v>8987</v>
      </c>
      <c r="C4667" t="s">
        <v>9362</v>
      </c>
      <c r="D4667" t="s">
        <v>15533</v>
      </c>
      <c r="E4667" t="s">
        <v>16429</v>
      </c>
      <c r="G4667">
        <f>HYPERLINK("https://www.senat.fr/senateur-3eme-republique/tailhand_adrien0137r3.html", "tailhand_adrien0137r3")</f>
        <v>0</v>
      </c>
      <c r="H4667">
        <f>HYPERLINK("https://www.wikidata.org/wiki/Q377194", "Q377194")</f>
        <v>0</v>
      </c>
    </row>
    <row r="4668" spans="1:8">
      <c r="A4668" t="s">
        <v>4674</v>
      </c>
      <c r="B4668" t="s">
        <v>8988</v>
      </c>
      <c r="C4668" t="s">
        <v>6864</v>
      </c>
      <c r="D4668" t="s">
        <v>15534</v>
      </c>
      <c r="E4668" s="2">
        <v>3284</v>
      </c>
      <c r="F4668">
        <f>HYPERLINK("https://www2.assemblee-nationale.fr/sycomore/fiche/(num_dept)/6935", "6935.0")</f>
        <v>0</v>
      </c>
      <c r="H4668">
        <f>HYPERLINK("https://www.wikidata.org/wiki/Q16026525", "Q16026525")</f>
        <v>0</v>
      </c>
    </row>
    <row r="4669" spans="1:8">
      <c r="A4669" t="s">
        <v>4675</v>
      </c>
      <c r="B4669" t="s">
        <v>8989</v>
      </c>
      <c r="C4669" t="s">
        <v>11243</v>
      </c>
      <c r="D4669" t="s">
        <v>15535</v>
      </c>
      <c r="E4669" t="s">
        <v>16430</v>
      </c>
      <c r="G4669">
        <f>HYPERLINK("https://www.senat.fr/senateur-3eme-republique/taillefert_alcide1619r3.html", "taillefert_alcide1619r3")</f>
        <v>0</v>
      </c>
      <c r="H4669">
        <f>HYPERLINK("https://www.wikidata.org/wiki/Q2832166", "Q2832166")</f>
        <v>0</v>
      </c>
    </row>
    <row r="4670" spans="1:8">
      <c r="A4670" t="s">
        <v>4676</v>
      </c>
      <c r="B4670" t="s">
        <v>8990</v>
      </c>
      <c r="C4670" t="s">
        <v>11244</v>
      </c>
      <c r="D4670" t="s">
        <v>15536</v>
      </c>
      <c r="E4670" s="2">
        <v>5232</v>
      </c>
      <c r="F4670">
        <f>HYPERLINK("https://www2.assemblee-nationale.fr/sycomore/fiche/(num_dept)/6937", "6937.0")</f>
        <v>0</v>
      </c>
      <c r="H4670">
        <f>HYPERLINK("https://www.wikidata.org/wiki/Q16026528", "Q16026528")</f>
        <v>0</v>
      </c>
    </row>
    <row r="4671" spans="1:8">
      <c r="A4671" t="s">
        <v>4677</v>
      </c>
      <c r="B4671" t="s">
        <v>8990</v>
      </c>
      <c r="C4671" t="s">
        <v>7942</v>
      </c>
      <c r="D4671" t="s">
        <v>15537</v>
      </c>
      <c r="E4671" s="2">
        <v>18978</v>
      </c>
      <c r="F4671">
        <f>HYPERLINK("https://www2.assemblee-nationale.fr/sycomore/fiche/(num_dept)/6938", "6938.0")</f>
        <v>0</v>
      </c>
      <c r="H4671">
        <f>HYPERLINK("https://www.wikidata.org/wiki/Q16026529", "Q16026529")</f>
        <v>0</v>
      </c>
    </row>
    <row r="4672" spans="1:8">
      <c r="A4672" t="s">
        <v>4678</v>
      </c>
      <c r="B4672" t="s">
        <v>8990</v>
      </c>
      <c r="C4672" t="s">
        <v>5058</v>
      </c>
      <c r="D4672" t="s">
        <v>14729</v>
      </c>
      <c r="E4672" s="2">
        <v>6294</v>
      </c>
      <c r="F4672">
        <f>HYPERLINK("https://www2.assemblee-nationale.fr/sycomore/fiche/(num_dept)/6936", "6936.0")</f>
        <v>0</v>
      </c>
      <c r="H4672">
        <f>HYPERLINK("https://www.wikidata.org/wiki/Q16026526", "Q16026526")</f>
        <v>0</v>
      </c>
    </row>
    <row r="4673" spans="1:8">
      <c r="A4673" t="s">
        <v>4679</v>
      </c>
      <c r="B4673" t="s">
        <v>8991</v>
      </c>
      <c r="C4673" t="s">
        <v>8384</v>
      </c>
      <c r="D4673" t="s">
        <v>14089</v>
      </c>
      <c r="E4673" s="2">
        <v>23764</v>
      </c>
      <c r="F4673">
        <f>HYPERLINK("https://www2.assemblee-nationale.fr/sycomore/fiche/(num_dept)/6941", "6941.0")</f>
        <v>0</v>
      </c>
      <c r="H4673">
        <f>HYPERLINK("https://www.wikidata.org/wiki/Q3387066", "Q3387066")</f>
        <v>0</v>
      </c>
    </row>
    <row r="4674" spans="1:8">
      <c r="A4674" t="s">
        <v>4680</v>
      </c>
      <c r="B4674" t="s">
        <v>8992</v>
      </c>
      <c r="C4674" t="s">
        <v>11245</v>
      </c>
      <c r="D4674" t="s">
        <v>15538</v>
      </c>
      <c r="E4674" t="s">
        <v>16431</v>
      </c>
      <c r="F4674">
        <f>HYPERLINK("https://www2.assemblee-nationale.fr/sycomore/fiche/(num_dept)/8248", "8248.0")</f>
        <v>0</v>
      </c>
      <c r="H4674">
        <f>HYPERLINK("https://www.wikidata.org/wiki/Q13080800", "Q13080800")</f>
        <v>0</v>
      </c>
    </row>
    <row r="4675" spans="1:8">
      <c r="A4675" t="s">
        <v>4681</v>
      </c>
      <c r="B4675" t="s">
        <v>8992</v>
      </c>
      <c r="C4675" t="s">
        <v>11246</v>
      </c>
      <c r="D4675" t="s">
        <v>13910</v>
      </c>
      <c r="E4675" s="2">
        <v>21054</v>
      </c>
      <c r="F4675">
        <f>HYPERLINK("https://www2.assemblee-nationale.fr/sycomore/fiche/(num_dept)/6942", "6942.0")</f>
        <v>0</v>
      </c>
      <c r="H4675">
        <f>HYPERLINK("https://www.wikidata.org/wiki/Q3069347", "Q3069347")</f>
        <v>0</v>
      </c>
    </row>
    <row r="4676" spans="1:8">
      <c r="A4676" t="s">
        <v>4682</v>
      </c>
      <c r="B4676" t="s">
        <v>8993</v>
      </c>
      <c r="C4676" t="s">
        <v>9519</v>
      </c>
      <c r="D4676" t="s">
        <v>15539</v>
      </c>
      <c r="E4676" s="2">
        <v>15346</v>
      </c>
      <c r="F4676">
        <f>HYPERLINK("https://www2.assemblee-nationale.fr/sycomore/fiche/(num_dept)/6943", "6943.0")</f>
        <v>0</v>
      </c>
      <c r="H4676">
        <f>HYPERLINK("https://www.wikidata.org/wiki/Q3103710", "Q3103710")</f>
        <v>0</v>
      </c>
    </row>
    <row r="4677" spans="1:8">
      <c r="A4677" t="s">
        <v>4683</v>
      </c>
      <c r="B4677" t="s">
        <v>8994</v>
      </c>
      <c r="C4677" t="s">
        <v>9564</v>
      </c>
      <c r="D4677" t="s">
        <v>15540</v>
      </c>
      <c r="E4677" t="s">
        <v>16432</v>
      </c>
      <c r="F4677">
        <f>HYPERLINK("https://www2.assemblee-nationale.fr/sycomore/fiche/(num_dept)/8214", "8214.0")</f>
        <v>0</v>
      </c>
      <c r="H4677">
        <f>HYPERLINK("https://www.wikidata.org/wiki/Q16026530", "Q16026530")</f>
        <v>0</v>
      </c>
    </row>
    <row r="4678" spans="1:8">
      <c r="A4678" t="s">
        <v>4684</v>
      </c>
      <c r="B4678" t="s">
        <v>8995</v>
      </c>
      <c r="C4678" t="s">
        <v>11247</v>
      </c>
      <c r="D4678" t="s">
        <v>15541</v>
      </c>
      <c r="E4678" s="2">
        <v>8392</v>
      </c>
      <c r="F4678">
        <f>HYPERLINK("https://www2.assemblee-nationale.fr/sycomore/fiche/(num_dept)/6944", "6944.0")</f>
        <v>0</v>
      </c>
      <c r="H4678">
        <f>HYPERLINK("https://www.wikidata.org/wiki/Q16026532", "Q16026532")</f>
        <v>0</v>
      </c>
    </row>
    <row r="4679" spans="1:8">
      <c r="A4679" t="s">
        <v>4685</v>
      </c>
      <c r="B4679" t="s">
        <v>8996</v>
      </c>
      <c r="C4679" t="s">
        <v>10752</v>
      </c>
      <c r="D4679" t="s">
        <v>15542</v>
      </c>
      <c r="E4679" s="2">
        <v>12</v>
      </c>
      <c r="F4679">
        <f>HYPERLINK("https://www2.assemblee-nationale.fr/sycomore/fiche/(num_dept)/6945", "6945.0")</f>
        <v>0</v>
      </c>
      <c r="G4679">
        <f>HYPERLINK("https://www.senat.fr/senateur-3eme-republique/talou_leon0610r3.html", "talou_leon0610r3")</f>
        <v>0</v>
      </c>
      <c r="H4679">
        <f>HYPERLINK("https://www.wikidata.org/wiki/Q3271343", "Q3271343")</f>
        <v>0</v>
      </c>
    </row>
    <row r="4680" spans="1:8">
      <c r="A4680" t="s">
        <v>4686</v>
      </c>
      <c r="B4680" t="s">
        <v>8997</v>
      </c>
      <c r="C4680" t="s">
        <v>6864</v>
      </c>
      <c r="D4680" t="s">
        <v>15543</v>
      </c>
      <c r="E4680" t="s">
        <v>16433</v>
      </c>
      <c r="G4680">
        <f>HYPERLINK("https://www.senat.fr/senateur-3eme-republique/tamisier_francois0425r3.html", "tamisier_francois0425r3")</f>
        <v>0</v>
      </c>
      <c r="H4680">
        <f>HYPERLINK("https://www.wikidata.org/wiki/Q1986768", "Q1986768")</f>
        <v>0</v>
      </c>
    </row>
    <row r="4681" spans="1:8">
      <c r="A4681" t="s">
        <v>4687</v>
      </c>
      <c r="B4681" t="s">
        <v>8998</v>
      </c>
      <c r="C4681" t="s">
        <v>9677</v>
      </c>
      <c r="D4681" t="s">
        <v>14594</v>
      </c>
      <c r="E4681" s="2">
        <v>15797</v>
      </c>
      <c r="G4681">
        <f>HYPERLINK("https://www.senat.fr/senateur-3eme-republique/tanguy_yves0812r3.html", "tanguy_yves0812r3")</f>
        <v>0</v>
      </c>
      <c r="H4681">
        <f>HYPERLINK("https://www.wikidata.org/wiki/Q3573978", "Q3573978")</f>
        <v>0</v>
      </c>
    </row>
    <row r="4682" spans="1:8">
      <c r="A4682" t="s">
        <v>4688</v>
      </c>
      <c r="B4682" t="s">
        <v>8999</v>
      </c>
      <c r="C4682" t="s">
        <v>9430</v>
      </c>
      <c r="D4682" t="s">
        <v>15544</v>
      </c>
      <c r="E4682" s="2">
        <v>25874</v>
      </c>
      <c r="F4682">
        <f>HYPERLINK("https://www2.assemblee-nationale.fr/sycomore/fiche/(num_dept)/6950", "6950.0")</f>
        <v>0</v>
      </c>
      <c r="H4682">
        <f>HYPERLINK("https://www.wikidata.org/wiki/Q11428374", "Q11428374")</f>
        <v>0</v>
      </c>
    </row>
    <row r="4683" spans="1:8">
      <c r="A4683" t="s">
        <v>4689</v>
      </c>
      <c r="B4683" t="s">
        <v>9000</v>
      </c>
      <c r="C4683" t="s">
        <v>9524</v>
      </c>
      <c r="D4683" t="s">
        <v>15545</v>
      </c>
      <c r="E4683" t="s">
        <v>16373</v>
      </c>
      <c r="F4683">
        <f>HYPERLINK("https://www2.assemblee-nationale.fr/sycomore/fiche/(num_dept)/8142", "8142.0")</f>
        <v>0</v>
      </c>
      <c r="H4683">
        <f>HYPERLINK("https://www.wikidata.org/wiki/Q16026533", "Q16026533")</f>
        <v>0</v>
      </c>
    </row>
    <row r="4684" spans="1:8">
      <c r="A4684" t="s">
        <v>4690</v>
      </c>
      <c r="B4684" t="s">
        <v>9000</v>
      </c>
      <c r="C4684" t="s">
        <v>11248</v>
      </c>
      <c r="D4684" t="s">
        <v>15546</v>
      </c>
      <c r="E4684" s="2">
        <v>4026</v>
      </c>
      <c r="F4684">
        <f>HYPERLINK("https://www2.assemblee-nationale.fr/sycomore/fiche/(num_dept)/6951", "6951.0")</f>
        <v>0</v>
      </c>
      <c r="H4684">
        <f>HYPERLINK("https://www.wikidata.org/wiki/Q8329566", "Q8329566")</f>
        <v>0</v>
      </c>
    </row>
    <row r="4685" spans="1:8">
      <c r="A4685" t="s">
        <v>4691</v>
      </c>
      <c r="B4685" t="s">
        <v>9001</v>
      </c>
      <c r="C4685" t="s">
        <v>11249</v>
      </c>
      <c r="D4685" t="s">
        <v>15547</v>
      </c>
      <c r="E4685" s="2">
        <v>16697</v>
      </c>
      <c r="F4685">
        <f>HYPERLINK("https://www2.assemblee-nationale.fr/sycomore/fiche/(num_dept)/6953", "6953.0")</f>
        <v>0</v>
      </c>
      <c r="H4685">
        <f>HYPERLINK("https://www.wikidata.org/wiki/Q346648", "Q346648")</f>
        <v>0</v>
      </c>
    </row>
    <row r="4686" spans="1:8">
      <c r="A4686" t="s">
        <v>4692</v>
      </c>
      <c r="B4686" t="s">
        <v>9002</v>
      </c>
      <c r="C4686" t="s">
        <v>11250</v>
      </c>
      <c r="D4686" t="s">
        <v>15548</v>
      </c>
      <c r="E4686" s="2">
        <v>5779</v>
      </c>
      <c r="F4686">
        <f>HYPERLINK("https://www2.assemblee-nationale.fr/sycomore/fiche/(num_dept)/6955", "6955.0")</f>
        <v>0</v>
      </c>
      <c r="H4686">
        <f>HYPERLINK("https://www.wikidata.org/wiki/Q16026534", "Q16026534")</f>
        <v>0</v>
      </c>
    </row>
    <row r="4687" spans="1:8">
      <c r="A4687" t="s">
        <v>4693</v>
      </c>
      <c r="B4687" t="s">
        <v>9003</v>
      </c>
      <c r="C4687" t="s">
        <v>11251</v>
      </c>
      <c r="D4687" t="s">
        <v>15549</v>
      </c>
      <c r="E4687" s="2">
        <v>6165</v>
      </c>
      <c r="F4687">
        <f>HYPERLINK("https://www2.assemblee-nationale.fr/sycomore/fiche/(num_dept)/6957", "6957.0")</f>
        <v>0</v>
      </c>
      <c r="H4687">
        <f>HYPERLINK("https://www.wikidata.org/wiki/Q16026535", "Q16026535")</f>
        <v>0</v>
      </c>
    </row>
    <row r="4688" spans="1:8">
      <c r="A4688" t="s">
        <v>4694</v>
      </c>
      <c r="B4688" t="s">
        <v>9004</v>
      </c>
      <c r="C4688" t="s">
        <v>8384</v>
      </c>
      <c r="D4688" t="s">
        <v>15550</v>
      </c>
      <c r="E4688" s="2">
        <v>3247</v>
      </c>
      <c r="F4688">
        <f>HYPERLINK("https://www2.assemblee-nationale.fr/sycomore/fiche/(num_dept)/6959", "6959.0")</f>
        <v>0</v>
      </c>
      <c r="G4688">
        <f>HYPERLINK("https://www.senat.fr/senateur-3eme-republique/tassin_pierre0376r3.html", "tassin_pierre0376r3")</f>
        <v>0</v>
      </c>
      <c r="H4688">
        <f>HYPERLINK("https://www.wikidata.org/wiki/Q2420595", "Q2420595")</f>
        <v>0</v>
      </c>
    </row>
    <row r="4689" spans="1:8">
      <c r="A4689" t="s">
        <v>4695</v>
      </c>
      <c r="B4689" t="s">
        <v>9005</v>
      </c>
      <c r="C4689" t="s">
        <v>9324</v>
      </c>
      <c r="D4689" t="s">
        <v>15551</v>
      </c>
      <c r="E4689" s="2">
        <v>16114</v>
      </c>
      <c r="G4689">
        <f>HYPERLINK("https://www.senat.fr/senateur-3eme-republique/tasso_henri0331r3.html", "tasso_henri0331r3")</f>
        <v>0</v>
      </c>
      <c r="H4689">
        <f>HYPERLINK("https://www.wikidata.org/wiki/Q3132056", "Q3132056")</f>
        <v>0</v>
      </c>
    </row>
    <row r="4690" spans="1:8">
      <c r="A4690" t="s">
        <v>4696</v>
      </c>
      <c r="B4690" t="s">
        <v>9006</v>
      </c>
      <c r="C4690" t="s">
        <v>9324</v>
      </c>
      <c r="D4690" t="s">
        <v>15552</v>
      </c>
      <c r="E4690" s="2">
        <v>16114</v>
      </c>
      <c r="F4690">
        <f>HYPERLINK("https://www2.assemblee-nationale.fr/sycomore/fiche/(num_dept)/6960", "6960.0")</f>
        <v>0</v>
      </c>
      <c r="H4690">
        <f>HYPERLINK("https://www.wikidata.org/wiki/Q3132056", "Q3132056")</f>
        <v>0</v>
      </c>
    </row>
    <row r="4691" spans="1:8">
      <c r="A4691" t="s">
        <v>4697</v>
      </c>
      <c r="B4691" t="s">
        <v>9007</v>
      </c>
      <c r="C4691" t="s">
        <v>11252</v>
      </c>
      <c r="D4691" t="s">
        <v>15553</v>
      </c>
      <c r="E4691" s="2">
        <v>18819</v>
      </c>
      <c r="F4691">
        <f>HYPERLINK("https://www2.assemblee-nationale.fr/sycomore/fiche/(num_dept)/6962", "6962.0")</f>
        <v>0</v>
      </c>
      <c r="H4691">
        <f>HYPERLINK("https://www.wikidata.org/wiki/Q3241970", "Q3241970")</f>
        <v>0</v>
      </c>
    </row>
    <row r="4692" spans="1:8">
      <c r="A4692" t="s">
        <v>4698</v>
      </c>
      <c r="B4692" t="s">
        <v>9008</v>
      </c>
      <c r="C4692" t="s">
        <v>10533</v>
      </c>
      <c r="D4692" t="s">
        <v>15554</v>
      </c>
      <c r="E4692" s="2">
        <v>14032</v>
      </c>
      <c r="F4692">
        <f>HYPERLINK("https://www2.assemblee-nationale.fr/sycomore/fiche/(num_dept)/6963", "6963.0")</f>
        <v>0</v>
      </c>
      <c r="H4692">
        <f>HYPERLINK("https://www.wikidata.org/wiki/Q3260934", "Q3260934")</f>
        <v>0</v>
      </c>
    </row>
    <row r="4693" spans="1:8">
      <c r="A4693" t="s">
        <v>4699</v>
      </c>
      <c r="B4693" t="s">
        <v>9009</v>
      </c>
      <c r="C4693" t="s">
        <v>11253</v>
      </c>
      <c r="D4693" t="s">
        <v>15555</v>
      </c>
      <c r="E4693" s="2">
        <v>5614</v>
      </c>
      <c r="F4693">
        <f>HYPERLINK("https://www2.assemblee-nationale.fr/sycomore/fiche/(num_dept)/6967", "6967.0")</f>
        <v>0</v>
      </c>
      <c r="H4693">
        <f>HYPERLINK("https://www.wikidata.org/wiki/Q16026537", "Q16026537")</f>
        <v>0</v>
      </c>
    </row>
    <row r="4694" spans="1:8">
      <c r="A4694" t="s">
        <v>4700</v>
      </c>
      <c r="B4694" t="s">
        <v>9009</v>
      </c>
      <c r="C4694" t="s">
        <v>11254</v>
      </c>
      <c r="D4694" t="s">
        <v>15556</v>
      </c>
      <c r="E4694" s="2">
        <v>5241</v>
      </c>
      <c r="F4694">
        <f>HYPERLINK("https://www2.assemblee-nationale.fr/sycomore/fiche/(num_dept)/6966", "6966.0")</f>
        <v>0</v>
      </c>
      <c r="H4694">
        <f>HYPERLINK("https://www.wikidata.org/wiki/Q16026536", "Q16026536")</f>
        <v>0</v>
      </c>
    </row>
    <row r="4695" spans="1:8">
      <c r="A4695" t="s">
        <v>4701</v>
      </c>
      <c r="B4695" t="s">
        <v>9009</v>
      </c>
      <c r="C4695" t="s">
        <v>10917</v>
      </c>
      <c r="D4695" t="s">
        <v>15557</v>
      </c>
      <c r="E4695" s="2">
        <v>24815</v>
      </c>
      <c r="F4695">
        <f>HYPERLINK("https://www2.assemblee-nationale.fr/sycomore/fiche/(num_dept)/6965", "6965.0")</f>
        <v>0</v>
      </c>
      <c r="H4695">
        <f>HYPERLINK("https://www.wikidata.org/wiki/Q3588766", "Q3588766")</f>
        <v>0</v>
      </c>
    </row>
    <row r="4696" spans="1:8">
      <c r="A4696" t="s">
        <v>4702</v>
      </c>
      <c r="B4696" t="s">
        <v>9010</v>
      </c>
      <c r="C4696" t="s">
        <v>9524</v>
      </c>
      <c r="D4696" t="s">
        <v>15558</v>
      </c>
      <c r="E4696" s="2">
        <v>14215</v>
      </c>
      <c r="G4696">
        <f>HYPERLINK("https://www.senat.fr/senateur-3eme-republique/taufflieb_emile1100r3.html", "taufflieb_emile1100r3")</f>
        <v>0</v>
      </c>
      <c r="H4696">
        <f>HYPERLINK("https://www.wikidata.org/wiki/Q3588767", "Q3588767")</f>
        <v>0</v>
      </c>
    </row>
    <row r="4697" spans="1:8">
      <c r="A4697" t="s">
        <v>4703</v>
      </c>
      <c r="B4697" t="s">
        <v>9011</v>
      </c>
      <c r="C4697" t="s">
        <v>7001</v>
      </c>
      <c r="D4697" t="s">
        <v>14141</v>
      </c>
      <c r="E4697" t="s">
        <v>16434</v>
      </c>
      <c r="G4697">
        <f>HYPERLINK("https://www.senat.fr/senateur-3eme-republique/taulier_georges1702r3.html", "taulier_georges1702r3")</f>
        <v>0</v>
      </c>
      <c r="H4697">
        <f>HYPERLINK("https://www.wikidata.org/wiki/Q3103524", "Q3103524")</f>
        <v>0</v>
      </c>
    </row>
    <row r="4698" spans="1:8">
      <c r="A4698" t="s">
        <v>4704</v>
      </c>
      <c r="B4698" t="s">
        <v>9012</v>
      </c>
      <c r="C4698" t="s">
        <v>7342</v>
      </c>
      <c r="D4698" t="s">
        <v>15559</v>
      </c>
      <c r="E4698" s="2">
        <v>21480</v>
      </c>
      <c r="F4698">
        <f>HYPERLINK("https://www2.assemblee-nationale.fr/sycomore/fiche/(num_dept)/6969", "6969.0")</f>
        <v>0</v>
      </c>
      <c r="G4698">
        <f>HYPERLINK("https://www.senat.fr/senateur-3eme-republique/taurines_jean1357r3.html", "taurines_jean1357r3")</f>
        <v>0</v>
      </c>
      <c r="H4698">
        <f>HYPERLINK("https://www.wikidata.org/wiki/Q3174745", "Q3174745")</f>
        <v>0</v>
      </c>
    </row>
    <row r="4699" spans="1:8">
      <c r="A4699" t="s">
        <v>4705</v>
      </c>
      <c r="B4699" t="s">
        <v>9013</v>
      </c>
      <c r="C4699" t="s">
        <v>7342</v>
      </c>
      <c r="D4699" t="s">
        <v>15560</v>
      </c>
      <c r="E4699" s="2">
        <v>9155</v>
      </c>
      <c r="F4699">
        <f>HYPERLINK("https://www2.assemblee-nationale.fr/sycomore/fiche/(num_dept)/6970", "6970.0")</f>
        <v>0</v>
      </c>
      <c r="H4699">
        <f>HYPERLINK("https://www.wikidata.org/wiki/Q16026538", "Q16026538")</f>
        <v>0</v>
      </c>
    </row>
    <row r="4700" spans="1:8">
      <c r="A4700" t="s">
        <v>4706</v>
      </c>
      <c r="B4700" t="s">
        <v>9014</v>
      </c>
      <c r="C4700" t="s">
        <v>11255</v>
      </c>
      <c r="D4700" t="s">
        <v>15561</v>
      </c>
      <c r="E4700" s="2">
        <v>2616</v>
      </c>
      <c r="F4700">
        <f>HYPERLINK("https://www2.assemblee-nationale.fr/sycomore/fiche/(num_dept)/8161", "8161.0")</f>
        <v>0</v>
      </c>
      <c r="H4700">
        <f>HYPERLINK("https://www.wikidata.org/wiki/Q16026548", "Q16026548")</f>
        <v>0</v>
      </c>
    </row>
    <row r="4701" spans="1:8">
      <c r="A4701" t="s">
        <v>4707</v>
      </c>
      <c r="B4701" t="s">
        <v>9015</v>
      </c>
      <c r="C4701" t="s">
        <v>8384</v>
      </c>
      <c r="D4701" t="s">
        <v>15562</v>
      </c>
      <c r="E4701" t="s">
        <v>16435</v>
      </c>
      <c r="G4701">
        <f>HYPERLINK("https://www.senat.fr/senateur-3eme-republique/teisserenc_de_bort_pierre1775r3.html", "teisserenc_de_bort_pierre1775r3")</f>
        <v>0</v>
      </c>
      <c r="H4701">
        <f>HYPERLINK("https://www.wikidata.org/wiki/Q2093418", "Q2093418")</f>
        <v>0</v>
      </c>
    </row>
    <row r="4702" spans="1:8">
      <c r="A4702" t="s">
        <v>4708</v>
      </c>
      <c r="B4702" t="s">
        <v>9015</v>
      </c>
      <c r="C4702" t="s">
        <v>9482</v>
      </c>
      <c r="D4702" t="s">
        <v>15563</v>
      </c>
      <c r="E4702" s="2">
        <v>4497</v>
      </c>
      <c r="G4702">
        <f>HYPERLINK("https://www.senat.fr/senateur-3eme-republique/teisserenc_de_bort_edmond1790r3.html", "teisserenc_de_bort_edmond1790r3")</f>
        <v>0</v>
      </c>
      <c r="H4702">
        <f>HYPERLINK("https://www.wikidata.org/wiki/Q3047999", "Q3047999")</f>
        <v>0</v>
      </c>
    </row>
    <row r="4703" spans="1:8">
      <c r="A4703" t="s">
        <v>4709</v>
      </c>
      <c r="B4703" t="s">
        <v>9016</v>
      </c>
      <c r="C4703" t="s">
        <v>9430</v>
      </c>
      <c r="D4703" t="s">
        <v>15564</v>
      </c>
      <c r="E4703" s="2">
        <v>1821</v>
      </c>
      <c r="G4703">
        <f>HYPERLINK("https://www.senat.fr/senateur-3eme-republique/tellier_paul1654r3.html", "tellier_paul1654r3")</f>
        <v>0</v>
      </c>
      <c r="H4703">
        <f>HYPERLINK("https://www.wikidata.org/wiki/Q3372259", "Q3372259")</f>
        <v>0</v>
      </c>
    </row>
    <row r="4704" spans="1:8">
      <c r="A4704" t="s">
        <v>4710</v>
      </c>
      <c r="B4704" t="s">
        <v>9017</v>
      </c>
      <c r="C4704" t="s">
        <v>9457</v>
      </c>
      <c r="D4704" t="s">
        <v>15565</v>
      </c>
      <c r="E4704" s="2">
        <v>19996</v>
      </c>
      <c r="F4704">
        <f>HYPERLINK("https://www2.assemblee-nationale.fr/sycomore/fiche/(num_dept)/6980", "6980.0")</f>
        <v>0</v>
      </c>
      <c r="H4704">
        <f>HYPERLINK("https://www.wikidata.org/wiki/Q2839976", "Q2839976")</f>
        <v>0</v>
      </c>
    </row>
    <row r="4705" spans="1:8">
      <c r="A4705" t="s">
        <v>4711</v>
      </c>
      <c r="B4705" t="s">
        <v>9018</v>
      </c>
      <c r="C4705" t="s">
        <v>11256</v>
      </c>
      <c r="D4705" t="s">
        <v>15397</v>
      </c>
      <c r="E4705" s="2">
        <v>5857</v>
      </c>
      <c r="F4705">
        <f>HYPERLINK("https://www2.assemblee-nationale.fr/sycomore/fiche/(num_dept)/7057", "7057.0")</f>
        <v>0</v>
      </c>
      <c r="H4705">
        <f>HYPERLINK("https://www.wikidata.org/wiki/Q16026556", "Q16026556")</f>
        <v>0</v>
      </c>
    </row>
    <row r="4706" spans="1:8">
      <c r="A4706" t="s">
        <v>4712</v>
      </c>
      <c r="B4706" t="s">
        <v>9018</v>
      </c>
      <c r="C4706" t="s">
        <v>9941</v>
      </c>
      <c r="D4706" t="s">
        <v>15566</v>
      </c>
      <c r="E4706" s="2">
        <v>32466</v>
      </c>
      <c r="F4706">
        <f>HYPERLINK("https://www2.assemblee-nationale.fr/sycomore/fiche/(num_dept)/6982", "6982.0")</f>
        <v>0</v>
      </c>
      <c r="H4706">
        <f>HYPERLINK("https://www.wikidata.org/wiki/Q3052875", "Q3052875")</f>
        <v>0</v>
      </c>
    </row>
    <row r="4707" spans="1:8">
      <c r="A4707" t="s">
        <v>4713</v>
      </c>
      <c r="B4707" t="s">
        <v>9019</v>
      </c>
      <c r="C4707" t="s">
        <v>6686</v>
      </c>
      <c r="D4707" t="s">
        <v>15567</v>
      </c>
      <c r="E4707" t="s">
        <v>16436</v>
      </c>
      <c r="G4707">
        <f>HYPERLINK("https://www.senat.fr/senateur-3eme-republique/tenaille_saligny_etienne1234r3.html", "tenaille_saligny_etienne1234r3")</f>
        <v>0</v>
      </c>
      <c r="H4707">
        <f>HYPERLINK("https://www.wikidata.org/wiki/Q3592372", "Q3592372")</f>
        <v>0</v>
      </c>
    </row>
    <row r="4708" spans="1:8">
      <c r="A4708" t="s">
        <v>4714</v>
      </c>
      <c r="B4708" t="s">
        <v>9020</v>
      </c>
      <c r="C4708" t="s">
        <v>9324</v>
      </c>
      <c r="D4708" t="s">
        <v>12102</v>
      </c>
      <c r="E4708" s="2">
        <v>7194</v>
      </c>
      <c r="F4708">
        <f>HYPERLINK("https://www2.assemblee-nationale.fr/sycomore/fiche/(num_dept)/6984", "6984.0")</f>
        <v>0</v>
      </c>
      <c r="H4708">
        <f>HYPERLINK("https://www.wikidata.org/wiki/Q16026544", "Q16026544")</f>
        <v>0</v>
      </c>
    </row>
    <row r="4709" spans="1:8">
      <c r="A4709" t="s">
        <v>4715</v>
      </c>
      <c r="B4709" t="s">
        <v>9021</v>
      </c>
      <c r="C4709" t="s">
        <v>11257</v>
      </c>
      <c r="D4709" t="s">
        <v>15568</v>
      </c>
      <c r="E4709" s="2">
        <v>11105</v>
      </c>
      <c r="F4709">
        <f>HYPERLINK("https://www2.assemblee-nationale.fr/sycomore/fiche/(num_dept)/6986", "6986.0")</f>
        <v>0</v>
      </c>
      <c r="H4709">
        <f>HYPERLINK("https://www.wikidata.org/wiki/Q3301446", "Q3301446")</f>
        <v>0</v>
      </c>
    </row>
    <row r="4710" spans="1:8">
      <c r="A4710" t="s">
        <v>4716</v>
      </c>
      <c r="B4710" t="s">
        <v>9022</v>
      </c>
      <c r="C4710" t="s">
        <v>9333</v>
      </c>
      <c r="D4710" t="s">
        <v>15569</v>
      </c>
      <c r="E4710" s="2">
        <v>14095</v>
      </c>
      <c r="F4710">
        <f>HYPERLINK("https://www2.assemblee-nationale.fr/sycomore/fiche/(num_dept)/6985", "6985.0")</f>
        <v>0</v>
      </c>
      <c r="H4710">
        <f>HYPERLINK("https://www.wikidata.org/wiki/Q16026545", "Q16026545")</f>
        <v>0</v>
      </c>
    </row>
    <row r="4711" spans="1:8">
      <c r="A4711" t="s">
        <v>4717</v>
      </c>
      <c r="B4711" t="s">
        <v>9023</v>
      </c>
      <c r="C4711" t="s">
        <v>11258</v>
      </c>
      <c r="D4711" t="s">
        <v>15570</v>
      </c>
      <c r="E4711" t="s">
        <v>16437</v>
      </c>
      <c r="F4711">
        <f>HYPERLINK("https://www2.assemblee-nationale.fr/sycomore/fiche/(num_dept)/6987", "6987.0")</f>
        <v>0</v>
      </c>
      <c r="H4711">
        <f>HYPERLINK("https://www.wikidata.org/wiki/Q27899382", "Q27899382")</f>
        <v>0</v>
      </c>
    </row>
    <row r="4712" spans="1:8">
      <c r="A4712" t="s">
        <v>4718</v>
      </c>
      <c r="B4712" t="s">
        <v>9024</v>
      </c>
      <c r="C4712" t="s">
        <v>11259</v>
      </c>
      <c r="D4712" t="s">
        <v>15571</v>
      </c>
      <c r="E4712" s="2">
        <v>14200</v>
      </c>
      <c r="F4712">
        <f>HYPERLINK("https://www2.assemblee-nationale.fr/sycomore/fiche/(num_dept)/6988", "6988.0")</f>
        <v>0</v>
      </c>
      <c r="H4712">
        <f>HYPERLINK("https://www.wikidata.org/wiki/Q16026546", "Q16026546")</f>
        <v>0</v>
      </c>
    </row>
    <row r="4713" spans="1:8">
      <c r="A4713" t="s">
        <v>4719</v>
      </c>
      <c r="B4713" t="s">
        <v>9025</v>
      </c>
      <c r="C4713" t="s">
        <v>11260</v>
      </c>
      <c r="D4713" t="s">
        <v>15572</v>
      </c>
      <c r="E4713" s="2">
        <v>11249</v>
      </c>
      <c r="F4713">
        <f>HYPERLINK("https://www2.assemblee-nationale.fr/sycomore/fiche/(num_dept)/6990", "6990.0")</f>
        <v>0</v>
      </c>
      <c r="H4713">
        <f>HYPERLINK("https://www.wikidata.org/wiki/Q3093972", "Q3093972")</f>
        <v>0</v>
      </c>
    </row>
    <row r="4714" spans="1:8">
      <c r="A4714" t="s">
        <v>4720</v>
      </c>
      <c r="B4714" t="s">
        <v>9026</v>
      </c>
      <c r="C4714" t="s">
        <v>11261</v>
      </c>
      <c r="D4714" t="s">
        <v>15573</v>
      </c>
      <c r="E4714" t="s">
        <v>16438</v>
      </c>
      <c r="F4714">
        <f>HYPERLINK("https://www2.assemblee-nationale.fr/sycomore/fiche/(num_dept)/6996", "6996.0")</f>
        <v>0</v>
      </c>
      <c r="H4714">
        <f>HYPERLINK("https://www.wikidata.org/wiki/Q3263166", "Q3263166")</f>
        <v>0</v>
      </c>
    </row>
    <row r="4715" spans="1:8">
      <c r="A4715" t="s">
        <v>4721</v>
      </c>
      <c r="B4715" t="s">
        <v>9027</v>
      </c>
      <c r="C4715" t="s">
        <v>11262</v>
      </c>
      <c r="D4715" t="s">
        <v>15574</v>
      </c>
      <c r="E4715" s="2">
        <v>5964</v>
      </c>
      <c r="F4715">
        <f>HYPERLINK("https://www2.assemblee-nationale.fr/sycomore/fiche/(num_dept)/6998", "6998.0")</f>
        <v>0</v>
      </c>
      <c r="H4715">
        <f>HYPERLINK("https://www.wikidata.org/wiki/Q8299209", "Q8299209")</f>
        <v>0</v>
      </c>
    </row>
    <row r="4716" spans="1:8">
      <c r="A4716" t="s">
        <v>4722</v>
      </c>
      <c r="B4716" t="s">
        <v>9028</v>
      </c>
      <c r="C4716" t="s">
        <v>11263</v>
      </c>
      <c r="D4716" t="s">
        <v>11659</v>
      </c>
      <c r="E4716" s="2">
        <v>16184</v>
      </c>
      <c r="F4716">
        <f>HYPERLINK("https://www2.assemblee-nationale.fr/sycomore/fiche/(num_dept)/6999", "6999.0")</f>
        <v>0</v>
      </c>
      <c r="H4716">
        <f>HYPERLINK("https://www.wikidata.org/wiki/Q3086325", "Q3086325")</f>
        <v>0</v>
      </c>
    </row>
    <row r="4717" spans="1:8">
      <c r="A4717" t="s">
        <v>4723</v>
      </c>
      <c r="B4717" t="s">
        <v>9029</v>
      </c>
      <c r="C4717" t="s">
        <v>10026</v>
      </c>
      <c r="D4717" t="s">
        <v>15575</v>
      </c>
      <c r="E4717" t="s">
        <v>16439</v>
      </c>
      <c r="G4717">
        <f>HYPERLINK("https://www.senat.fr/senateur-3eme-republique/testelin_achille1536r3.html", "testelin_achille1536r3")</f>
        <v>0</v>
      </c>
      <c r="H4717">
        <f>HYPERLINK("https://www.wikidata.org/wiki/Q2823110", "Q2823110")</f>
        <v>0</v>
      </c>
    </row>
    <row r="4718" spans="1:8">
      <c r="A4718" t="s">
        <v>4724</v>
      </c>
      <c r="B4718" t="s">
        <v>9030</v>
      </c>
      <c r="C4718" t="s">
        <v>11264</v>
      </c>
      <c r="D4718" t="s">
        <v>15576</v>
      </c>
      <c r="E4718" s="2">
        <v>11018</v>
      </c>
      <c r="F4718">
        <f>HYPERLINK("https://www2.assemblee-nationale.fr/sycomore/fiche/(num_dept)/7004", "7004.0")</f>
        <v>0</v>
      </c>
      <c r="H4718">
        <f>HYPERLINK("https://www.wikidata.org/wiki/Q16026547", "Q16026547")</f>
        <v>0</v>
      </c>
    </row>
    <row r="4719" spans="1:8">
      <c r="A4719" t="s">
        <v>4725</v>
      </c>
      <c r="B4719" t="s">
        <v>9031</v>
      </c>
      <c r="C4719" t="s">
        <v>9533</v>
      </c>
      <c r="D4719" t="s">
        <v>15577</v>
      </c>
      <c r="E4719" t="s">
        <v>16440</v>
      </c>
      <c r="G4719">
        <f>HYPERLINK("https://www.senat.fr/senateur-3eme-republique/tezenas_antoine0228r3.html", "tezenas_antoine0228r3")</f>
        <v>0</v>
      </c>
      <c r="H4719">
        <f>HYPERLINK("https://www.wikidata.org/wiki/Q2856758", "Q2856758")</f>
        <v>0</v>
      </c>
    </row>
    <row r="4720" spans="1:8">
      <c r="A4720" t="s">
        <v>4726</v>
      </c>
      <c r="B4720" t="s">
        <v>9032</v>
      </c>
      <c r="C4720" t="s">
        <v>9959</v>
      </c>
      <c r="D4720" t="s">
        <v>15578</v>
      </c>
      <c r="E4720" s="2">
        <v>19506</v>
      </c>
      <c r="F4720">
        <f>HYPERLINK("https://www2.assemblee-nationale.fr/sycomore/fiche/(num_dept)/7007", "7007.0")</f>
        <v>0</v>
      </c>
      <c r="H4720">
        <f>HYPERLINK("https://www.wikidata.org/wiki/Q2844709", "Q2844709")</f>
        <v>0</v>
      </c>
    </row>
    <row r="4721" spans="1:8">
      <c r="A4721" t="s">
        <v>4727</v>
      </c>
      <c r="B4721" t="s">
        <v>9033</v>
      </c>
      <c r="C4721" t="s">
        <v>9430</v>
      </c>
      <c r="D4721" t="s">
        <v>15579</v>
      </c>
      <c r="E4721" s="2">
        <v>16313</v>
      </c>
      <c r="F4721">
        <f>HYPERLINK("https://www2.assemblee-nationale.fr/sycomore/fiche/(num_dept)/7013", "7013.0")</f>
        <v>0</v>
      </c>
      <c r="H4721">
        <f>HYPERLINK("https://www.wikidata.org/wiki/Q3372274", "Q3372274")</f>
        <v>0</v>
      </c>
    </row>
    <row r="4722" spans="1:8">
      <c r="A4722" t="s">
        <v>4728</v>
      </c>
      <c r="B4722" t="s">
        <v>9034</v>
      </c>
      <c r="C4722" t="s">
        <v>9482</v>
      </c>
      <c r="D4722" t="s">
        <v>15580</v>
      </c>
      <c r="E4722" s="2">
        <v>12713</v>
      </c>
      <c r="G4722">
        <f>HYPERLINK("https://www.senat.fr/senateur-3eme-republique/theret_edmond0951r3.html", "theret_edmond0951r3")</f>
        <v>0</v>
      </c>
      <c r="H4722">
        <f>HYPERLINK("https://www.wikidata.org/wiki/Q3048001", "Q3048001")</f>
        <v>0</v>
      </c>
    </row>
    <row r="4723" spans="1:8">
      <c r="A4723" t="s">
        <v>4729</v>
      </c>
      <c r="B4723" t="s">
        <v>9035</v>
      </c>
      <c r="C4723" t="s">
        <v>9533</v>
      </c>
      <c r="D4723" t="s">
        <v>15581</v>
      </c>
      <c r="E4723" t="s">
        <v>16441</v>
      </c>
      <c r="G4723">
        <f>HYPERLINK("https://www.senat.fr/senateur-3eme-republique/thery_antoine1537r3.html", "thery_antoine1537r3")</f>
        <v>0</v>
      </c>
      <c r="H4723">
        <f>HYPERLINK("https://www.wikidata.org/wiki/Q2856763", "Q2856763")</f>
        <v>0</v>
      </c>
    </row>
    <row r="4724" spans="1:8">
      <c r="A4724" t="s">
        <v>4730</v>
      </c>
      <c r="B4724" t="s">
        <v>9036</v>
      </c>
      <c r="C4724" t="s">
        <v>11265</v>
      </c>
      <c r="D4724" t="s">
        <v>15582</v>
      </c>
      <c r="E4724" s="2">
        <v>4631</v>
      </c>
      <c r="F4724">
        <f>HYPERLINK("https://www2.assemblee-nationale.fr/sycomore/fiche/(num_dept)/7017", "7017.0")</f>
        <v>0</v>
      </c>
      <c r="H4724">
        <f>HYPERLINK("https://www.wikidata.org/wiki/Q16026550", "Q16026550")</f>
        <v>0</v>
      </c>
    </row>
    <row r="4725" spans="1:8">
      <c r="A4725" t="s">
        <v>4731</v>
      </c>
      <c r="B4725" t="s">
        <v>9037</v>
      </c>
      <c r="C4725" t="s">
        <v>6864</v>
      </c>
      <c r="D4725" t="s">
        <v>15583</v>
      </c>
      <c r="E4725" s="2">
        <v>3750</v>
      </c>
      <c r="G4725">
        <f>HYPERLINK("https://www.senat.fr/senateur-3eme-republique/thevenet_francois1147r3.html", "thevenet_francois1147r3")</f>
        <v>0</v>
      </c>
      <c r="H4725">
        <f>HYPERLINK("https://www.wikidata.org/wiki/Q3085914", "Q3085914")</f>
        <v>0</v>
      </c>
    </row>
    <row r="4726" spans="1:8">
      <c r="A4726" t="s">
        <v>4732</v>
      </c>
      <c r="B4726" t="s">
        <v>9038</v>
      </c>
      <c r="C4726" t="s">
        <v>11266</v>
      </c>
      <c r="D4726" t="s">
        <v>15584</v>
      </c>
      <c r="E4726" s="2">
        <v>10119</v>
      </c>
      <c r="F4726">
        <f>HYPERLINK("https://www2.assemblee-nationale.fr/sycomore/fiche/(num_dept)/7019", "7019.0")</f>
        <v>0</v>
      </c>
      <c r="H4726">
        <f>HYPERLINK("https://www.wikidata.org/wiki/Q16026551", "Q16026551")</f>
        <v>0</v>
      </c>
    </row>
    <row r="4727" spans="1:8">
      <c r="A4727" t="s">
        <v>4733</v>
      </c>
      <c r="B4727" t="s">
        <v>9039</v>
      </c>
      <c r="C4727" t="s">
        <v>9529</v>
      </c>
      <c r="D4727" t="s">
        <v>15585</v>
      </c>
      <c r="E4727" s="2">
        <v>2601</v>
      </c>
      <c r="G4727">
        <f>HYPERLINK("https://www.senat.fr/senateur-3eme-republique/thezard_leopold1759r3.html", "thezard_leopold1759r3")</f>
        <v>0</v>
      </c>
      <c r="H4727">
        <f>HYPERLINK("https://www.wikidata.org/wiki/Q3271895", "Q3271895")</f>
        <v>0</v>
      </c>
    </row>
    <row r="4728" spans="1:8">
      <c r="A4728" t="s">
        <v>4734</v>
      </c>
      <c r="B4728" t="s">
        <v>9040</v>
      </c>
      <c r="C4728" t="s">
        <v>7342</v>
      </c>
      <c r="D4728" t="s">
        <v>15586</v>
      </c>
      <c r="E4728" s="2">
        <v>2089</v>
      </c>
      <c r="H4728">
        <f>HYPERLINK("https://www.wikidata.org/wiki/Q1685846", "Q1685846")</f>
        <v>0</v>
      </c>
    </row>
    <row r="4729" spans="1:8">
      <c r="A4729" t="s">
        <v>4735</v>
      </c>
      <c r="B4729" t="s">
        <v>9041</v>
      </c>
      <c r="C4729" t="s">
        <v>11267</v>
      </c>
      <c r="D4729" t="s">
        <v>15587</v>
      </c>
      <c r="E4729" s="2">
        <v>19729</v>
      </c>
      <c r="F4729">
        <f>HYPERLINK("https://www2.assemblee-nationale.fr/sycomore/fiche/(num_dept)/7021", "7021.0")</f>
        <v>0</v>
      </c>
      <c r="G4729">
        <f>HYPERLINK("https://www.senat.fr/senateur-3eme-republique/thibault_albert1243r3.html", "thibault_albert1243r3")</f>
        <v>0</v>
      </c>
      <c r="H4729">
        <f>HYPERLINK("https://www.wikidata.org/wiki/Q2831577", "Q2831577")</f>
        <v>0</v>
      </c>
    </row>
    <row r="4730" spans="1:8">
      <c r="A4730" t="s">
        <v>4736</v>
      </c>
      <c r="B4730" t="s">
        <v>9042</v>
      </c>
      <c r="C4730" t="s">
        <v>7001</v>
      </c>
      <c r="D4730" t="s">
        <v>15588</v>
      </c>
      <c r="E4730" s="2">
        <v>18862</v>
      </c>
      <c r="F4730">
        <f>HYPERLINK("https://www2.assemblee-nationale.fr/sycomore/fiche/(num_dept)/7025", "7025.0")</f>
        <v>0</v>
      </c>
      <c r="H4730">
        <f>HYPERLINK("https://www.wikidata.org/wiki/Q3103533", "Q3103533")</f>
        <v>0</v>
      </c>
    </row>
    <row r="4731" spans="1:8">
      <c r="A4731" t="s">
        <v>4737</v>
      </c>
      <c r="B4731" t="s">
        <v>9043</v>
      </c>
      <c r="C4731" t="s">
        <v>11268</v>
      </c>
      <c r="D4731" t="s">
        <v>15589</v>
      </c>
      <c r="E4731" s="2">
        <v>6840</v>
      </c>
      <c r="F4731">
        <f>HYPERLINK("https://www2.assemblee-nationale.fr/sycomore/fiche/(num_dept)/7030", "7030.0")</f>
        <v>0</v>
      </c>
      <c r="H4731">
        <f>HYPERLINK("https://www.wikidata.org/wiki/Q3185677", "Q3185677")</f>
        <v>0</v>
      </c>
    </row>
    <row r="4732" spans="1:8">
      <c r="A4732" t="s">
        <v>4738</v>
      </c>
      <c r="B4732" t="s">
        <v>9044</v>
      </c>
      <c r="C4732" t="s">
        <v>9346</v>
      </c>
      <c r="D4732" t="s">
        <v>15590</v>
      </c>
      <c r="E4732" t="s">
        <v>16442</v>
      </c>
      <c r="F4732">
        <f>HYPERLINK("https://www2.assemblee-nationale.fr/sycomore/fiche/(num_dept)/7031", "7031.0")</f>
        <v>0</v>
      </c>
      <c r="H4732">
        <f>HYPERLINK("https://www.wikidata.org/wiki/Q3580042", "Q3580042")</f>
        <v>0</v>
      </c>
    </row>
    <row r="4733" spans="1:8">
      <c r="A4733" t="s">
        <v>4739</v>
      </c>
      <c r="B4733" t="s">
        <v>9045</v>
      </c>
      <c r="C4733" t="s">
        <v>7549</v>
      </c>
      <c r="D4733" t="s">
        <v>14720</v>
      </c>
      <c r="E4733" s="2">
        <v>10056</v>
      </c>
      <c r="G4733">
        <f>HYPERLINK("https://www.senat.fr/senateur-3eme-republique/thiery_laurent1819r3.html", "thiery_laurent1819r3")</f>
        <v>0</v>
      </c>
      <c r="H4733">
        <f>HYPERLINK("https://www.wikidata.org/wiki/Q3219536", "Q3219536")</f>
        <v>0</v>
      </c>
    </row>
    <row r="4734" spans="1:8">
      <c r="A4734" t="s">
        <v>4740</v>
      </c>
      <c r="B4734" t="s">
        <v>9046</v>
      </c>
      <c r="C4734" t="s">
        <v>5058</v>
      </c>
      <c r="D4734" t="s">
        <v>15591</v>
      </c>
      <c r="E4734" s="2">
        <v>21190</v>
      </c>
      <c r="F4734">
        <f>HYPERLINK("https://www2.assemblee-nationale.fr/sycomore/fiche/(num_dept)/7033", "7033.0")</f>
        <v>0</v>
      </c>
      <c r="H4734">
        <f>HYPERLINK("https://www.wikidata.org/wiki/Q16026552", "Q16026552")</f>
        <v>0</v>
      </c>
    </row>
    <row r="4735" spans="1:8">
      <c r="A4735" t="s">
        <v>4741</v>
      </c>
      <c r="B4735" t="s">
        <v>9047</v>
      </c>
      <c r="C4735" t="s">
        <v>11269</v>
      </c>
      <c r="D4735" t="s">
        <v>15592</v>
      </c>
      <c r="E4735" s="2">
        <v>4392</v>
      </c>
      <c r="F4735">
        <f>HYPERLINK("https://www2.assemblee-nationale.fr/sycomore/fiche/(num_dept)/8049", "8049.0")</f>
        <v>0</v>
      </c>
      <c r="H4735">
        <f>HYPERLINK("https://www.wikidata.org/wiki/Q16026553", "Q16026553")</f>
        <v>0</v>
      </c>
    </row>
    <row r="4736" spans="1:8">
      <c r="A4736" t="s">
        <v>4742</v>
      </c>
      <c r="B4736" t="s">
        <v>9048</v>
      </c>
      <c r="C4736" t="s">
        <v>11270</v>
      </c>
      <c r="D4736" s="2">
        <v>473</v>
      </c>
      <c r="E4736" s="2">
        <v>23450</v>
      </c>
      <c r="F4736">
        <f>HYPERLINK("https://www2.assemblee-nationale.fr/sycomore/fiche/(num_dept)/7035", "7035.0")</f>
        <v>0</v>
      </c>
      <c r="H4736">
        <f>HYPERLINK("https://www.wikidata.org/wiki/Q3301450", "Q3301450")</f>
        <v>0</v>
      </c>
    </row>
    <row r="4737" spans="1:8">
      <c r="A4737" t="s">
        <v>4743</v>
      </c>
      <c r="B4737" t="s">
        <v>9049</v>
      </c>
      <c r="C4737" t="s">
        <v>11271</v>
      </c>
      <c r="D4737" t="s">
        <v>15593</v>
      </c>
      <c r="E4737" s="2">
        <v>334</v>
      </c>
      <c r="F4737">
        <f>HYPERLINK("https://www2.assemblee-nationale.fr/sycomore/fiche/(num_dept)/7037", "7037.0")</f>
        <v>0</v>
      </c>
      <c r="H4737">
        <f>HYPERLINK("https://www.wikidata.org/wiki/Q16026522", "Q16026522")</f>
        <v>0</v>
      </c>
    </row>
    <row r="4738" spans="1:8">
      <c r="A4738" t="s">
        <v>4744</v>
      </c>
      <c r="B4738" t="s">
        <v>9050</v>
      </c>
      <c r="C4738" t="s">
        <v>11272</v>
      </c>
      <c r="D4738" t="s">
        <v>15594</v>
      </c>
      <c r="E4738" t="s">
        <v>16443</v>
      </c>
      <c r="F4738">
        <f>HYPERLINK("https://www2.assemblee-nationale.fr/sycomore/fiche/(num_dept)/7038", "7038.0")</f>
        <v>0</v>
      </c>
      <c r="H4738">
        <f>HYPERLINK("https://www.wikidata.org/wiki/Q2966499", "Q2966499")</f>
        <v>0</v>
      </c>
    </row>
    <row r="4739" spans="1:8">
      <c r="A4739" t="s">
        <v>4745</v>
      </c>
      <c r="B4739" t="s">
        <v>9050</v>
      </c>
      <c r="C4739" t="s">
        <v>11273</v>
      </c>
      <c r="D4739" t="s">
        <v>15595</v>
      </c>
      <c r="E4739" s="2">
        <v>7671</v>
      </c>
      <c r="F4739">
        <f>HYPERLINK("https://www2.assemblee-nationale.fr/sycomore/fiche/(num_dept)/7040", "7040.0")</f>
        <v>0</v>
      </c>
      <c r="H4739">
        <f>HYPERLINK("https://www.wikidata.org/wiki/Q16026554", "Q16026554")</f>
        <v>0</v>
      </c>
    </row>
    <row r="4740" spans="1:8">
      <c r="A4740" t="s">
        <v>4746</v>
      </c>
      <c r="B4740" t="s">
        <v>9050</v>
      </c>
      <c r="C4740" t="s">
        <v>11274</v>
      </c>
      <c r="D4740" t="s">
        <v>15596</v>
      </c>
      <c r="E4740" s="2">
        <v>16197</v>
      </c>
      <c r="F4740">
        <f>HYPERLINK("https://www2.assemblee-nationale.fr/sycomore/fiche/(num_dept)/7039", "7039.0")</f>
        <v>0</v>
      </c>
      <c r="H4740">
        <f>HYPERLINK("https://www.wikidata.org/wiki/Q3155329", "Q3155329")</f>
        <v>0</v>
      </c>
    </row>
    <row r="4741" spans="1:8">
      <c r="A4741" t="s">
        <v>4747</v>
      </c>
      <c r="B4741" t="s">
        <v>9051</v>
      </c>
      <c r="C4741" t="s">
        <v>9810</v>
      </c>
      <c r="D4741" t="s">
        <v>15597</v>
      </c>
      <c r="E4741" s="2">
        <v>30211</v>
      </c>
      <c r="F4741">
        <f>HYPERLINK("https://www2.assemblee-nationale.fr/sycomore/fiche/(num_dept)/7026", "7026.0")</f>
        <v>0</v>
      </c>
      <c r="H4741">
        <f>HYPERLINK("https://www.wikidata.org/wiki/Q3099167", "Q3099167")</f>
        <v>0</v>
      </c>
    </row>
    <row r="4742" spans="1:8">
      <c r="A4742" t="s">
        <v>4748</v>
      </c>
      <c r="B4742" t="s">
        <v>9052</v>
      </c>
      <c r="C4742" t="s">
        <v>11275</v>
      </c>
      <c r="D4742" t="s">
        <v>15598</v>
      </c>
      <c r="E4742" s="2">
        <v>10217</v>
      </c>
      <c r="F4742">
        <f>HYPERLINK("https://www2.assemblee-nationale.fr/sycomore/fiche/(num_dept)/2261", "2261.0")</f>
        <v>0</v>
      </c>
      <c r="H4742">
        <f>HYPERLINK("https://www.wikidata.org/wiki/Q8323934", "Q8323934")</f>
        <v>0</v>
      </c>
    </row>
    <row r="4743" spans="1:8">
      <c r="A4743" t="s">
        <v>4749</v>
      </c>
      <c r="B4743" t="s">
        <v>9053</v>
      </c>
      <c r="C4743" t="s">
        <v>11276</v>
      </c>
      <c r="D4743" t="s">
        <v>15599</v>
      </c>
      <c r="E4743" s="2">
        <v>2293</v>
      </c>
      <c r="F4743">
        <f>HYPERLINK("https://www2.assemblee-nationale.fr/sycomore/fiche/(num_dept)/7933", "7933.0")</f>
        <v>0</v>
      </c>
      <c r="H4743">
        <f>HYPERLINK("https://www.wikidata.org/wiki/Q16026555", "Q16026555")</f>
        <v>0</v>
      </c>
    </row>
    <row r="4744" spans="1:8">
      <c r="A4744" t="s">
        <v>4750</v>
      </c>
      <c r="B4744" t="s">
        <v>9054</v>
      </c>
      <c r="C4744" t="s">
        <v>9634</v>
      </c>
      <c r="D4744" t="s">
        <v>15600</v>
      </c>
      <c r="E4744" t="s">
        <v>16444</v>
      </c>
      <c r="F4744">
        <f>HYPERLINK("https://www2.assemblee-nationale.fr/sycomore/fiche/(num_dept)/8276", "8276.0")</f>
        <v>0</v>
      </c>
      <c r="H4744">
        <f>HYPERLINK("https://www.wikidata.org/wiki/Q17628707", "Q17628707")</f>
        <v>0</v>
      </c>
    </row>
    <row r="4745" spans="1:8">
      <c r="A4745" t="s">
        <v>4751</v>
      </c>
      <c r="B4745" t="s">
        <v>9054</v>
      </c>
      <c r="C4745" t="s">
        <v>11277</v>
      </c>
      <c r="D4745" t="s">
        <v>14172</v>
      </c>
      <c r="E4745" t="s">
        <v>16445</v>
      </c>
      <c r="F4745">
        <f>HYPERLINK("https://www2.assemblee-nationale.fr/sycomore/fiche/(num_dept)/7045", "7045.0")</f>
        <v>0</v>
      </c>
      <c r="H4745">
        <f>HYPERLINK("https://www.wikidata.org/wiki/Q2835484", "Q2835484")</f>
        <v>0</v>
      </c>
    </row>
    <row r="4746" spans="1:8">
      <c r="A4746" t="s">
        <v>4752</v>
      </c>
      <c r="B4746" t="s">
        <v>9055</v>
      </c>
      <c r="C4746" t="s">
        <v>9368</v>
      </c>
      <c r="D4746" t="s">
        <v>14120</v>
      </c>
      <c r="E4746" s="2">
        <v>1324</v>
      </c>
      <c r="G4746">
        <f>HYPERLINK("https://www.senat.fr/senateur-3eme-republique/thomas_eugene1583r3.html", "thomas_eugene1583r3")</f>
        <v>0</v>
      </c>
      <c r="H4746">
        <f>HYPERLINK("https://www.wikidata.org/wiki/Q3060192", "Q3060192")</f>
        <v>0</v>
      </c>
    </row>
    <row r="4747" spans="1:8">
      <c r="A4747" t="s">
        <v>4753</v>
      </c>
      <c r="B4747" t="s">
        <v>9054</v>
      </c>
      <c r="C4747" t="s">
        <v>11278</v>
      </c>
      <c r="D4747" t="s">
        <v>15601</v>
      </c>
      <c r="E4747" s="2">
        <v>13143</v>
      </c>
      <c r="F4747">
        <f>HYPERLINK("https://www2.assemblee-nationale.fr/sycomore/fiche/(num_dept)/10601", "10601.0")</f>
        <v>0</v>
      </c>
      <c r="H4747">
        <f>HYPERLINK("https://www.wikidata.org/wiki/Q3573427", "Q3573427")</f>
        <v>0</v>
      </c>
    </row>
    <row r="4748" spans="1:8">
      <c r="A4748" t="s">
        <v>4754</v>
      </c>
      <c r="B4748" t="s">
        <v>9054</v>
      </c>
      <c r="C4748" t="s">
        <v>5058</v>
      </c>
      <c r="D4748" t="s">
        <v>11418</v>
      </c>
      <c r="E4748" s="2">
        <v>11817</v>
      </c>
      <c r="H4748">
        <f>HYPERLINK("https://www.wikidata.org/wiki/Q363255", "Q363255")</f>
        <v>0</v>
      </c>
    </row>
    <row r="4749" spans="1:8">
      <c r="A4749" t="s">
        <v>4755</v>
      </c>
      <c r="B4749" t="s">
        <v>9054</v>
      </c>
      <c r="C4749" t="s">
        <v>9511</v>
      </c>
      <c r="D4749" t="s">
        <v>15602</v>
      </c>
      <c r="E4749" s="2">
        <v>24531</v>
      </c>
      <c r="F4749">
        <f>HYPERLINK("https://www2.assemblee-nationale.fr/sycomore/fiche/(num_dept)/7049", "7049.0")</f>
        <v>0</v>
      </c>
      <c r="H4749">
        <f>HYPERLINK("https://www.wikidata.org/wiki/Q3167841", "Q3167841")</f>
        <v>0</v>
      </c>
    </row>
    <row r="4750" spans="1:8">
      <c r="A4750" t="s">
        <v>4756</v>
      </c>
      <c r="B4750" t="s">
        <v>9056</v>
      </c>
      <c r="C4750" t="s">
        <v>5096</v>
      </c>
      <c r="D4750" t="s">
        <v>15195</v>
      </c>
      <c r="E4750" s="2">
        <v>5914</v>
      </c>
      <c r="F4750">
        <f>HYPERLINK("https://www2.assemblee-nationale.fr/sycomore/fiche/(num_dept)/7053", "7053.0")</f>
        <v>0</v>
      </c>
      <c r="H4750">
        <f>HYPERLINK("https://www.wikidata.org/wiki/Q8329700", "Q8329700")</f>
        <v>0</v>
      </c>
    </row>
    <row r="4751" spans="1:8">
      <c r="A4751" t="s">
        <v>4757</v>
      </c>
      <c r="B4751" t="s">
        <v>9057</v>
      </c>
      <c r="C4751" t="s">
        <v>11279</v>
      </c>
      <c r="D4751" t="s">
        <v>15603</v>
      </c>
      <c r="E4751" s="2">
        <v>11823</v>
      </c>
      <c r="F4751">
        <f>HYPERLINK("https://www2.assemblee-nationale.fr/sycomore/fiche/(num_dept)/7055", "7055.0")</f>
        <v>0</v>
      </c>
      <c r="H4751">
        <f>HYPERLINK("https://www.wikidata.org/wiki/Q2246519", "Q2246519")</f>
        <v>0</v>
      </c>
    </row>
    <row r="4752" spans="1:8">
      <c r="A4752" t="s">
        <v>4758</v>
      </c>
      <c r="B4752" t="s">
        <v>9058</v>
      </c>
      <c r="C4752" t="s">
        <v>5330</v>
      </c>
      <c r="D4752" t="s">
        <v>15604</v>
      </c>
      <c r="E4752" s="2">
        <v>6302</v>
      </c>
      <c r="F4752">
        <f>HYPERLINK("https://www2.assemblee-nationale.fr/sycomore/fiche/(num_dept)/7056", "7056.0")</f>
        <v>0</v>
      </c>
      <c r="H4752">
        <f>HYPERLINK("https://www.wikidata.org/wiki/Q2898669", "Q2898669")</f>
        <v>0</v>
      </c>
    </row>
    <row r="4753" spans="1:8">
      <c r="A4753" t="s">
        <v>4759</v>
      </c>
      <c r="B4753" t="s">
        <v>9059</v>
      </c>
      <c r="C4753" t="s">
        <v>11280</v>
      </c>
      <c r="D4753" t="s">
        <v>15605</v>
      </c>
      <c r="E4753" s="2">
        <v>2487</v>
      </c>
      <c r="F4753">
        <f>HYPERLINK("https://www2.assemblee-nationale.fr/sycomore/fiche/(num_dept)/7062", "7062.0")</f>
        <v>0</v>
      </c>
      <c r="G4753">
        <f>HYPERLINK("https://www.senat.fr/senateur-3eme-republique/thorel_jules0739r3.html", "thorel_jules0739r3")</f>
        <v>0</v>
      </c>
      <c r="H4753">
        <f>HYPERLINK("https://www.wikidata.org/wiki/Q3188936", "Q3188936")</f>
        <v>0</v>
      </c>
    </row>
    <row r="4754" spans="1:8">
      <c r="A4754" t="s">
        <v>4760</v>
      </c>
      <c r="B4754" t="s">
        <v>9060</v>
      </c>
      <c r="C4754" t="s">
        <v>7942</v>
      </c>
      <c r="D4754" s="2">
        <v>119</v>
      </c>
      <c r="E4754" s="2">
        <v>23569</v>
      </c>
      <c r="F4754">
        <f>HYPERLINK("https://www2.assemblee-nationale.fr/sycomore/fiche/(num_dept)/7063", "7063.0")</f>
        <v>0</v>
      </c>
      <c r="H4754">
        <f>HYPERLINK("https://www.wikidata.org/wiki/Q345408", "Q345408")</f>
        <v>0</v>
      </c>
    </row>
    <row r="4755" spans="1:8">
      <c r="A4755" t="s">
        <v>4761</v>
      </c>
      <c r="B4755" t="s">
        <v>9061</v>
      </c>
      <c r="C4755" t="s">
        <v>11281</v>
      </c>
      <c r="D4755" t="s">
        <v>15606</v>
      </c>
      <c r="E4755" s="2">
        <v>10640</v>
      </c>
      <c r="F4755">
        <f>HYPERLINK("https://www2.assemblee-nationale.fr/sycomore/fiche/(num_dept)/7065", "7065.0")</f>
        <v>0</v>
      </c>
      <c r="H4755">
        <f>HYPERLINK("https://www.wikidata.org/wiki/Q16026557", "Q16026557")</f>
        <v>0</v>
      </c>
    </row>
    <row r="4756" spans="1:8">
      <c r="A4756" t="s">
        <v>4762</v>
      </c>
      <c r="B4756" t="s">
        <v>9062</v>
      </c>
      <c r="C4756" t="s">
        <v>8691</v>
      </c>
      <c r="D4756" t="s">
        <v>11659</v>
      </c>
      <c r="E4756" s="2">
        <v>17491</v>
      </c>
      <c r="F4756">
        <f>HYPERLINK("https://www2.assemblee-nationale.fr/sycomore/fiche/(num_dept)/7066", "7066.0")</f>
        <v>0</v>
      </c>
      <c r="G4756">
        <f>HYPERLINK("https://www.senat.fr/senateur-3eme-republique/thoumyre_robert1579r3.html", "thoumyre_robert1579r3")</f>
        <v>0</v>
      </c>
      <c r="H4756">
        <f>HYPERLINK("https://www.wikidata.org/wiki/Q3436407", "Q3436407")</f>
        <v>0</v>
      </c>
    </row>
    <row r="4757" spans="1:8">
      <c r="A4757" t="s">
        <v>4763</v>
      </c>
      <c r="B4757" t="s">
        <v>9063</v>
      </c>
      <c r="C4757" t="s">
        <v>5058</v>
      </c>
      <c r="D4757" t="s">
        <v>15607</v>
      </c>
      <c r="E4757" s="2">
        <v>11225</v>
      </c>
      <c r="G4757">
        <f>HYPERLINK("https://www.senat.fr/senateur-3eme-republique/thounens_albert0217r3.html", "thounens_albert0217r3")</f>
        <v>0</v>
      </c>
      <c r="H4757">
        <f>HYPERLINK("https://www.wikidata.org/wiki/Q20027620", "Q20027620")</f>
        <v>0</v>
      </c>
    </row>
    <row r="4758" spans="1:8">
      <c r="A4758" t="s">
        <v>4764</v>
      </c>
      <c r="B4758" t="s">
        <v>9064</v>
      </c>
      <c r="C4758" t="s">
        <v>9346</v>
      </c>
      <c r="D4758" t="s">
        <v>15608</v>
      </c>
      <c r="E4758" s="2">
        <v>12437</v>
      </c>
      <c r="F4758">
        <f>HYPERLINK("https://www2.assemblee-nationale.fr/sycomore/fiche/(num_dept)/7068", "7068.0")</f>
        <v>0</v>
      </c>
      <c r="H4758">
        <f>HYPERLINK("https://www.wikidata.org/wiki/Q3580046", "Q3580046")</f>
        <v>0</v>
      </c>
    </row>
    <row r="4759" spans="1:8">
      <c r="A4759" t="s">
        <v>4765</v>
      </c>
      <c r="B4759" t="s">
        <v>9065</v>
      </c>
      <c r="C4759" t="s">
        <v>9430</v>
      </c>
      <c r="D4759" t="s">
        <v>15609</v>
      </c>
      <c r="E4759" s="2">
        <v>9566</v>
      </c>
      <c r="G4759">
        <f>HYPERLINK("https://www.senat.fr/senateur-3eme-republique/thuillier_buridard_paul1692r3.html", "thuillier_buridard_paul1692r3")</f>
        <v>0</v>
      </c>
      <c r="H4759">
        <f>HYPERLINK("https://www.wikidata.org/wiki/Q3372284", "Q3372284")</f>
        <v>0</v>
      </c>
    </row>
    <row r="4760" spans="1:8">
      <c r="A4760" t="s">
        <v>4766</v>
      </c>
      <c r="B4760" t="s">
        <v>9066</v>
      </c>
      <c r="C4760" t="s">
        <v>9564</v>
      </c>
      <c r="D4760" t="s">
        <v>15610</v>
      </c>
      <c r="E4760" s="2">
        <v>4712</v>
      </c>
      <c r="G4760">
        <f>HYPERLINK("https://www.senat.fr/senateur-3eme-republique/thuillier_alfred1559r3.html", "thuillier_alfred1559r3")</f>
        <v>0</v>
      </c>
      <c r="H4760">
        <f>HYPERLINK("https://www.wikidata.org/wiki/Q13080802", "Q13080802")</f>
        <v>0</v>
      </c>
    </row>
    <row r="4761" spans="1:8">
      <c r="A4761" t="s">
        <v>4767</v>
      </c>
      <c r="B4761" t="s">
        <v>9067</v>
      </c>
      <c r="C4761" t="s">
        <v>11282</v>
      </c>
      <c r="D4761" t="s">
        <v>11711</v>
      </c>
      <c r="E4761" s="2">
        <v>15634</v>
      </c>
      <c r="F4761">
        <f>HYPERLINK("https://www2.assemblee-nationale.fr/sycomore/fiche/(num_dept)/7070", "7070.0")</f>
        <v>0</v>
      </c>
      <c r="H4761">
        <f>HYPERLINK("https://www.wikidata.org/wiki/Q3174798", "Q3174798")</f>
        <v>0</v>
      </c>
    </row>
    <row r="4762" spans="1:8">
      <c r="A4762" t="s">
        <v>4768</v>
      </c>
      <c r="B4762" t="s">
        <v>9068</v>
      </c>
      <c r="C4762" t="s">
        <v>7342</v>
      </c>
      <c r="D4762" t="s">
        <v>15611</v>
      </c>
      <c r="E4762" s="2">
        <v>15634</v>
      </c>
      <c r="G4762">
        <f>HYPERLINK("https://www.senat.fr/senateur-3eme-republique/thureau_dangin_jean1599r3.html", "thureau_dangin_jean1599r3")</f>
        <v>0</v>
      </c>
      <c r="H4762">
        <f>HYPERLINK("https://www.wikidata.org/wiki/Q3174798", "Q3174798")</f>
        <v>0</v>
      </c>
    </row>
    <row r="4763" spans="1:8">
      <c r="A4763" t="s">
        <v>4769</v>
      </c>
      <c r="B4763" t="s">
        <v>9069</v>
      </c>
      <c r="C4763" t="s">
        <v>9471</v>
      </c>
      <c r="D4763" t="s">
        <v>15612</v>
      </c>
      <c r="E4763" s="2">
        <v>1062</v>
      </c>
      <c r="G4763">
        <f>HYPERLINK("https://www.senat.fr/senateur-3eme-republique/thurel_jules0437r3.html", "thurel_jules0437r3")</f>
        <v>0</v>
      </c>
      <c r="H4763">
        <f>HYPERLINK("https://www.wikidata.org/wiki/Q3188938", "Q3188938")</f>
        <v>0</v>
      </c>
    </row>
    <row r="4764" spans="1:8">
      <c r="A4764" t="s">
        <v>4770</v>
      </c>
      <c r="B4764" t="s">
        <v>9070</v>
      </c>
      <c r="C4764" t="s">
        <v>9586</v>
      </c>
      <c r="D4764" t="s">
        <v>15613</v>
      </c>
      <c r="E4764" s="2">
        <v>26128</v>
      </c>
      <c r="F4764">
        <f>HYPERLINK("https://www2.assemblee-nationale.fr/sycomore/fiche/(num_dept)/7011", "7011.0")</f>
        <v>0</v>
      </c>
      <c r="H4764">
        <f>HYPERLINK("https://www.wikidata.org/wiki/Q3271353", "Q3271353")</f>
        <v>0</v>
      </c>
    </row>
    <row r="4765" spans="1:8">
      <c r="A4765" t="s">
        <v>4771</v>
      </c>
      <c r="B4765" t="s">
        <v>9071</v>
      </c>
      <c r="C4765" t="s">
        <v>11283</v>
      </c>
      <c r="D4765" t="s">
        <v>15614</v>
      </c>
      <c r="E4765" s="2">
        <v>20648</v>
      </c>
      <c r="F4765">
        <f>HYPERLINK("https://www2.assemblee-nationale.fr/sycomore/fiche/(num_dept)/7015", "7015.0")</f>
        <v>0</v>
      </c>
      <c r="H4765">
        <f>HYPERLINK("https://www.wikidata.org/wiki/Q14917779", "Q14917779")</f>
        <v>0</v>
      </c>
    </row>
    <row r="4766" spans="1:8">
      <c r="A4766" t="s">
        <v>4772</v>
      </c>
      <c r="B4766" t="s">
        <v>9072</v>
      </c>
      <c r="C4766" t="s">
        <v>9414</v>
      </c>
      <c r="D4766" t="s">
        <v>13889</v>
      </c>
      <c r="E4766" s="2">
        <v>4231</v>
      </c>
      <c r="F4766">
        <f>HYPERLINK("https://www2.assemblee-nationale.fr/sycomore/fiche/(num_dept)/7016", "7016.0")</f>
        <v>0</v>
      </c>
      <c r="H4766">
        <f>HYPERLINK("https://www.wikidata.org/wiki/Q3068657", "Q3068657")</f>
        <v>0</v>
      </c>
    </row>
    <row r="4767" spans="1:8">
      <c r="A4767" t="s">
        <v>4773</v>
      </c>
      <c r="B4767" t="s">
        <v>9073</v>
      </c>
      <c r="C4767" t="s">
        <v>9483</v>
      </c>
      <c r="D4767" t="s">
        <v>15583</v>
      </c>
      <c r="E4767" s="2">
        <v>3750</v>
      </c>
      <c r="F4767">
        <f>HYPERLINK("https://www2.assemblee-nationale.fr/sycomore/fiche/(num_dept)/7018", "7018.0")</f>
        <v>0</v>
      </c>
      <c r="H4767">
        <f>HYPERLINK("https://www.wikidata.org/wiki/Q3085914", "Q3085914")</f>
        <v>0</v>
      </c>
    </row>
    <row r="4768" spans="1:8">
      <c r="A4768" t="s">
        <v>4774</v>
      </c>
      <c r="B4768" t="s">
        <v>9074</v>
      </c>
      <c r="C4768" t="s">
        <v>9482</v>
      </c>
      <c r="D4768" t="s">
        <v>15615</v>
      </c>
      <c r="E4768" t="s">
        <v>16446</v>
      </c>
      <c r="F4768">
        <f>HYPERLINK("https://www2.assemblee-nationale.fr/sycomore/fiche/(num_dept)/7072", "7072.0")</f>
        <v>0</v>
      </c>
      <c r="H4768">
        <f>HYPERLINK("https://www.wikidata.org/wiki/Q11918029", "Q11918029")</f>
        <v>0</v>
      </c>
    </row>
    <row r="4769" spans="1:8">
      <c r="A4769" t="s">
        <v>4775</v>
      </c>
      <c r="B4769" t="s">
        <v>9075</v>
      </c>
      <c r="C4769" t="s">
        <v>7754</v>
      </c>
      <c r="D4769" t="s">
        <v>15616</v>
      </c>
      <c r="E4769" s="2">
        <v>11071</v>
      </c>
      <c r="F4769">
        <f>HYPERLINK("https://www2.assemblee-nationale.fr/sycomore/fiche/(num_dept)/7073", "7073.0")</f>
        <v>0</v>
      </c>
      <c r="H4769">
        <f>HYPERLINK("https://www.wikidata.org/wiki/Q13080939", "Q13080939")</f>
        <v>0</v>
      </c>
    </row>
    <row r="4770" spans="1:8">
      <c r="A4770" t="s">
        <v>4776</v>
      </c>
      <c r="B4770" t="s">
        <v>9076</v>
      </c>
      <c r="C4770" t="s">
        <v>7754</v>
      </c>
      <c r="D4770" t="s">
        <v>12308</v>
      </c>
      <c r="E4770" s="2">
        <v>4876</v>
      </c>
      <c r="G4770">
        <f>HYPERLINK("https://www.senat.fr/senateur-3eme-republique/tillaye_louis0336r3.html", "tillaye_louis0336r3")</f>
        <v>0</v>
      </c>
      <c r="H4770">
        <f>HYPERLINK("https://www.wikidata.org/wiki/Q3261486", "Q3261486")</f>
        <v>0</v>
      </c>
    </row>
    <row r="4771" spans="1:8">
      <c r="A4771" t="s">
        <v>4777</v>
      </c>
      <c r="B4771" t="s">
        <v>9077</v>
      </c>
      <c r="C4771" t="s">
        <v>9373</v>
      </c>
      <c r="D4771" t="s">
        <v>15617</v>
      </c>
      <c r="E4771" s="2">
        <v>16881</v>
      </c>
      <c r="F4771">
        <f>HYPERLINK("https://www2.assemblee-nationale.fr/sycomore/fiche/(num_dept)/7075", "7075.0")</f>
        <v>0</v>
      </c>
      <c r="H4771">
        <f>HYPERLINK("https://www.wikidata.org/wiki/Q16026558", "Q16026558")</f>
        <v>0</v>
      </c>
    </row>
    <row r="4772" spans="1:8">
      <c r="A4772" t="s">
        <v>4778</v>
      </c>
      <c r="B4772" t="s">
        <v>9078</v>
      </c>
      <c r="C4772" t="s">
        <v>11284</v>
      </c>
      <c r="D4772" t="s">
        <v>15618</v>
      </c>
      <c r="E4772" s="2">
        <v>22562</v>
      </c>
      <c r="F4772">
        <f>HYPERLINK("https://www2.assemblee-nationale.fr/sycomore/fiche/(num_dept)/7077", "7077.0")</f>
        <v>0</v>
      </c>
      <c r="H4772">
        <f>HYPERLINK("https://www.wikidata.org/wiki/Q3060191", "Q3060191")</f>
        <v>0</v>
      </c>
    </row>
    <row r="4773" spans="1:8">
      <c r="A4773" t="s">
        <v>4779</v>
      </c>
      <c r="B4773" t="s">
        <v>9079</v>
      </c>
      <c r="C4773" t="s">
        <v>9564</v>
      </c>
      <c r="D4773" t="s">
        <v>15619</v>
      </c>
      <c r="E4773" s="2">
        <v>5350</v>
      </c>
      <c r="F4773">
        <f>HYPERLINK("https://www2.assemblee-nationale.fr/sycomore/fiche/(num_dept)/7082", "7082.0")</f>
        <v>0</v>
      </c>
      <c r="H4773">
        <f>HYPERLINK("https://www.wikidata.org/wiki/Q8337934", "Q8337934")</f>
        <v>0</v>
      </c>
    </row>
    <row r="4774" spans="1:8">
      <c r="A4774" t="s">
        <v>4780</v>
      </c>
      <c r="B4774" t="s">
        <v>9080</v>
      </c>
      <c r="C4774" t="s">
        <v>11285</v>
      </c>
      <c r="D4774" t="s">
        <v>14485</v>
      </c>
      <c r="E4774" t="s">
        <v>16447</v>
      </c>
      <c r="F4774">
        <f>HYPERLINK("https://www2.assemblee-nationale.fr/sycomore/fiche/(num_dept)/8246", "8246.0")</f>
        <v>0</v>
      </c>
      <c r="G4774">
        <f>HYPERLINK("https://www.senat.fr/senateur-3eme-republique/tirard_pierre1538r3.html", "tirard_pierre1538r3")</f>
        <v>0</v>
      </c>
      <c r="H4774">
        <f>HYPERLINK("https://www.wikidata.org/wiki/Q708359", "Q708359")</f>
        <v>0</v>
      </c>
    </row>
    <row r="4775" spans="1:8">
      <c r="A4775" t="s">
        <v>4781</v>
      </c>
      <c r="B4775" t="s">
        <v>9081</v>
      </c>
      <c r="C4775" t="s">
        <v>7754</v>
      </c>
      <c r="D4775" t="s">
        <v>14749</v>
      </c>
      <c r="E4775" t="s">
        <v>16448</v>
      </c>
      <c r="G4775">
        <f>HYPERLINK("https://www.senat.fr/senateur-3eme-republique/tirman_louis0161r3.html", "tirman_louis0161r3")</f>
        <v>0</v>
      </c>
      <c r="H4775">
        <f>HYPERLINK("https://www.wikidata.org/wiki/Q3263198", "Q3263198")</f>
        <v>0</v>
      </c>
    </row>
    <row r="4776" spans="1:8">
      <c r="A4776" t="s">
        <v>4782</v>
      </c>
      <c r="B4776" t="s">
        <v>9082</v>
      </c>
      <c r="C4776" t="s">
        <v>7754</v>
      </c>
      <c r="D4776" t="s">
        <v>13329</v>
      </c>
      <c r="E4776" t="s">
        <v>16449</v>
      </c>
      <c r="F4776">
        <f>HYPERLINK("https://www2.assemblee-nationale.fr/sycomore/fiche/(num_dept)/8213", "8213.0")</f>
        <v>0</v>
      </c>
      <c r="H4776">
        <f>HYPERLINK("https://www.wikidata.org/wiki/Q16026560", "Q16026560")</f>
        <v>0</v>
      </c>
    </row>
    <row r="4777" spans="1:8">
      <c r="A4777" t="s">
        <v>4783</v>
      </c>
      <c r="B4777" t="s">
        <v>9083</v>
      </c>
      <c r="C4777" t="s">
        <v>11286</v>
      </c>
      <c r="D4777" t="s">
        <v>15620</v>
      </c>
      <c r="E4777" s="2">
        <v>16535</v>
      </c>
      <c r="F4777">
        <f>HYPERLINK("https://www2.assemblee-nationale.fr/sycomore/fiche/(num_dept)/7089", "7089.0")</f>
        <v>0</v>
      </c>
      <c r="H4777">
        <f>HYPERLINK("https://www.wikidata.org/wiki/Q8305688", "Q8305688")</f>
        <v>0</v>
      </c>
    </row>
    <row r="4778" spans="1:8">
      <c r="A4778" t="s">
        <v>4784</v>
      </c>
      <c r="B4778" t="s">
        <v>9084</v>
      </c>
      <c r="C4778" t="s">
        <v>10211</v>
      </c>
      <c r="D4778" t="s">
        <v>15621</v>
      </c>
      <c r="E4778" s="2">
        <v>16355</v>
      </c>
      <c r="H4778">
        <f>HYPERLINK("https://www.wikidata.org/wiki/Q3526497", "Q3526497")</f>
        <v>0</v>
      </c>
    </row>
    <row r="4779" spans="1:8">
      <c r="A4779" t="s">
        <v>4785</v>
      </c>
      <c r="B4779" t="s">
        <v>9084</v>
      </c>
      <c r="C4779" t="s">
        <v>10258</v>
      </c>
      <c r="D4779" t="s">
        <v>14816</v>
      </c>
      <c r="E4779" s="2">
        <v>16038</v>
      </c>
      <c r="F4779">
        <f>HYPERLINK("https://www2.assemblee-nationale.fr/sycomore/fiche/(num_dept)/7090", "7090.0")</f>
        <v>0</v>
      </c>
      <c r="G4779">
        <f>HYPERLINK("https://www.senat.fr/senateur-3eme-republique/tissier_louis1710r3.html", "tissier_louis1710r3")</f>
        <v>0</v>
      </c>
      <c r="H4779">
        <f>HYPERLINK("https://www.wikidata.org/wiki/Q3263199", "Q3263199")</f>
        <v>0</v>
      </c>
    </row>
    <row r="4780" spans="1:8">
      <c r="A4780" t="s">
        <v>4786</v>
      </c>
      <c r="B4780" t="s">
        <v>9085</v>
      </c>
      <c r="C4780" t="s">
        <v>7001</v>
      </c>
      <c r="D4780" t="s">
        <v>11438</v>
      </c>
      <c r="E4780" s="2">
        <v>19388</v>
      </c>
      <c r="F4780">
        <f>HYPERLINK("https://www2.assemblee-nationale.fr/sycomore/fiche/(num_dept)/7093", "7093.0")</f>
        <v>0</v>
      </c>
      <c r="H4780">
        <f>HYPERLINK("https://www.wikidata.org/wiki/Q16026561", "Q16026561")</f>
        <v>0</v>
      </c>
    </row>
    <row r="4781" spans="1:8">
      <c r="A4781" t="s">
        <v>4787</v>
      </c>
      <c r="B4781" t="s">
        <v>9086</v>
      </c>
      <c r="C4781" t="s">
        <v>9324</v>
      </c>
      <c r="D4781" t="s">
        <v>15622</v>
      </c>
      <c r="E4781" t="s">
        <v>16450</v>
      </c>
      <c r="G4781">
        <f>HYPERLINK("https://www.senat.fr/senateur-3eme-republique/tolain_henri1332r3.html", "tolain_henri1332r3")</f>
        <v>0</v>
      </c>
      <c r="H4781">
        <f>HYPERLINK("https://www.wikidata.org/wiki/Q637206", "Q637206")</f>
        <v>0</v>
      </c>
    </row>
    <row r="4782" spans="1:8">
      <c r="A4782" t="s">
        <v>4788</v>
      </c>
      <c r="B4782" t="s">
        <v>9087</v>
      </c>
      <c r="C4782" t="s">
        <v>11287</v>
      </c>
      <c r="D4782" t="s">
        <v>15623</v>
      </c>
      <c r="E4782" s="2">
        <v>363</v>
      </c>
      <c r="F4782">
        <f>HYPERLINK("https://www2.assemblee-nationale.fr/sycomore/fiche/(num_dept)/7098", "7098.0")</f>
        <v>0</v>
      </c>
      <c r="H4782">
        <f>HYPERLINK("https://www.wikidata.org/wiki/Q16026562", "Q16026562")</f>
        <v>0</v>
      </c>
    </row>
    <row r="4783" spans="1:8">
      <c r="A4783" t="s">
        <v>4789</v>
      </c>
      <c r="B4783" t="s">
        <v>9088</v>
      </c>
      <c r="C4783" t="s">
        <v>11288</v>
      </c>
      <c r="D4783" t="s">
        <v>15624</v>
      </c>
      <c r="E4783" s="2">
        <v>24031</v>
      </c>
      <c r="F4783">
        <f>HYPERLINK("https://www2.assemblee-nationale.fr/sycomore/fiche/(num_dept)/7100", "7100.0")</f>
        <v>0</v>
      </c>
      <c r="H4783">
        <f>HYPERLINK("https://www.wikidata.org/wiki/Q15971824", "Q15971824")</f>
        <v>0</v>
      </c>
    </row>
    <row r="4784" spans="1:8">
      <c r="A4784" t="s">
        <v>4790</v>
      </c>
      <c r="B4784" t="s">
        <v>9089</v>
      </c>
      <c r="C4784" t="s">
        <v>7869</v>
      </c>
      <c r="D4784" t="s">
        <v>15177</v>
      </c>
      <c r="E4784" s="2">
        <v>20831</v>
      </c>
      <c r="F4784">
        <f>HYPERLINK("https://www2.assemblee-nationale.fr/sycomore/fiche/(num_dept)/7101", "7101.0")</f>
        <v>0</v>
      </c>
      <c r="H4784">
        <f>HYPERLINK("https://www.wikidata.org/wiki/Q3292824", "Q3292824")</f>
        <v>0</v>
      </c>
    </row>
    <row r="4785" spans="1:8">
      <c r="A4785" t="s">
        <v>4791</v>
      </c>
      <c r="B4785" t="s">
        <v>9090</v>
      </c>
      <c r="C4785" t="s">
        <v>11289</v>
      </c>
      <c r="D4785" t="s">
        <v>15625</v>
      </c>
      <c r="E4785" s="2">
        <v>8509</v>
      </c>
      <c r="F4785">
        <f>HYPERLINK("https://www2.assemblee-nationale.fr/sycomore/fiche/(num_dept)/7102", "7102.0")</f>
        <v>0</v>
      </c>
      <c r="H4785">
        <f>HYPERLINK("https://www.wikidata.org/wiki/Q16026563", "Q16026563")</f>
        <v>0</v>
      </c>
    </row>
    <row r="4786" spans="1:8">
      <c r="A4786" t="s">
        <v>4792</v>
      </c>
      <c r="B4786" t="s">
        <v>9091</v>
      </c>
      <c r="C4786" t="s">
        <v>9324</v>
      </c>
      <c r="D4786" t="s">
        <v>15626</v>
      </c>
      <c r="E4786" s="2">
        <v>24121</v>
      </c>
      <c r="F4786">
        <f>HYPERLINK("https://www2.assemblee-nationale.fr/sycomore/fiche/(num_dept)/7104", "7104.0")</f>
        <v>0</v>
      </c>
      <c r="H4786">
        <f>HYPERLINK("https://www.wikidata.org/wiki/Q1381683", "Q1381683")</f>
        <v>0</v>
      </c>
    </row>
    <row r="4787" spans="1:8">
      <c r="A4787" t="s">
        <v>4793</v>
      </c>
      <c r="B4787" t="s">
        <v>9092</v>
      </c>
      <c r="C4787" t="s">
        <v>11290</v>
      </c>
      <c r="D4787" t="s">
        <v>15627</v>
      </c>
      <c r="E4787" t="s">
        <v>16435</v>
      </c>
      <c r="F4787">
        <f>HYPERLINK("https://www2.assemblee-nationale.fr/sycomore/fiche/(num_dept)/7108", "7108.0")</f>
        <v>0</v>
      </c>
      <c r="H4787">
        <f>HYPERLINK("https://www.wikidata.org/wiki/Q16026372", "Q16026372")</f>
        <v>0</v>
      </c>
    </row>
    <row r="4788" spans="1:8">
      <c r="A4788" t="s">
        <v>4794</v>
      </c>
      <c r="B4788" t="s">
        <v>9093</v>
      </c>
      <c r="C4788" t="s">
        <v>11291</v>
      </c>
      <c r="D4788" t="s">
        <v>13421</v>
      </c>
      <c r="E4788" t="s">
        <v>16451</v>
      </c>
      <c r="F4788">
        <f>HYPERLINK("https://www2.assemblee-nationale.fr/sycomore/fiche/(num_dept)/8274", "8274.0")</f>
        <v>0</v>
      </c>
      <c r="H4788">
        <f>HYPERLINK("https://www.wikidata.org/wiki/Q16026564", "Q16026564")</f>
        <v>0</v>
      </c>
    </row>
    <row r="4789" spans="1:8">
      <c r="A4789" t="s">
        <v>4795</v>
      </c>
      <c r="B4789" t="s">
        <v>9094</v>
      </c>
      <c r="C4789" t="s">
        <v>9482</v>
      </c>
      <c r="D4789" t="s">
        <v>15628</v>
      </c>
      <c r="G4789">
        <f>HYPERLINK("https://www.senat.fr/senateur-3eme-republique/toupet_des_vignes_edmond0159r3.html", "toupet_des_vignes_edmond0159r3")</f>
        <v>0</v>
      </c>
      <c r="H4789">
        <f>HYPERLINK("https://www.wikidata.org/wiki/Q3048005", "Q3048005")</f>
        <v>0</v>
      </c>
    </row>
    <row r="4790" spans="1:8">
      <c r="A4790" t="s">
        <v>4796</v>
      </c>
      <c r="B4790" t="s">
        <v>9095</v>
      </c>
      <c r="C4790" t="s">
        <v>9471</v>
      </c>
      <c r="D4790" t="s">
        <v>15629</v>
      </c>
      <c r="E4790" s="2">
        <v>3560</v>
      </c>
      <c r="F4790">
        <f>HYPERLINK("https://www2.assemblee-nationale.fr/sycomore/fiche/(num_dept)/7113", "7113.0")</f>
        <v>0</v>
      </c>
      <c r="H4790">
        <f>HYPERLINK("https://www.wikidata.org/wiki/Q16026565", "Q16026565")</f>
        <v>0</v>
      </c>
    </row>
    <row r="4791" spans="1:8">
      <c r="A4791" t="s">
        <v>4797</v>
      </c>
      <c r="B4791" t="s">
        <v>9096</v>
      </c>
      <c r="C4791" t="s">
        <v>11292</v>
      </c>
      <c r="D4791" t="s">
        <v>15630</v>
      </c>
      <c r="E4791" s="2">
        <v>9477</v>
      </c>
      <c r="F4791">
        <f>HYPERLINK("https://www2.assemblee-nationale.fr/sycomore/fiche/(num_dept)/7114", "7114.0")</f>
        <v>0</v>
      </c>
      <c r="H4791">
        <f>HYPERLINK("https://www.wikidata.org/wiki/Q13080889", "Q13080889")</f>
        <v>0</v>
      </c>
    </row>
    <row r="4792" spans="1:8">
      <c r="A4792" t="s">
        <v>4798</v>
      </c>
      <c r="B4792" t="s">
        <v>9097</v>
      </c>
      <c r="C4792" t="s">
        <v>9857</v>
      </c>
      <c r="D4792" t="s">
        <v>15631</v>
      </c>
      <c r="E4792" s="2">
        <v>14518</v>
      </c>
      <c r="G4792">
        <f>HYPERLINK("https://www.senat.fr/senateur-3eme-republique/tournan_isidore0158r3.html", "tournan_isidore0158r3")</f>
        <v>0</v>
      </c>
      <c r="H4792">
        <f>HYPERLINK("https://www.wikidata.org/wiki/Q3155332", "Q3155332")</f>
        <v>0</v>
      </c>
    </row>
    <row r="4793" spans="1:8">
      <c r="A4793" t="s">
        <v>4799</v>
      </c>
      <c r="B4793" t="s">
        <v>9098</v>
      </c>
      <c r="C4793" t="s">
        <v>10716</v>
      </c>
      <c r="D4793" t="s">
        <v>15632</v>
      </c>
      <c r="E4793" s="2">
        <v>14518</v>
      </c>
      <c r="F4793">
        <f>HYPERLINK("https://www2.assemblee-nationale.fr/sycomore/fiche/(num_dept)/7115", "7115.0")</f>
        <v>0</v>
      </c>
      <c r="H4793">
        <f>HYPERLINK("https://www.wikidata.org/wiki/Q3155332", "Q3155332")</f>
        <v>0</v>
      </c>
    </row>
    <row r="4794" spans="1:8">
      <c r="A4794" t="s">
        <v>4800</v>
      </c>
      <c r="B4794" t="s">
        <v>9099</v>
      </c>
      <c r="C4794" t="s">
        <v>5058</v>
      </c>
      <c r="D4794" t="s">
        <v>15633</v>
      </c>
      <c r="E4794" s="2">
        <v>3534</v>
      </c>
      <c r="F4794">
        <f>HYPERLINK("https://www2.assemblee-nationale.fr/sycomore/fiche/(num_dept)/7117", "7117.0")</f>
        <v>0</v>
      </c>
      <c r="H4794">
        <f>HYPERLINK("https://www.wikidata.org/wiki/Q2831585", "Q2831585")</f>
        <v>0</v>
      </c>
    </row>
    <row r="4795" spans="1:8">
      <c r="A4795" t="s">
        <v>4801</v>
      </c>
      <c r="B4795" t="s">
        <v>9100</v>
      </c>
      <c r="C4795" t="s">
        <v>9368</v>
      </c>
      <c r="D4795" t="s">
        <v>15634</v>
      </c>
      <c r="E4795" s="2">
        <v>9128</v>
      </c>
      <c r="G4795">
        <f>HYPERLINK("https://www.senat.fr/senateur-3eme-republique/touron_eugene0026r3.html", "touron_eugene0026r3")</f>
        <v>0</v>
      </c>
      <c r="H4795">
        <f>HYPERLINK("https://www.wikidata.org/wiki/Q3060195", "Q3060195")</f>
        <v>0</v>
      </c>
    </row>
    <row r="4796" spans="1:8">
      <c r="A4796" t="s">
        <v>4802</v>
      </c>
      <c r="B4796" t="s">
        <v>9101</v>
      </c>
      <c r="C4796" t="s">
        <v>9482</v>
      </c>
      <c r="D4796" t="s">
        <v>15635</v>
      </c>
      <c r="E4796" s="2">
        <v>11380</v>
      </c>
      <c r="F4796">
        <f>HYPERLINK("https://www2.assemblee-nationale.fr/sycomore/fiche/(num_dept)/7122", "7122.0")</f>
        <v>0</v>
      </c>
      <c r="H4796">
        <f>HYPERLINK("https://www.wikidata.org/wiki/Q3048007", "Q3048007")</f>
        <v>0</v>
      </c>
    </row>
    <row r="4797" spans="1:8">
      <c r="A4797" t="s">
        <v>4803</v>
      </c>
      <c r="B4797" t="s">
        <v>9102</v>
      </c>
      <c r="C4797" t="s">
        <v>10354</v>
      </c>
      <c r="D4797" t="s">
        <v>15636</v>
      </c>
      <c r="E4797" s="2">
        <v>18485</v>
      </c>
      <c r="F4797">
        <f>HYPERLINK("https://www2.assemblee-nationale.fr/sycomore/fiche/(num_dept)/7125", "7125.0")</f>
        <v>0</v>
      </c>
      <c r="G4797">
        <f>HYPERLINK("https://www.senat.fr/senateur-3eme-republique/toy_riont_maurice0081r3.html", "toy_riont_maurice0081r3")</f>
        <v>0</v>
      </c>
      <c r="H4797">
        <f>HYPERLINK("https://www.wikidata.org/wiki/Q3301463", "Q3301463")</f>
        <v>0</v>
      </c>
    </row>
    <row r="4798" spans="1:8">
      <c r="A4798" t="s">
        <v>4804</v>
      </c>
      <c r="B4798" t="s">
        <v>9103</v>
      </c>
      <c r="C4798" t="s">
        <v>11293</v>
      </c>
      <c r="D4798" t="s">
        <v>15637</v>
      </c>
      <c r="E4798" s="2">
        <v>4401</v>
      </c>
      <c r="F4798">
        <f>HYPERLINK("https://www2.assemblee-nationale.fr/sycomore/fiche/(num_dept)/7587", "7587.0")</f>
        <v>0</v>
      </c>
      <c r="H4798">
        <f>HYPERLINK("https://www.wikidata.org/wiki/Q3351149", "Q3351149")</f>
        <v>0</v>
      </c>
    </row>
    <row r="4799" spans="1:8">
      <c r="A4799" t="s">
        <v>4805</v>
      </c>
      <c r="B4799" t="s">
        <v>9104</v>
      </c>
      <c r="C4799" t="s">
        <v>11294</v>
      </c>
      <c r="D4799" t="s">
        <v>15638</v>
      </c>
      <c r="E4799" s="2">
        <v>7122</v>
      </c>
      <c r="F4799">
        <f>HYPERLINK("https://www2.assemblee-nationale.fr/sycomore/fiche/(num_dept)/7127", "7127.0")</f>
        <v>0</v>
      </c>
      <c r="H4799">
        <f>HYPERLINK("https://www.wikidata.org/wiki/Q16026566", "Q16026566")</f>
        <v>0</v>
      </c>
    </row>
    <row r="4800" spans="1:8">
      <c r="A4800" t="s">
        <v>4806</v>
      </c>
      <c r="B4800" t="s">
        <v>9105</v>
      </c>
      <c r="C4800" t="s">
        <v>9611</v>
      </c>
      <c r="D4800" t="s">
        <v>15639</v>
      </c>
      <c r="E4800" s="2">
        <v>17520</v>
      </c>
      <c r="F4800">
        <f>HYPERLINK("https://www2.assemblee-nationale.fr/sycomore/fiche/(num_dept)/7128", "7128.0")</f>
        <v>0</v>
      </c>
      <c r="H4800">
        <f>HYPERLINK("https://www.wikidata.org/wiki/Q2828093", "Q2828093")</f>
        <v>0</v>
      </c>
    </row>
    <row r="4801" spans="1:8">
      <c r="A4801" t="s">
        <v>4807</v>
      </c>
      <c r="B4801" t="s">
        <v>9106</v>
      </c>
      <c r="C4801" t="s">
        <v>9564</v>
      </c>
      <c r="D4801" t="s">
        <v>15640</v>
      </c>
      <c r="E4801" t="s">
        <v>16452</v>
      </c>
      <c r="F4801">
        <f>HYPERLINK("https://www2.assemblee-nationale.fr/sycomore/fiche/(num_dept)/7130", "7130.0")</f>
        <v>0</v>
      </c>
      <c r="H4801">
        <f>HYPERLINK("https://www.wikidata.org/wiki/Q16026567", "Q16026567")</f>
        <v>0</v>
      </c>
    </row>
    <row r="4802" spans="1:8">
      <c r="A4802" t="s">
        <v>4808</v>
      </c>
      <c r="B4802" t="s">
        <v>9107</v>
      </c>
      <c r="C4802" t="s">
        <v>9503</v>
      </c>
      <c r="D4802" t="s">
        <v>15641</v>
      </c>
      <c r="E4802" s="2">
        <v>2701</v>
      </c>
      <c r="F4802">
        <f>HYPERLINK("https://www2.assemblee-nationale.fr/sycomore/fiche/(num_dept)/7131", "7131.0")</f>
        <v>0</v>
      </c>
      <c r="G4802">
        <f>HYPERLINK("https://www.senat.fr/senateur-3eme-republique/trannoy_gustave1655r3.html", "trannoy_gustave1655r3")</f>
        <v>0</v>
      </c>
      <c r="H4802">
        <f>HYPERLINK("https://www.wikidata.org/wiki/Q3121335", "Q3121335")</f>
        <v>0</v>
      </c>
    </row>
    <row r="4803" spans="1:8">
      <c r="A4803" t="s">
        <v>4809</v>
      </c>
      <c r="B4803" t="s">
        <v>9108</v>
      </c>
      <c r="C4803" t="s">
        <v>10297</v>
      </c>
      <c r="D4803" t="s">
        <v>15642</v>
      </c>
      <c r="E4803" s="2">
        <v>1534</v>
      </c>
      <c r="G4803">
        <f>HYPERLINK("https://www.senat.fr/senateur-3eme-republique/trarieux_ludovic0212r3.html", "trarieux_ludovic0212r3")</f>
        <v>0</v>
      </c>
      <c r="H4803">
        <f>HYPERLINK("https://www.wikidata.org/wiki/Q1654098", "Q1654098")</f>
        <v>0</v>
      </c>
    </row>
    <row r="4804" spans="1:8">
      <c r="A4804" t="s">
        <v>4810</v>
      </c>
      <c r="B4804" t="s">
        <v>9109</v>
      </c>
      <c r="C4804" t="s">
        <v>11295</v>
      </c>
      <c r="D4804" t="s">
        <v>15643</v>
      </c>
      <c r="E4804" s="2">
        <v>7195</v>
      </c>
      <c r="F4804">
        <f>HYPERLINK("https://www2.assemblee-nationale.fr/sycomore/fiche/(num_dept)/7135", "7135.0")</f>
        <v>0</v>
      </c>
      <c r="H4804">
        <f>HYPERLINK("https://www.wikidata.org/wiki/Q3060196", "Q3060196")</f>
        <v>0</v>
      </c>
    </row>
    <row r="4805" spans="1:8">
      <c r="A4805" t="s">
        <v>4811</v>
      </c>
      <c r="B4805" t="s">
        <v>9109</v>
      </c>
      <c r="C4805" t="s">
        <v>11296</v>
      </c>
      <c r="D4805" t="s">
        <v>15644</v>
      </c>
      <c r="E4805" s="2">
        <v>18241</v>
      </c>
      <c r="F4805">
        <f>HYPERLINK("https://www2.assemblee-nationale.fr/sycomore/fiche/(num_dept)/7136", "7136.0")</f>
        <v>0</v>
      </c>
      <c r="H4805">
        <f>HYPERLINK("https://www.wikidata.org/wiki/Q8329787", "Q8329787")</f>
        <v>0</v>
      </c>
    </row>
    <row r="4806" spans="1:8">
      <c r="A4806" t="s">
        <v>4812</v>
      </c>
      <c r="B4806" t="s">
        <v>9110</v>
      </c>
      <c r="C4806" t="s">
        <v>11297</v>
      </c>
      <c r="D4806" t="s">
        <v>15645</v>
      </c>
      <c r="E4806" s="2">
        <v>8050</v>
      </c>
      <c r="F4806">
        <f>HYPERLINK("https://www2.assemblee-nationale.fr/sycomore/fiche/(num_dept)/7137", "7137.0")</f>
        <v>0</v>
      </c>
      <c r="G4806">
        <f>HYPERLINK("https://www.senat.fr/senateur-3eme-republique/treille_alcide0693r3.html", "treille_alcide0693r3")</f>
        <v>0</v>
      </c>
      <c r="H4806">
        <f>HYPERLINK("https://www.wikidata.org/wiki/Q16798572", "Q16798572")</f>
        <v>0</v>
      </c>
    </row>
    <row r="4807" spans="1:8">
      <c r="A4807" t="s">
        <v>4813</v>
      </c>
      <c r="B4807" t="s">
        <v>9111</v>
      </c>
      <c r="C4807" t="s">
        <v>11298</v>
      </c>
      <c r="D4807" t="s">
        <v>12781</v>
      </c>
      <c r="E4807" s="2">
        <v>14646</v>
      </c>
      <c r="F4807">
        <f>HYPERLINK("https://www2.assemblee-nationale.fr/sycomore/fiche/(num_dept)/7149", "7149.0")</f>
        <v>0</v>
      </c>
      <c r="H4807">
        <f>HYPERLINK("https://www.wikidata.org/wiki/Q3436738", "Q3436738")</f>
        <v>0</v>
      </c>
    </row>
    <row r="4808" spans="1:8">
      <c r="A4808" t="s">
        <v>4814</v>
      </c>
      <c r="B4808" t="s">
        <v>9112</v>
      </c>
      <c r="C4808" t="s">
        <v>9324</v>
      </c>
      <c r="D4808" t="s">
        <v>15646</v>
      </c>
      <c r="E4808" s="2">
        <v>16883</v>
      </c>
      <c r="F4808">
        <f>HYPERLINK("https://www2.assemblee-nationale.fr/sycomore/fiche/(num_dept)/7150", "7150.0")</f>
        <v>0</v>
      </c>
      <c r="H4808">
        <f>HYPERLINK("https://www.wikidata.org/wiki/Q3132090", "Q3132090")</f>
        <v>0</v>
      </c>
    </row>
    <row r="4809" spans="1:8">
      <c r="A4809" t="s">
        <v>4815</v>
      </c>
      <c r="B4809" t="s">
        <v>9113</v>
      </c>
      <c r="C4809" t="s">
        <v>7754</v>
      </c>
      <c r="D4809" t="s">
        <v>15647</v>
      </c>
      <c r="E4809" t="s">
        <v>16453</v>
      </c>
      <c r="G4809">
        <f>HYPERLINK("https://www.senat.fr/senateur-3eme-republique/tribert_louis1541r3.html", "tribert_louis1541r3")</f>
        <v>0</v>
      </c>
      <c r="H4809">
        <f>HYPERLINK("https://www.wikidata.org/wiki/Q3263211", "Q3263211")</f>
        <v>0</v>
      </c>
    </row>
    <row r="4810" spans="1:8">
      <c r="A4810" t="s">
        <v>4816</v>
      </c>
      <c r="B4810" t="s">
        <v>9114</v>
      </c>
      <c r="C4810" t="s">
        <v>11299</v>
      </c>
      <c r="D4810" s="2">
        <v>565</v>
      </c>
      <c r="E4810" s="2">
        <v>21478</v>
      </c>
      <c r="F4810">
        <f>HYPERLINK("https://www2.assemblee-nationale.fr/sycomore/fiche/(num_dept)/7152", "7152.0")</f>
        <v>0</v>
      </c>
      <c r="H4810">
        <f>HYPERLINK("https://www.wikidata.org/wiki/Q3387161", "Q3387161")</f>
        <v>0</v>
      </c>
    </row>
    <row r="4811" spans="1:8">
      <c r="A4811" t="s">
        <v>4817</v>
      </c>
      <c r="B4811" t="s">
        <v>9115</v>
      </c>
      <c r="C4811" t="s">
        <v>11300</v>
      </c>
      <c r="D4811" t="s">
        <v>15648</v>
      </c>
      <c r="E4811" s="2">
        <v>148</v>
      </c>
      <c r="F4811">
        <f>HYPERLINK("https://www2.assemblee-nationale.fr/sycomore/fiche/(num_dept)/7154", "7154.0")</f>
        <v>0</v>
      </c>
      <c r="H4811">
        <f>HYPERLINK("https://www.wikidata.org/wiki/Q16026569", "Q16026569")</f>
        <v>0</v>
      </c>
    </row>
    <row r="4812" spans="1:8">
      <c r="A4812" t="s">
        <v>4818</v>
      </c>
      <c r="B4812" t="s">
        <v>9116</v>
      </c>
      <c r="C4812" t="s">
        <v>11301</v>
      </c>
      <c r="D4812" t="s">
        <v>13541</v>
      </c>
      <c r="E4812" s="2">
        <v>12297</v>
      </c>
      <c r="F4812">
        <f>HYPERLINK("https://www2.assemblee-nationale.fr/sycomore/fiche/(num_dept)/7156", "7156.0")</f>
        <v>0</v>
      </c>
      <c r="H4812">
        <f>HYPERLINK("https://www.wikidata.org/wiki/Q15972017", "Q15972017")</f>
        <v>0</v>
      </c>
    </row>
    <row r="4813" spans="1:8">
      <c r="A4813" t="s">
        <v>4819</v>
      </c>
      <c r="B4813" t="s">
        <v>9117</v>
      </c>
      <c r="C4813" t="s">
        <v>9533</v>
      </c>
      <c r="D4813" t="s">
        <v>15649</v>
      </c>
      <c r="E4813" s="2">
        <v>15601</v>
      </c>
      <c r="F4813">
        <f>HYPERLINK("https://www2.assemblee-nationale.fr/sycomore/fiche/(num_dept)/7158", "7158.0")</f>
        <v>0</v>
      </c>
      <c r="H4813">
        <f>HYPERLINK("https://www.wikidata.org/wiki/Q16026570", "Q16026570")</f>
        <v>0</v>
      </c>
    </row>
    <row r="4814" spans="1:8">
      <c r="A4814" t="s">
        <v>4820</v>
      </c>
      <c r="B4814" t="s">
        <v>9118</v>
      </c>
      <c r="C4814" t="s">
        <v>11302</v>
      </c>
      <c r="D4814" t="s">
        <v>15650</v>
      </c>
      <c r="E4814" s="2">
        <v>23811</v>
      </c>
      <c r="F4814">
        <f>HYPERLINK("https://www2.assemblee-nationale.fr/sycomore/fiche/(num_dept)/7159", "7159.0")</f>
        <v>0</v>
      </c>
      <c r="H4814">
        <f>HYPERLINK("https://www.wikidata.org/wiki/Q3072895", "Q3072895")</f>
        <v>0</v>
      </c>
    </row>
    <row r="4815" spans="1:8">
      <c r="A4815" t="s">
        <v>4821</v>
      </c>
      <c r="B4815" t="s">
        <v>9119</v>
      </c>
      <c r="C4815" t="s">
        <v>10445</v>
      </c>
      <c r="D4815" t="s">
        <v>14153</v>
      </c>
      <c r="E4815" s="2">
        <v>12144</v>
      </c>
      <c r="F4815">
        <f>HYPERLINK("https://www2.assemblee-nationale.fr/sycomore/fiche/(num_dept)/7628", "7628.0")</f>
        <v>0</v>
      </c>
      <c r="H4815">
        <f>HYPERLINK("https://www.wikidata.org/wiki/Q3371653", "Q3371653")</f>
        <v>0</v>
      </c>
    </row>
    <row r="4816" spans="1:8">
      <c r="A4816" t="s">
        <v>4822</v>
      </c>
      <c r="B4816" t="s">
        <v>9120</v>
      </c>
      <c r="C4816" t="s">
        <v>10082</v>
      </c>
      <c r="D4816" t="s">
        <v>14154</v>
      </c>
      <c r="E4816" s="2">
        <v>13932</v>
      </c>
      <c r="F4816">
        <f>HYPERLINK("https://www2.assemblee-nationale.fr/sycomore/fiche/(num_dept)/7630", "7630.0")</f>
        <v>0</v>
      </c>
      <c r="H4816">
        <f>HYPERLINK("https://www.wikidata.org/wiki/Q3573784", "Q3573784")</f>
        <v>0</v>
      </c>
    </row>
    <row r="4817" spans="1:8">
      <c r="A4817" t="s">
        <v>4823</v>
      </c>
      <c r="B4817" t="s">
        <v>9121</v>
      </c>
      <c r="C4817" t="s">
        <v>11303</v>
      </c>
      <c r="D4817" t="s">
        <v>11518</v>
      </c>
      <c r="E4817" t="s">
        <v>16296</v>
      </c>
      <c r="F4817">
        <f>HYPERLINK("https://www2.assemblee-nationale.fr/sycomore/fiche/(num_dept)/8051", "8051.0")</f>
        <v>0</v>
      </c>
      <c r="H4817">
        <f>HYPERLINK("https://www.wikidata.org/wiki/Q16026571", "Q16026571")</f>
        <v>0</v>
      </c>
    </row>
    <row r="4818" spans="1:8">
      <c r="A4818" t="s">
        <v>4824</v>
      </c>
      <c r="B4818" t="s">
        <v>9122</v>
      </c>
      <c r="C4818" t="s">
        <v>11304</v>
      </c>
      <c r="D4818" t="s">
        <v>15651</v>
      </c>
      <c r="E4818" s="2">
        <v>6169</v>
      </c>
      <c r="F4818">
        <f>HYPERLINK("https://www2.assemblee-nationale.fr/sycomore/fiche/(num_dept)/7163", "7163.0")</f>
        <v>0</v>
      </c>
      <c r="G4818">
        <f>HYPERLINK("https://www.senat.fr/senateur-3eme-republique/trouillot_georges0444r3.html", "trouillot_georges0444r3")</f>
        <v>0</v>
      </c>
      <c r="H4818">
        <f>HYPERLINK("https://www.wikidata.org/wiki/Q3103564", "Q3103564")</f>
        <v>0</v>
      </c>
    </row>
    <row r="4819" spans="1:8">
      <c r="A4819" t="s">
        <v>4825</v>
      </c>
      <c r="B4819" t="s">
        <v>9123</v>
      </c>
      <c r="C4819" t="s">
        <v>10317</v>
      </c>
      <c r="D4819" t="s">
        <v>15652</v>
      </c>
      <c r="E4819" s="2">
        <v>7152</v>
      </c>
      <c r="F4819">
        <f>HYPERLINK("https://www2.assemblee-nationale.fr/sycomore/fiche/(num_dept)/7164", "7164.0")</f>
        <v>0</v>
      </c>
      <c r="H4819">
        <f>HYPERLINK("https://www.wikidata.org/wiki/Q15235896", "Q15235896")</f>
        <v>0</v>
      </c>
    </row>
    <row r="4820" spans="1:8">
      <c r="A4820" t="s">
        <v>4826</v>
      </c>
      <c r="B4820" t="s">
        <v>9124</v>
      </c>
      <c r="C4820" t="s">
        <v>9320</v>
      </c>
      <c r="D4820" t="s">
        <v>15653</v>
      </c>
      <c r="E4820" s="2">
        <v>13074</v>
      </c>
      <c r="G4820">
        <f>HYPERLINK("https://www.senat.fr/senateur-3eme-republique/trouve_rene1792r3.html", "trouve_rene1792r3")</f>
        <v>0</v>
      </c>
      <c r="H4820">
        <f>HYPERLINK("https://www.wikidata.org/wiki/Q3426717", "Q3426717")</f>
        <v>0</v>
      </c>
    </row>
    <row r="4821" spans="1:8">
      <c r="A4821" t="s">
        <v>4827</v>
      </c>
      <c r="B4821" t="s">
        <v>9125</v>
      </c>
      <c r="C4821" t="s">
        <v>11305</v>
      </c>
      <c r="D4821" t="s">
        <v>15653</v>
      </c>
      <c r="E4821" s="2">
        <v>13074</v>
      </c>
      <c r="F4821">
        <f>HYPERLINK("https://www2.assemblee-nationale.fr/sycomore/fiche/(num_dept)/7165", "7165.0")</f>
        <v>0</v>
      </c>
      <c r="H4821">
        <f>HYPERLINK("https://www.wikidata.org/wiki/Q3426717", "Q3426717")</f>
        <v>0</v>
      </c>
    </row>
    <row r="4822" spans="1:8">
      <c r="A4822" t="s">
        <v>4828</v>
      </c>
      <c r="B4822" t="s">
        <v>9126</v>
      </c>
      <c r="C4822" t="s">
        <v>11306</v>
      </c>
      <c r="D4822" t="s">
        <v>15654</v>
      </c>
      <c r="E4822" s="2">
        <v>3607</v>
      </c>
      <c r="F4822">
        <f>HYPERLINK("https://www2.assemblee-nationale.fr/sycomore/fiche/(num_dept)/8052", "8052.0")</f>
        <v>0</v>
      </c>
      <c r="H4822">
        <f>HYPERLINK("https://www.wikidata.org/wiki/Q16026573", "Q16026573")</f>
        <v>0</v>
      </c>
    </row>
    <row r="4823" spans="1:8">
      <c r="A4823" t="s">
        <v>4829</v>
      </c>
      <c r="B4823" t="s">
        <v>9127</v>
      </c>
      <c r="C4823" t="s">
        <v>11307</v>
      </c>
      <c r="D4823" t="s">
        <v>15655</v>
      </c>
      <c r="E4823" t="s">
        <v>16454</v>
      </c>
      <c r="F4823">
        <f>HYPERLINK("https://www2.assemblee-nationale.fr/sycomore/fiche/(num_dept)/8123", "8123.0")</f>
        <v>0</v>
      </c>
      <c r="H4823">
        <f>HYPERLINK("https://www.wikidata.org/wiki/Q2957890", "Q2957890")</f>
        <v>0</v>
      </c>
    </row>
    <row r="4824" spans="1:8">
      <c r="A4824" t="s">
        <v>4830</v>
      </c>
      <c r="B4824" t="s">
        <v>9128</v>
      </c>
      <c r="C4824" t="s">
        <v>11308</v>
      </c>
      <c r="D4824" t="s">
        <v>15656</v>
      </c>
      <c r="F4824">
        <f>HYPERLINK("https://www2.assemblee-nationale.fr/sycomore/fiche/(num_dept)/7168", "7168.0")</f>
        <v>0</v>
      </c>
      <c r="H4824">
        <f>HYPERLINK("https://www.wikidata.org/wiki/Q16026574", "Q16026574")</f>
        <v>0</v>
      </c>
    </row>
    <row r="4825" spans="1:8">
      <c r="A4825" t="s">
        <v>4831</v>
      </c>
      <c r="B4825" t="s">
        <v>9129</v>
      </c>
      <c r="C4825" t="s">
        <v>10888</v>
      </c>
      <c r="D4825" t="s">
        <v>15657</v>
      </c>
      <c r="E4825" s="2">
        <v>2521</v>
      </c>
      <c r="F4825">
        <f>HYPERLINK("https://www2.assemblee-nationale.fr/sycomore/fiche/(num_dept)/8193", "8193.0")</f>
        <v>0</v>
      </c>
      <c r="G4825">
        <f>HYPERLINK("https://www.senat.fr/senateur-3eme-republique/trystram_jean_baptiste1413r3.html", "trystram_jean_baptiste1413r3")</f>
        <v>0</v>
      </c>
      <c r="H4825">
        <f>HYPERLINK("https://www.wikidata.org/wiki/Q3164470", "Q3164470")</f>
        <v>0</v>
      </c>
    </row>
    <row r="4826" spans="1:8">
      <c r="A4826" t="s">
        <v>4832</v>
      </c>
      <c r="B4826" t="s">
        <v>9130</v>
      </c>
      <c r="C4826" t="s">
        <v>9312</v>
      </c>
      <c r="D4826" t="s">
        <v>15658</v>
      </c>
      <c r="E4826" s="2">
        <v>10100</v>
      </c>
      <c r="G4826">
        <f>HYPERLINK("https://www.senat.fr/senateur-3eme-republique/trystram_jean_baptiste1394r3.html", "trystram_jean_baptiste1394r3")</f>
        <v>0</v>
      </c>
      <c r="H4826">
        <f>HYPERLINK("https://www.wikidata.org/wiki/Q3164471", "Q3164471")</f>
        <v>0</v>
      </c>
    </row>
    <row r="4827" spans="1:8">
      <c r="A4827" t="s">
        <v>4833</v>
      </c>
      <c r="B4827" t="s">
        <v>9131</v>
      </c>
      <c r="C4827" t="s">
        <v>9524</v>
      </c>
      <c r="D4827" t="s">
        <v>15659</v>
      </c>
      <c r="E4827" s="2">
        <v>2860</v>
      </c>
      <c r="F4827">
        <f>HYPERLINK("https://www2.assemblee-nationale.fr/sycomore/fiche/(num_dept)/7138", "7138.0")</f>
        <v>0</v>
      </c>
      <c r="H4827">
        <f>HYPERLINK("https://www.wikidata.org/wiki/Q13091125", "Q13091125")</f>
        <v>0</v>
      </c>
    </row>
    <row r="4828" spans="1:8">
      <c r="A4828" t="s">
        <v>4834</v>
      </c>
      <c r="B4828" t="s">
        <v>9132</v>
      </c>
      <c r="C4828" t="s">
        <v>11309</v>
      </c>
      <c r="D4828" t="s">
        <v>15660</v>
      </c>
      <c r="E4828" s="2">
        <v>24402</v>
      </c>
      <c r="F4828">
        <f>HYPERLINK("https://www2.assemblee-nationale.fr/sycomore/fiche/(num_dept)/7144", "7144.0")</f>
        <v>0</v>
      </c>
      <c r="H4828">
        <f>HYPERLINK("https://www.wikidata.org/wiki/Q3387181", "Q3387181")</f>
        <v>0</v>
      </c>
    </row>
    <row r="4829" spans="1:8">
      <c r="A4829" t="s">
        <v>4835</v>
      </c>
      <c r="B4829" t="s">
        <v>9133</v>
      </c>
      <c r="C4829" t="s">
        <v>8384</v>
      </c>
      <c r="D4829" t="s">
        <v>14656</v>
      </c>
      <c r="E4829" s="2">
        <v>13601</v>
      </c>
      <c r="F4829">
        <f>HYPERLINK("https://www2.assemblee-nationale.fr/sycomore/fiche/(num_dept)/7148", "7148.0")</f>
        <v>0</v>
      </c>
      <c r="H4829">
        <f>HYPERLINK("https://www.wikidata.org/wiki/Q16026568", "Q16026568")</f>
        <v>0</v>
      </c>
    </row>
    <row r="4830" spans="1:8">
      <c r="A4830" t="s">
        <v>4836</v>
      </c>
      <c r="B4830" t="s">
        <v>9134</v>
      </c>
      <c r="C4830" t="s">
        <v>11310</v>
      </c>
      <c r="D4830" t="s">
        <v>15661</v>
      </c>
      <c r="E4830" s="2">
        <v>7840</v>
      </c>
      <c r="F4830">
        <f>HYPERLINK("https://www2.assemblee-nationale.fr/sycomore/fiche/(num_dept)/4189", "4189.0")</f>
        <v>0</v>
      </c>
      <c r="H4830">
        <f>HYPERLINK("https://www.wikidata.org/wiki/Q3261483", "Q3261483")</f>
        <v>0</v>
      </c>
    </row>
    <row r="4831" spans="1:8">
      <c r="A4831" t="s">
        <v>4837</v>
      </c>
      <c r="B4831" t="s">
        <v>9135</v>
      </c>
      <c r="C4831" t="s">
        <v>9368</v>
      </c>
      <c r="D4831" t="s">
        <v>12270</v>
      </c>
      <c r="E4831" s="2">
        <v>16153</v>
      </c>
      <c r="G4831">
        <f>HYPERLINK("https://www.senat.fr/senateur-3eme-republique/turbat_eugene0502r3.html", "turbat_eugene0502r3")</f>
        <v>0</v>
      </c>
      <c r="H4831">
        <f>HYPERLINK("https://www.wikidata.org/wiki/Q3060198", "Q3060198")</f>
        <v>0</v>
      </c>
    </row>
    <row r="4832" spans="1:8">
      <c r="A4832" t="s">
        <v>4838</v>
      </c>
      <c r="B4832" t="s">
        <v>9136</v>
      </c>
      <c r="C4832" t="s">
        <v>11311</v>
      </c>
      <c r="D4832" t="s">
        <v>15662</v>
      </c>
      <c r="E4832" s="2">
        <v>5063</v>
      </c>
      <c r="F4832">
        <f>HYPERLINK("https://www2.assemblee-nationale.fr/sycomore/fiche/(num_dept)/8053", "8053.0")</f>
        <v>0</v>
      </c>
      <c r="H4832">
        <f>HYPERLINK("https://www.wikidata.org/wiki/Q8329852", "Q8329852")</f>
        <v>0</v>
      </c>
    </row>
    <row r="4833" spans="1:8">
      <c r="A4833" t="s">
        <v>4839</v>
      </c>
      <c r="B4833" t="s">
        <v>9137</v>
      </c>
      <c r="C4833" t="s">
        <v>9851</v>
      </c>
      <c r="D4833" t="s">
        <v>15663</v>
      </c>
      <c r="E4833" s="2">
        <v>1469</v>
      </c>
      <c r="G4833">
        <f>HYPERLINK("https://www.senat.fr/senateur-3eme-republique/turgis_hippolyte0354r3.html", "turgis_hippolyte0354r3")</f>
        <v>0</v>
      </c>
      <c r="H4833">
        <f>HYPERLINK("https://www.wikidata.org/wiki/Q3136134", "Q3136134")</f>
        <v>0</v>
      </c>
    </row>
    <row r="4834" spans="1:8">
      <c r="A4834" t="s">
        <v>4840</v>
      </c>
      <c r="B4834" t="s">
        <v>9138</v>
      </c>
      <c r="C4834" t="s">
        <v>11312</v>
      </c>
      <c r="D4834" t="s">
        <v>15664</v>
      </c>
      <c r="E4834" s="2">
        <v>2040</v>
      </c>
      <c r="F4834">
        <f>HYPERLINK("https://www2.assemblee-nationale.fr/sycomore/fiche/(num_dept)/7174", "7174.0")</f>
        <v>0</v>
      </c>
      <c r="H4834">
        <f>HYPERLINK("https://www.wikidata.org/wiki/Q3174122", "Q3174122")</f>
        <v>0</v>
      </c>
    </row>
    <row r="4835" spans="1:8">
      <c r="A4835" t="s">
        <v>4841</v>
      </c>
      <c r="B4835" t="s">
        <v>9139</v>
      </c>
      <c r="C4835" t="s">
        <v>9324</v>
      </c>
      <c r="D4835" t="s">
        <v>15665</v>
      </c>
      <c r="E4835" s="2">
        <v>16668</v>
      </c>
      <c r="G4835">
        <f>HYPERLINK("https://www.senat.fr/senateur-3eme-republique/turlier_henri1232r3.html", "turlier_henri1232r3")</f>
        <v>0</v>
      </c>
      <c r="H4835">
        <f>HYPERLINK("https://www.wikidata.org/wiki/Q3133117", "Q3133117")</f>
        <v>0</v>
      </c>
    </row>
    <row r="4836" spans="1:8">
      <c r="A4836" t="s">
        <v>4842</v>
      </c>
      <c r="B4836" t="s">
        <v>9140</v>
      </c>
      <c r="C4836" t="s">
        <v>11313</v>
      </c>
      <c r="D4836" t="s">
        <v>15666</v>
      </c>
      <c r="E4836" s="2">
        <v>6945</v>
      </c>
      <c r="F4836">
        <f>HYPERLINK("https://www2.assemblee-nationale.fr/sycomore/fiche/(num_dept)/7177", "7177.0")</f>
        <v>0</v>
      </c>
      <c r="H4836">
        <f>HYPERLINK("https://www.wikidata.org/wiki/Q3263224", "Q3263224")</f>
        <v>0</v>
      </c>
    </row>
    <row r="4837" spans="1:8">
      <c r="A4837" t="s">
        <v>4843</v>
      </c>
      <c r="B4837" t="s">
        <v>9141</v>
      </c>
      <c r="C4837" t="s">
        <v>11314</v>
      </c>
      <c r="D4837" t="s">
        <v>15667</v>
      </c>
      <c r="E4837" t="s">
        <v>16455</v>
      </c>
      <c r="F4837">
        <f>HYPERLINK("https://www2.assemblee-nationale.fr/sycomore/fiche/(num_dept)/8050", "8050.0")</f>
        <v>0</v>
      </c>
      <c r="H4837">
        <f>HYPERLINK("https://www.wikidata.org/wiki/Q7128172", "Q7128172")</f>
        <v>0</v>
      </c>
    </row>
    <row r="4838" spans="1:8">
      <c r="A4838" t="s">
        <v>4844</v>
      </c>
      <c r="B4838" t="s">
        <v>9142</v>
      </c>
      <c r="C4838" t="s">
        <v>11315</v>
      </c>
      <c r="D4838" t="s">
        <v>15668</v>
      </c>
      <c r="E4838" s="2">
        <v>5153</v>
      </c>
      <c r="F4838">
        <f>HYPERLINK("https://www2.assemblee-nationale.fr/sycomore/fiche/(num_dept)/7178", "7178.0")</f>
        <v>0</v>
      </c>
      <c r="H4838">
        <f>HYPERLINK("https://www.wikidata.org/wiki/Q3048008", "Q3048008")</f>
        <v>0</v>
      </c>
    </row>
    <row r="4839" spans="1:8">
      <c r="A4839" t="s">
        <v>4845</v>
      </c>
      <c r="B4839" t="s">
        <v>9143</v>
      </c>
      <c r="C4839" t="s">
        <v>11316</v>
      </c>
      <c r="D4839" t="s">
        <v>15669</v>
      </c>
      <c r="E4839" s="2">
        <v>16790</v>
      </c>
      <c r="F4839">
        <f>HYPERLINK("https://www2.assemblee-nationale.fr/sycomore/fiche/(num_dept)/7179", "7179.0")</f>
        <v>0</v>
      </c>
      <c r="H4839">
        <f>HYPERLINK("https://www.wikidata.org/wiki/Q2824919", "Q2824919")</f>
        <v>0</v>
      </c>
    </row>
    <row r="4840" spans="1:8">
      <c r="A4840" t="s">
        <v>4846</v>
      </c>
      <c r="B4840" t="s">
        <v>9144</v>
      </c>
      <c r="C4840" t="s">
        <v>11317</v>
      </c>
      <c r="D4840" t="s">
        <v>15670</v>
      </c>
      <c r="E4840" t="s">
        <v>16456</v>
      </c>
      <c r="F4840">
        <f>HYPERLINK("https://www2.assemblee-nationale.fr/sycomore/fiche/(num_dept)/8221", "8221.0")</f>
        <v>0</v>
      </c>
      <c r="H4840">
        <f>HYPERLINK("https://www.wikidata.org/wiki/Q16026542", "Q16026542")</f>
        <v>0</v>
      </c>
    </row>
    <row r="4841" spans="1:8">
      <c r="A4841" t="s">
        <v>4847</v>
      </c>
      <c r="B4841" t="s">
        <v>9145</v>
      </c>
      <c r="C4841" t="s">
        <v>11318</v>
      </c>
      <c r="D4841" t="s">
        <v>13264</v>
      </c>
      <c r="E4841" t="s">
        <v>16203</v>
      </c>
      <c r="F4841">
        <f>HYPERLINK("https://www2.assemblee-nationale.fr/sycomore/fiche/(num_dept)/7005", "7005.0")</f>
        <v>0</v>
      </c>
      <c r="H4841">
        <f>HYPERLINK("https://www.wikidata.org/wiki/Q2856758", "Q2856758")</f>
        <v>0</v>
      </c>
    </row>
    <row r="4842" spans="1:8">
      <c r="A4842" t="s">
        <v>4848</v>
      </c>
      <c r="B4842" t="s">
        <v>9146</v>
      </c>
      <c r="C4842" t="s">
        <v>9471</v>
      </c>
      <c r="D4842" t="s">
        <v>15671</v>
      </c>
      <c r="E4842" s="2">
        <v>13193</v>
      </c>
      <c r="F4842">
        <f>HYPERLINK("https://www2.assemblee-nationale.fr/sycomore/fiche/(num_dept)/7184", "7184.0")</f>
        <v>0</v>
      </c>
      <c r="H4842">
        <f>HYPERLINK("https://www.wikidata.org/wiki/Q3188949", "Q3188949")</f>
        <v>0</v>
      </c>
    </row>
    <row r="4843" spans="1:8">
      <c r="A4843" t="s">
        <v>4849</v>
      </c>
      <c r="B4843" t="s">
        <v>9147</v>
      </c>
      <c r="C4843" t="s">
        <v>7001</v>
      </c>
      <c r="D4843" t="s">
        <v>15672</v>
      </c>
      <c r="E4843" s="2">
        <v>19735</v>
      </c>
      <c r="G4843">
        <f>HYPERLINK("https://www.senat.fr/senateur-3eme-republique/ulmo_georges0872r3.html", "ulmo_georges0872r3")</f>
        <v>0</v>
      </c>
      <c r="H4843">
        <f>HYPERLINK("https://www.wikidata.org/wiki/Q3103575", "Q3103575")</f>
        <v>0</v>
      </c>
    </row>
    <row r="4844" spans="1:8">
      <c r="A4844" t="s">
        <v>4850</v>
      </c>
      <c r="B4844" t="s">
        <v>9148</v>
      </c>
      <c r="C4844" t="s">
        <v>11319</v>
      </c>
      <c r="D4844" t="s">
        <v>15673</v>
      </c>
      <c r="E4844" s="2">
        <v>12267</v>
      </c>
      <c r="F4844">
        <f>HYPERLINK("https://www2.assemblee-nationale.fr/sycomore/fiche/(num_dept)/7186", "7186.0")</f>
        <v>0</v>
      </c>
      <c r="H4844">
        <f>HYPERLINK("https://www.wikidata.org/wiki/Q1806417", "Q1806417")</f>
        <v>0</v>
      </c>
    </row>
    <row r="4845" spans="1:8">
      <c r="A4845" t="s">
        <v>4851</v>
      </c>
      <c r="B4845" t="s">
        <v>9149</v>
      </c>
      <c r="C4845" t="s">
        <v>11320</v>
      </c>
      <c r="D4845" t="s">
        <v>15674</v>
      </c>
      <c r="E4845" s="2">
        <v>22729</v>
      </c>
      <c r="G4845">
        <f>HYPERLINK("https://www.senat.fr/senateur-3eme-republique/urban_jean_jacques1103r3.html", "urban_jean_jacques1103r3")</f>
        <v>0</v>
      </c>
      <c r="H4845">
        <f>HYPERLINK("https://www.wikidata.org/wiki/Q3166433", "Q3166433")</f>
        <v>0</v>
      </c>
    </row>
    <row r="4846" spans="1:8">
      <c r="A4846" t="s">
        <v>4852</v>
      </c>
      <c r="B4846" t="s">
        <v>9150</v>
      </c>
      <c r="C4846" t="s">
        <v>11321</v>
      </c>
      <c r="D4846" t="s">
        <v>15675</v>
      </c>
      <c r="E4846" s="2">
        <v>6569</v>
      </c>
      <c r="F4846">
        <f>HYPERLINK("https://www2.assemblee-nationale.fr/sycomore/fiche/(num_dept)/7189", "7189.0")</f>
        <v>0</v>
      </c>
      <c r="H4846">
        <f>HYPERLINK("https://www.wikidata.org/wiki/Q28467356", "Q28467356")</f>
        <v>0</v>
      </c>
    </row>
    <row r="4847" spans="1:8">
      <c r="A4847" t="s">
        <v>4853</v>
      </c>
      <c r="B4847" t="s">
        <v>9151</v>
      </c>
      <c r="C4847" t="s">
        <v>11322</v>
      </c>
      <c r="D4847" t="s">
        <v>15676</v>
      </c>
      <c r="E4847" s="2">
        <v>4050</v>
      </c>
      <c r="F4847">
        <f>HYPERLINK("https://www2.assemblee-nationale.fr/sycomore/fiche/(num_dept)/8094", "8094.0")</f>
        <v>0</v>
      </c>
      <c r="H4847">
        <f>HYPERLINK("https://www.wikidata.org/wiki/Q16026576", "Q16026576")</f>
        <v>0</v>
      </c>
    </row>
    <row r="4848" spans="1:8">
      <c r="A4848" t="s">
        <v>4854</v>
      </c>
      <c r="B4848" t="s">
        <v>9152</v>
      </c>
      <c r="C4848" t="s">
        <v>11323</v>
      </c>
      <c r="D4848" t="s">
        <v>15677</v>
      </c>
      <c r="E4848" s="2">
        <v>1292</v>
      </c>
      <c r="F4848">
        <f>HYPERLINK("https://www2.assemblee-nationale.fr/sycomore/fiche/(num_dept)/7191", "7191.0")</f>
        <v>0</v>
      </c>
      <c r="H4848">
        <f>HYPERLINK("https://www.wikidata.org/wiki/Q16026577", "Q16026577")</f>
        <v>0</v>
      </c>
    </row>
    <row r="4849" spans="1:8">
      <c r="A4849" t="s">
        <v>4855</v>
      </c>
      <c r="B4849" t="s">
        <v>9152</v>
      </c>
      <c r="C4849" t="s">
        <v>10070</v>
      </c>
      <c r="D4849" t="s">
        <v>15678</v>
      </c>
      <c r="E4849" s="2">
        <v>7101</v>
      </c>
      <c r="F4849">
        <f>HYPERLINK("https://www2.assemblee-nationale.fr/sycomore/fiche/(num_dept)/7192", "7192.0")</f>
        <v>0</v>
      </c>
      <c r="H4849">
        <f>HYPERLINK("https://www.wikidata.org/wiki/Q8317389", "Q8317389")</f>
        <v>0</v>
      </c>
    </row>
    <row r="4850" spans="1:8">
      <c r="A4850" t="s">
        <v>4856</v>
      </c>
      <c r="B4850" t="s">
        <v>9153</v>
      </c>
      <c r="C4850" t="s">
        <v>9324</v>
      </c>
      <c r="D4850" t="s">
        <v>15679</v>
      </c>
      <c r="E4850" s="2">
        <v>6398</v>
      </c>
      <c r="F4850">
        <f>HYPERLINK("https://www2.assemblee-nationale.fr/sycomore/fiche/(num_dept)/7193", "7193.0")</f>
        <v>0</v>
      </c>
      <c r="G4850">
        <f>HYPERLINK("https://www.senat.fr/senateur-3eme-republique/vacherie_henri1791r3.html", "vacherie_henri1791r3")</f>
        <v>0</v>
      </c>
      <c r="H4850">
        <f>HYPERLINK("https://www.wikidata.org/wiki/Q3132113", "Q3132113")</f>
        <v>0</v>
      </c>
    </row>
    <row r="4851" spans="1:8">
      <c r="A4851" t="s">
        <v>4857</v>
      </c>
      <c r="B4851" t="s">
        <v>9154</v>
      </c>
      <c r="C4851" t="s">
        <v>9355</v>
      </c>
      <c r="D4851" t="s">
        <v>15680</v>
      </c>
      <c r="E4851" s="2">
        <v>5471</v>
      </c>
      <c r="G4851">
        <f>HYPERLINK("https://www.senat.fr/senateur-3eme-republique/vagnat_charles0075r3.html", "vagnat_charles0075r3")</f>
        <v>0</v>
      </c>
      <c r="H4851">
        <f>HYPERLINK("https://www.wikidata.org/wiki/Q2960358", "Q2960358")</f>
        <v>0</v>
      </c>
    </row>
    <row r="4852" spans="1:8">
      <c r="A4852" t="s">
        <v>4858</v>
      </c>
      <c r="B4852" t="s">
        <v>9155</v>
      </c>
      <c r="C4852" t="s">
        <v>11324</v>
      </c>
      <c r="D4852" t="s">
        <v>15681</v>
      </c>
      <c r="E4852" s="2">
        <v>13798</v>
      </c>
      <c r="F4852">
        <f>HYPERLINK("https://www2.assemblee-nationale.fr/sycomore/fiche/(num_dept)/7302", "7302.0")</f>
        <v>0</v>
      </c>
      <c r="H4852">
        <f>HYPERLINK("https://www.wikidata.org/wiki/Q3372335", "Q3372335")</f>
        <v>0</v>
      </c>
    </row>
    <row r="4853" spans="1:8">
      <c r="A4853" t="s">
        <v>4859</v>
      </c>
      <c r="B4853" t="s">
        <v>9156</v>
      </c>
      <c r="C4853" t="s">
        <v>9346</v>
      </c>
      <c r="D4853" t="s">
        <v>15682</v>
      </c>
      <c r="E4853" s="2">
        <v>5831</v>
      </c>
      <c r="F4853">
        <f>HYPERLINK("https://www2.assemblee-nationale.fr/sycomore/fiche/(num_dept)/7392", "7392.0")</f>
        <v>0</v>
      </c>
      <c r="H4853">
        <f>HYPERLINK("https://www.wikidata.org/wiki/Q274464", "Q274464")</f>
        <v>0</v>
      </c>
    </row>
    <row r="4854" spans="1:8">
      <c r="A4854" t="s">
        <v>4860</v>
      </c>
      <c r="B4854" t="s">
        <v>9157</v>
      </c>
      <c r="C4854" t="s">
        <v>7342</v>
      </c>
      <c r="D4854" t="s">
        <v>15246</v>
      </c>
      <c r="E4854" s="2">
        <v>21893</v>
      </c>
      <c r="G4854">
        <f>HYPERLINK("https://www.senat.fr/senateur-3eme-republique/valadier_jean0770r3.html", "valadier_jean0770r3")</f>
        <v>0</v>
      </c>
      <c r="H4854">
        <f>HYPERLINK("https://www.wikidata.org/wiki/Q3174926", "Q3174926")</f>
        <v>0</v>
      </c>
    </row>
    <row r="4855" spans="1:8">
      <c r="A4855" t="s">
        <v>4861</v>
      </c>
      <c r="B4855" t="s">
        <v>9158</v>
      </c>
      <c r="C4855" t="s">
        <v>10211</v>
      </c>
      <c r="D4855" t="s">
        <v>15683</v>
      </c>
      <c r="E4855" s="2">
        <v>21803</v>
      </c>
      <c r="F4855">
        <f>HYPERLINK("https://www2.assemblee-nationale.fr/sycomore/fiche/(num_dept)/7340", "7340.0")</f>
        <v>0</v>
      </c>
      <c r="H4855">
        <f>HYPERLINK("https://www.wikidata.org/wiki/Q15987639", "Q15987639")</f>
        <v>0</v>
      </c>
    </row>
    <row r="4856" spans="1:8">
      <c r="A4856" t="s">
        <v>4862</v>
      </c>
      <c r="B4856" t="s">
        <v>9159</v>
      </c>
      <c r="C4856" t="s">
        <v>11325</v>
      </c>
      <c r="D4856" t="s">
        <v>15684</v>
      </c>
      <c r="E4856" t="s">
        <v>16457</v>
      </c>
      <c r="F4856">
        <f>HYPERLINK("https://www2.assemblee-nationale.fr/sycomore/fiche/(num_dept)/7474", "7474.0")</f>
        <v>0</v>
      </c>
      <c r="H4856">
        <f>HYPERLINK("https://www.wikidata.org/wiki/Q3083574", "Q3083574")</f>
        <v>0</v>
      </c>
    </row>
    <row r="4857" spans="1:8">
      <c r="A4857" t="s">
        <v>4863</v>
      </c>
      <c r="B4857" t="s">
        <v>9160</v>
      </c>
      <c r="C4857" t="s">
        <v>11326</v>
      </c>
      <c r="D4857" t="s">
        <v>15685</v>
      </c>
      <c r="E4857" s="2">
        <v>18250</v>
      </c>
      <c r="F4857">
        <f>HYPERLINK("https://www2.assemblee-nationale.fr/sycomore/fiche/(num_dept)/7386", "7386.0")</f>
        <v>0</v>
      </c>
      <c r="H4857">
        <f>HYPERLINK("https://www.wikidata.org/wiki/Q3293862", "Q3293862")</f>
        <v>0</v>
      </c>
    </row>
    <row r="4858" spans="1:8">
      <c r="A4858" t="s">
        <v>4864</v>
      </c>
      <c r="B4858" t="s">
        <v>9161</v>
      </c>
      <c r="C4858" t="s">
        <v>10372</v>
      </c>
      <c r="D4858" t="s">
        <v>15686</v>
      </c>
      <c r="E4858" s="2">
        <v>16343</v>
      </c>
      <c r="G4858">
        <f>HYPERLINK("https://www.senat.fr/senateur-3eme-republique/valette_desire0718r3.html", "valette_desire0718r3")</f>
        <v>0</v>
      </c>
      <c r="H4858">
        <f>HYPERLINK("https://www.wikidata.org/wiki/Q3045197", "Q3045197")</f>
        <v>0</v>
      </c>
    </row>
    <row r="4859" spans="1:8">
      <c r="A4859" t="s">
        <v>4865</v>
      </c>
      <c r="B4859" t="s">
        <v>9162</v>
      </c>
      <c r="C4859" t="s">
        <v>11327</v>
      </c>
      <c r="D4859" t="s">
        <v>12337</v>
      </c>
      <c r="E4859" s="2">
        <v>23520</v>
      </c>
      <c r="F4859">
        <f>HYPERLINK("https://www2.assemblee-nationale.fr/sycomore/fiche/(num_dept)/7304", "7304.0")</f>
        <v>0</v>
      </c>
      <c r="H4859">
        <f>HYPERLINK("https://www.wikidata.org/wiki/Q3460596", "Q3460596")</f>
        <v>0</v>
      </c>
    </row>
    <row r="4860" spans="1:8">
      <c r="A4860" t="s">
        <v>4866</v>
      </c>
      <c r="B4860" t="s">
        <v>9163</v>
      </c>
      <c r="C4860" t="s">
        <v>9602</v>
      </c>
      <c r="D4860" t="s">
        <v>15687</v>
      </c>
      <c r="E4860" s="2">
        <v>25939</v>
      </c>
      <c r="F4860">
        <f>HYPERLINK("https://www2.assemblee-nationale.fr/sycomore/fiche/(num_dept)/7283", "7283.0")</f>
        <v>0</v>
      </c>
      <c r="H4860">
        <f>HYPERLINK("https://www.wikidata.org/wiki/Q2291608", "Q2291608")</f>
        <v>0</v>
      </c>
    </row>
    <row r="4861" spans="1:8">
      <c r="A4861" t="s">
        <v>4867</v>
      </c>
      <c r="B4861" t="s">
        <v>9164</v>
      </c>
      <c r="C4861" t="s">
        <v>9332</v>
      </c>
      <c r="D4861" t="s">
        <v>15688</v>
      </c>
      <c r="E4861" s="2">
        <v>7329</v>
      </c>
      <c r="G4861">
        <f>HYPERLINK("https://www.senat.fr/senateur-3eme-republique/valle_ernest0643r3.html", "valle_ernest0643r3")</f>
        <v>0</v>
      </c>
      <c r="H4861">
        <f>HYPERLINK("https://www.wikidata.org/wiki/Q3057194", "Q3057194")</f>
        <v>0</v>
      </c>
    </row>
    <row r="4862" spans="1:8">
      <c r="A4862" t="s">
        <v>4868</v>
      </c>
      <c r="B4862" t="s">
        <v>9165</v>
      </c>
      <c r="C4862" t="s">
        <v>8384</v>
      </c>
      <c r="D4862" t="s">
        <v>15689</v>
      </c>
      <c r="E4862" s="2">
        <v>24964</v>
      </c>
      <c r="F4862">
        <f>HYPERLINK("https://www2.assemblee-nationale.fr/sycomore/fiche/(num_dept)/7282", "7282.0")</f>
        <v>0</v>
      </c>
      <c r="H4862">
        <f>HYPERLINK("https://www.wikidata.org/wiki/Q3387228", "Q3387228")</f>
        <v>0</v>
      </c>
    </row>
    <row r="4863" spans="1:8">
      <c r="A4863" t="s">
        <v>4869</v>
      </c>
      <c r="B4863" t="s">
        <v>9166</v>
      </c>
      <c r="C4863" t="s">
        <v>7008</v>
      </c>
      <c r="D4863" t="s">
        <v>15690</v>
      </c>
      <c r="E4863" t="s">
        <v>16458</v>
      </c>
      <c r="G4863">
        <f>HYPERLINK("https://www.senat.fr/senateur-3eme-republique/vallier_germain1140r3.html", "vallier_germain1140r3")</f>
        <v>0</v>
      </c>
      <c r="H4863">
        <f>HYPERLINK("https://www.wikidata.org/wiki/Q3104146", "Q3104146")</f>
        <v>0</v>
      </c>
    </row>
    <row r="4864" spans="1:8">
      <c r="A4864" t="s">
        <v>4870</v>
      </c>
      <c r="B4864" t="s">
        <v>9166</v>
      </c>
      <c r="C4864" t="s">
        <v>9373</v>
      </c>
      <c r="D4864" t="s">
        <v>15691</v>
      </c>
      <c r="E4864" s="2">
        <v>13022</v>
      </c>
      <c r="G4864">
        <f>HYPERLINK("https://www.senat.fr/senateur-3eme-republique/vallier_joseph1201r3.html", "vallier_joseph1201r3")</f>
        <v>0</v>
      </c>
      <c r="H4864">
        <f>HYPERLINK("https://www.wikidata.org/wiki/Q3185711", "Q3185711")</f>
        <v>0</v>
      </c>
    </row>
    <row r="4865" spans="1:8">
      <c r="A4865" t="s">
        <v>4871</v>
      </c>
      <c r="B4865" t="s">
        <v>9167</v>
      </c>
      <c r="C4865" t="s">
        <v>11328</v>
      </c>
      <c r="D4865" t="s">
        <v>14131</v>
      </c>
      <c r="E4865" t="s">
        <v>16459</v>
      </c>
      <c r="F4865">
        <f>HYPERLINK("https://www2.assemblee-nationale.fr/sycomore/fiche/(num_dept)/7452", "7452.0")</f>
        <v>0</v>
      </c>
      <c r="H4865">
        <f>HYPERLINK("https://www.wikidata.org/wiki/Q2861381", "Q2861381")</f>
        <v>0</v>
      </c>
    </row>
    <row r="4866" spans="1:8">
      <c r="A4866" t="s">
        <v>4872</v>
      </c>
      <c r="B4866" t="s">
        <v>9168</v>
      </c>
      <c r="C4866" t="s">
        <v>9332</v>
      </c>
      <c r="D4866" t="s">
        <v>15688</v>
      </c>
      <c r="E4866" s="2">
        <v>7329</v>
      </c>
      <c r="F4866">
        <f>HYPERLINK("https://www2.assemblee-nationale.fr/sycomore/fiche/(num_dept)/7444", "7444.0")</f>
        <v>0</v>
      </c>
      <c r="H4866">
        <f>HYPERLINK("https://www.wikidata.org/wiki/Q3057194", "Q3057194")</f>
        <v>0</v>
      </c>
    </row>
    <row r="4867" spans="1:8">
      <c r="A4867" t="s">
        <v>4873</v>
      </c>
      <c r="B4867" t="s">
        <v>9169</v>
      </c>
      <c r="C4867" t="s">
        <v>11329</v>
      </c>
      <c r="D4867" t="s">
        <v>15692</v>
      </c>
      <c r="E4867" s="2">
        <v>9839</v>
      </c>
      <c r="F4867">
        <f>HYPERLINK("https://www2.assemblee-nationale.fr/sycomore/fiche/(num_dept)/7428", "7428.0")</f>
        <v>0</v>
      </c>
      <c r="H4867">
        <f>HYPERLINK("https://www.wikidata.org/wiki/Q16026580", "Q16026580")</f>
        <v>0</v>
      </c>
    </row>
    <row r="4868" spans="1:8">
      <c r="A4868" t="s">
        <v>4874</v>
      </c>
      <c r="B4868" t="s">
        <v>9170</v>
      </c>
      <c r="C4868" t="s">
        <v>11330</v>
      </c>
      <c r="D4868" t="s">
        <v>15693</v>
      </c>
      <c r="E4868" s="2">
        <v>913</v>
      </c>
      <c r="F4868">
        <f>HYPERLINK("https://www2.assemblee-nationale.fr/sycomore/fiche/(num_dept)/8054", "8054.0")</f>
        <v>0</v>
      </c>
      <c r="H4868">
        <f>HYPERLINK("https://www.wikidata.org/wiki/Q16026581", "Q16026581")</f>
        <v>0</v>
      </c>
    </row>
    <row r="4869" spans="1:8">
      <c r="A4869" t="s">
        <v>4875</v>
      </c>
      <c r="B4869" t="s">
        <v>9171</v>
      </c>
      <c r="C4869" t="s">
        <v>8384</v>
      </c>
      <c r="D4869" t="s">
        <v>15694</v>
      </c>
      <c r="E4869" s="2">
        <v>10985</v>
      </c>
      <c r="F4869">
        <f>HYPERLINK("https://www2.assemblee-nationale.fr/sycomore/fiche/(num_dept)/7356", "7356.0")</f>
        <v>0</v>
      </c>
      <c r="H4869">
        <f>HYPERLINK("https://www.wikidata.org/wiki/Q3387230", "Q3387230")</f>
        <v>0</v>
      </c>
    </row>
    <row r="4870" spans="1:8">
      <c r="A4870" t="s">
        <v>4876</v>
      </c>
      <c r="B4870" t="s">
        <v>9172</v>
      </c>
      <c r="C4870" t="s">
        <v>11331</v>
      </c>
      <c r="D4870" t="s">
        <v>15560</v>
      </c>
      <c r="E4870" s="2">
        <v>10167</v>
      </c>
      <c r="F4870">
        <f>HYPERLINK("https://www2.assemblee-nationale.fr/sycomore/fiche/(num_dept)/7371", "7371.0")</f>
        <v>0</v>
      </c>
      <c r="H4870">
        <f>HYPERLINK("https://www.wikidata.org/wiki/Q16026582", "Q16026582")</f>
        <v>0</v>
      </c>
    </row>
    <row r="4871" spans="1:8">
      <c r="A4871" t="s">
        <v>4877</v>
      </c>
      <c r="B4871" t="s">
        <v>9173</v>
      </c>
      <c r="C4871" t="s">
        <v>11332</v>
      </c>
      <c r="D4871" t="s">
        <v>15695</v>
      </c>
      <c r="E4871" t="s">
        <v>16460</v>
      </c>
      <c r="F4871">
        <f>HYPERLINK("https://www2.assemblee-nationale.fr/sycomore/fiche/(num_dept)/8226", "8226.0")</f>
        <v>0</v>
      </c>
      <c r="H4871">
        <f>HYPERLINK("https://www.wikidata.org/wiki/Q3085976", "Q3085976")</f>
        <v>0</v>
      </c>
    </row>
    <row r="4872" spans="1:8">
      <c r="A4872" t="s">
        <v>4878</v>
      </c>
      <c r="B4872" t="s">
        <v>9174</v>
      </c>
      <c r="C4872" t="s">
        <v>11333</v>
      </c>
      <c r="D4872" t="s">
        <v>15696</v>
      </c>
      <c r="E4872" s="2">
        <v>25478</v>
      </c>
      <c r="F4872">
        <f>HYPERLINK("https://www2.assemblee-nationale.fr/sycomore/fiche/(num_dept)/7303", "7303.0")</f>
        <v>0</v>
      </c>
      <c r="H4872">
        <f>HYPERLINK("https://www.wikidata.org/wiki/Q3289462", "Q3289462")</f>
        <v>0</v>
      </c>
    </row>
    <row r="4873" spans="1:8">
      <c r="A4873" t="s">
        <v>4879</v>
      </c>
      <c r="B4873" t="s">
        <v>9175</v>
      </c>
      <c r="C4873" t="s">
        <v>11334</v>
      </c>
      <c r="D4873" t="s">
        <v>15697</v>
      </c>
      <c r="E4873" s="2">
        <v>17214</v>
      </c>
      <c r="F4873">
        <f>HYPERLINK("https://www2.assemblee-nationale.fr/sycomore/fiche/(num_dept)/7210", "7210.0")</f>
        <v>0</v>
      </c>
      <c r="H4873">
        <f>HYPERLINK("https://www.wikidata.org/wiki/Q1247638", "Q1247638")</f>
        <v>0</v>
      </c>
    </row>
    <row r="4874" spans="1:8">
      <c r="A4874" t="s">
        <v>4880</v>
      </c>
      <c r="B4874" t="s">
        <v>9176</v>
      </c>
      <c r="C4874" t="s">
        <v>7754</v>
      </c>
      <c r="D4874" t="s">
        <v>15698</v>
      </c>
      <c r="E4874" t="s">
        <v>16461</v>
      </c>
      <c r="F4874">
        <f>HYPERLINK("https://www2.assemblee-nationale.fr/sycomore/fiche/(num_dept)/7454", "7454.0")</f>
        <v>0</v>
      </c>
      <c r="H4874">
        <f>HYPERLINK("https://www.wikidata.org/wiki/Q16026583", "Q16026583")</f>
        <v>0</v>
      </c>
    </row>
    <row r="4875" spans="1:8">
      <c r="A4875" t="s">
        <v>4881</v>
      </c>
      <c r="B4875" t="s">
        <v>9177</v>
      </c>
      <c r="C4875" t="s">
        <v>9324</v>
      </c>
      <c r="D4875" t="s">
        <v>15699</v>
      </c>
      <c r="E4875" t="s">
        <v>16462</v>
      </c>
      <c r="G4875">
        <f>HYPERLINK("https://www.senat.fr/senateur-3eme-republique/varroy_henry0928r3.html", "varroy_henry0928r3")</f>
        <v>0</v>
      </c>
      <c r="H4875">
        <f>HYPERLINK("https://www.wikidata.org/wiki/Q3132133", "Q3132133")</f>
        <v>0</v>
      </c>
    </row>
    <row r="4876" spans="1:8">
      <c r="A4876" t="s">
        <v>4882</v>
      </c>
      <c r="B4876" t="s">
        <v>9178</v>
      </c>
      <c r="C4876" t="s">
        <v>11335</v>
      </c>
      <c r="D4876" t="s">
        <v>15700</v>
      </c>
      <c r="E4876" t="s">
        <v>16463</v>
      </c>
      <c r="F4876">
        <f>HYPERLINK("https://www2.assemblee-nationale.fr/sycomore/fiche/(num_dept)/7484", "7484.0")</f>
        <v>0</v>
      </c>
      <c r="H4876">
        <f>HYPERLINK("https://www.wikidata.org/wiki/Q16026584", "Q16026584")</f>
        <v>0</v>
      </c>
    </row>
    <row r="4877" spans="1:8">
      <c r="A4877" t="s">
        <v>4883</v>
      </c>
      <c r="B4877" t="s">
        <v>9179</v>
      </c>
      <c r="C4877" t="s">
        <v>7342</v>
      </c>
      <c r="D4877" t="s">
        <v>15701</v>
      </c>
      <c r="E4877" s="2">
        <v>19506</v>
      </c>
      <c r="F4877">
        <f>HYPERLINK("https://www2.assemblee-nationale.fr/sycomore/fiche/(num_dept)/7295", "7295.0")</f>
        <v>0</v>
      </c>
      <c r="H4877">
        <f>HYPERLINK("https://www.wikidata.org/wiki/Q3174977", "Q3174977")</f>
        <v>0</v>
      </c>
    </row>
    <row r="4878" spans="1:8">
      <c r="A4878" t="s">
        <v>4884</v>
      </c>
      <c r="B4878" t="s">
        <v>9180</v>
      </c>
      <c r="C4878" t="s">
        <v>11336</v>
      </c>
      <c r="D4878" t="s">
        <v>15702</v>
      </c>
      <c r="E4878" s="2">
        <v>19699</v>
      </c>
      <c r="F4878">
        <f>HYPERLINK("https://www2.assemblee-nationale.fr/sycomore/fiche/(num_dept)/7362", "7362.0")</f>
        <v>0</v>
      </c>
      <c r="G4878">
        <f>HYPERLINK("https://www.senat.fr/senateur-3eme-republique/vasseux_paul0892r3.html", "vasseux_paul0892r3")</f>
        <v>0</v>
      </c>
      <c r="H4878">
        <f>HYPERLINK("https://www.wikidata.org/wiki/Q3370379", "Q3370379")</f>
        <v>0</v>
      </c>
    </row>
    <row r="4879" spans="1:8">
      <c r="A4879" t="s">
        <v>4885</v>
      </c>
      <c r="B4879" t="s">
        <v>9181</v>
      </c>
      <c r="C4879" t="s">
        <v>11337</v>
      </c>
      <c r="D4879" t="s">
        <v>12783</v>
      </c>
      <c r="E4879" t="s">
        <v>16010</v>
      </c>
      <c r="F4879">
        <f>HYPERLINK("https://www2.assemblee-nationale.fr/sycomore/fiche/(num_dept)/7472", "7472.0")</f>
        <v>0</v>
      </c>
      <c r="H4879">
        <f>HYPERLINK("https://www.wikidata.org/wiki/Q2835553", "Q2835553")</f>
        <v>0</v>
      </c>
    </row>
    <row r="4880" spans="1:8">
      <c r="A4880" t="s">
        <v>4886</v>
      </c>
      <c r="B4880" t="s">
        <v>9182</v>
      </c>
      <c r="C4880" t="s">
        <v>11338</v>
      </c>
      <c r="D4880" t="s">
        <v>15703</v>
      </c>
      <c r="E4880" s="2">
        <v>2570</v>
      </c>
      <c r="F4880">
        <f>HYPERLINK("https://www2.assemblee-nationale.fr/sycomore/fiche/(num_dept)/10589", "10589.0")</f>
        <v>0</v>
      </c>
      <c r="H4880">
        <f>HYPERLINK("https://www.wikidata.org/wiki/Q16026585", "Q16026585")</f>
        <v>0</v>
      </c>
    </row>
    <row r="4881" spans="1:8">
      <c r="A4881" t="s">
        <v>4887</v>
      </c>
      <c r="B4881" t="s">
        <v>9183</v>
      </c>
      <c r="C4881" t="s">
        <v>11339</v>
      </c>
      <c r="D4881" t="s">
        <v>14889</v>
      </c>
      <c r="E4881" s="2">
        <v>7959</v>
      </c>
      <c r="F4881">
        <f>HYPERLINK("https://www2.assemblee-nationale.fr/sycomore/fiche/(num_dept)/2769", "2769.0")</f>
        <v>0</v>
      </c>
      <c r="H4881">
        <f>HYPERLINK("https://www.wikidata.org/wiki/Q2958978", "Q2958978")</f>
        <v>0</v>
      </c>
    </row>
    <row r="4882" spans="1:8">
      <c r="A4882" t="s">
        <v>4888</v>
      </c>
      <c r="B4882" t="s">
        <v>9184</v>
      </c>
      <c r="C4882" t="s">
        <v>11340</v>
      </c>
      <c r="D4882" t="s">
        <v>15704</v>
      </c>
      <c r="E4882" s="2">
        <v>14844</v>
      </c>
      <c r="F4882">
        <f>HYPERLINK("https://www2.assemblee-nationale.fr/sycomore/fiche/(num_dept)/7441", "7441.0")</f>
        <v>0</v>
      </c>
      <c r="H4882">
        <f>HYPERLINK("https://www.wikidata.org/wiki/Q16026586", "Q16026586")</f>
        <v>0</v>
      </c>
    </row>
    <row r="4883" spans="1:8">
      <c r="A4883" t="s">
        <v>4889</v>
      </c>
      <c r="B4883" t="s">
        <v>9185</v>
      </c>
      <c r="C4883" t="s">
        <v>11341</v>
      </c>
      <c r="D4883" t="s">
        <v>12023</v>
      </c>
      <c r="E4883" s="2">
        <v>18297</v>
      </c>
      <c r="F4883">
        <f>HYPERLINK("https://www2.assemblee-nationale.fr/sycomore/fiche/(num_dept)/7370", "7370.0")</f>
        <v>0</v>
      </c>
      <c r="H4883">
        <f>HYPERLINK("https://www.wikidata.org/wiki/Q16026587", "Q16026587")</f>
        <v>0</v>
      </c>
    </row>
    <row r="4884" spans="1:8">
      <c r="A4884" t="s">
        <v>4890</v>
      </c>
      <c r="B4884" t="s">
        <v>9186</v>
      </c>
      <c r="C4884" t="s">
        <v>7869</v>
      </c>
      <c r="D4884" t="s">
        <v>15705</v>
      </c>
      <c r="E4884" t="s">
        <v>16464</v>
      </c>
      <c r="G4884">
        <f>HYPERLINK("https://www.senat.fr/senateur-3eme-republique/vaysse_de_rainneville_marie1662r3.html", "vaysse_de_rainneville_marie1662r3")</f>
        <v>0</v>
      </c>
      <c r="H4884">
        <f>HYPERLINK("https://www.wikidata.org/wiki/Q3291953", "Q3291953")</f>
        <v>0</v>
      </c>
    </row>
    <row r="4885" spans="1:8">
      <c r="A4885" t="s">
        <v>4891</v>
      </c>
      <c r="B4885" t="s">
        <v>9187</v>
      </c>
      <c r="C4885" t="s">
        <v>10070</v>
      </c>
      <c r="D4885" t="s">
        <v>15706</v>
      </c>
      <c r="E4885" s="2">
        <v>8363</v>
      </c>
      <c r="G4885">
        <f>HYPERLINK("https://www.senat.fr/senateur-3eme-republique/vayssiere_marcel0194r3.html", "vayssiere_marcel0194r3")</f>
        <v>0</v>
      </c>
      <c r="H4885">
        <f>HYPERLINK("https://www.wikidata.org/wiki/Q20027742", "Q20027742")</f>
        <v>0</v>
      </c>
    </row>
    <row r="4886" spans="1:8">
      <c r="A4886" t="s">
        <v>4892</v>
      </c>
      <c r="B4886" t="s">
        <v>9188</v>
      </c>
      <c r="C4886" t="s">
        <v>11342</v>
      </c>
      <c r="D4886" t="s">
        <v>15707</v>
      </c>
      <c r="E4886" s="2">
        <v>12763</v>
      </c>
      <c r="F4886">
        <f>HYPERLINK("https://www2.assemblee-nationale.fr/sycomore/fiche/(num_dept)/7419", "7419.0")</f>
        <v>0</v>
      </c>
      <c r="H4886">
        <f>HYPERLINK("https://www.wikidata.org/wiki/Q2831619", "Q2831619")</f>
        <v>0</v>
      </c>
    </row>
    <row r="4887" spans="1:8">
      <c r="A4887" t="s">
        <v>4893</v>
      </c>
      <c r="B4887" t="s">
        <v>9189</v>
      </c>
      <c r="C4887" t="s">
        <v>9362</v>
      </c>
      <c r="D4887" t="s">
        <v>15708</v>
      </c>
      <c r="E4887" s="2">
        <v>11991</v>
      </c>
      <c r="F4887">
        <f>HYPERLINK("https://www2.assemblee-nationale.fr/sycomore/fiche/(num_dept)/7391", "7391.0")</f>
        <v>0</v>
      </c>
      <c r="H4887">
        <f>HYPERLINK("https://www.wikidata.org/wiki/Q13078835", "Q13078835")</f>
        <v>0</v>
      </c>
    </row>
    <row r="4888" spans="1:8">
      <c r="A4888" t="s">
        <v>4894</v>
      </c>
      <c r="B4888" t="s">
        <v>9190</v>
      </c>
      <c r="C4888" t="s">
        <v>11343</v>
      </c>
      <c r="D4888" t="s">
        <v>15709</v>
      </c>
      <c r="E4888" s="2">
        <v>7227</v>
      </c>
      <c r="F4888">
        <f>HYPERLINK("https://www2.assemblee-nationale.fr/sycomore/fiche/(num_dept)/7425", "7425.0")</f>
        <v>0</v>
      </c>
      <c r="H4888">
        <f>HYPERLINK("https://www.wikidata.org/wiki/Q3103599", "Q3103599")</f>
        <v>0</v>
      </c>
    </row>
    <row r="4889" spans="1:8">
      <c r="A4889" t="s">
        <v>4895</v>
      </c>
      <c r="B4889" t="s">
        <v>9191</v>
      </c>
      <c r="C4889" t="s">
        <v>9434</v>
      </c>
      <c r="D4889" t="s">
        <v>15710</v>
      </c>
      <c r="E4889" t="s">
        <v>16465</v>
      </c>
      <c r="F4889">
        <f>HYPERLINK("https://www2.assemblee-nationale.fr/sycomore/fiche/(num_dept)/7631", "7631.0")</f>
        <v>0</v>
      </c>
      <c r="H4889">
        <f>HYPERLINK("https://www.wikidata.org/wiki/Q16025965", "Q16025965")</f>
        <v>0</v>
      </c>
    </row>
    <row r="4890" spans="1:8">
      <c r="A4890" t="s">
        <v>4896</v>
      </c>
      <c r="B4890" t="s">
        <v>9192</v>
      </c>
      <c r="C4890" t="s">
        <v>10158</v>
      </c>
      <c r="D4890" t="s">
        <v>15711</v>
      </c>
      <c r="E4890" s="2">
        <v>5743</v>
      </c>
      <c r="G4890">
        <f>HYPERLINK("https://www.senat.fr/senateur-3eme-republique/velten_geoffroy0311r3.html", "velten_geoffroy0311r3")</f>
        <v>0</v>
      </c>
      <c r="H4890">
        <f>HYPERLINK("https://www.wikidata.org/wiki/Q1503086", "Q1503086")</f>
        <v>0</v>
      </c>
    </row>
    <row r="4891" spans="1:8">
      <c r="A4891" t="s">
        <v>4897</v>
      </c>
      <c r="B4891" t="s">
        <v>9193</v>
      </c>
      <c r="C4891" t="s">
        <v>11344</v>
      </c>
      <c r="D4891" t="s">
        <v>15712</v>
      </c>
      <c r="E4891" t="s">
        <v>16466</v>
      </c>
      <c r="F4891">
        <f>HYPERLINK("https://www2.assemblee-nationale.fr/sycomore/fiche/(num_dept)/8055", "8055.0")</f>
        <v>0</v>
      </c>
      <c r="H4891">
        <f>HYPERLINK("https://www.wikidata.org/wiki/Q3301498", "Q3301498")</f>
        <v>0</v>
      </c>
    </row>
    <row r="4892" spans="1:8">
      <c r="A4892" t="s">
        <v>4898</v>
      </c>
      <c r="B4892" t="s">
        <v>9194</v>
      </c>
      <c r="C4892" t="s">
        <v>6006</v>
      </c>
      <c r="D4892" t="s">
        <v>15713</v>
      </c>
      <c r="E4892" s="2">
        <v>12159</v>
      </c>
      <c r="F4892">
        <f>HYPERLINK("https://www2.assemblee-nationale.fr/sycomore/fiche/(num_dept)/7341", "7341.0")</f>
        <v>0</v>
      </c>
      <c r="H4892">
        <f>HYPERLINK("https://www.wikidata.org/wiki/Q2994900", "Q2994900")</f>
        <v>0</v>
      </c>
    </row>
    <row r="4893" spans="1:8">
      <c r="A4893" t="s">
        <v>4899</v>
      </c>
      <c r="B4893" t="s">
        <v>9195</v>
      </c>
      <c r="C4893" t="s">
        <v>6864</v>
      </c>
      <c r="D4893" t="s">
        <v>15105</v>
      </c>
      <c r="E4893" s="2">
        <v>16410</v>
      </c>
      <c r="F4893">
        <f>HYPERLINK("https://www2.assemblee-nationale.fr/sycomore/fiche/(num_dept)/7363", "7363.0")</f>
        <v>0</v>
      </c>
      <c r="H4893">
        <f>HYPERLINK("https://www.wikidata.org/wiki/Q16026588", "Q16026588")</f>
        <v>0</v>
      </c>
    </row>
    <row r="4894" spans="1:8">
      <c r="A4894" t="s">
        <v>4900</v>
      </c>
      <c r="B4894" t="s">
        <v>9196</v>
      </c>
      <c r="C4894" t="s">
        <v>11345</v>
      </c>
      <c r="D4894" t="s">
        <v>15714</v>
      </c>
      <c r="E4894" t="s">
        <v>16467</v>
      </c>
      <c r="F4894">
        <f>HYPERLINK("https://www2.assemblee-nationale.fr/sycomore/fiche/(num_dept)/8262", "8262.0")</f>
        <v>0</v>
      </c>
      <c r="H4894">
        <f>HYPERLINK("https://www.wikidata.org/wiki/Q7128428", "Q7128428")</f>
        <v>0</v>
      </c>
    </row>
    <row r="4895" spans="1:8">
      <c r="A4895" t="s">
        <v>4901</v>
      </c>
      <c r="B4895" t="s">
        <v>9197</v>
      </c>
      <c r="C4895" t="s">
        <v>9438</v>
      </c>
      <c r="D4895" t="s">
        <v>15715</v>
      </c>
      <c r="E4895" s="2">
        <v>10148</v>
      </c>
      <c r="G4895">
        <f>HYPERLINK("https://www.senat.fr/senateur-3eme-republique/vermorel_victor1135r3.html", "vermorel_victor1135r3")</f>
        <v>0</v>
      </c>
      <c r="H4895">
        <f>HYPERLINK("https://www.wikidata.org/wiki/Q3557625", "Q3557625")</f>
        <v>0</v>
      </c>
    </row>
    <row r="4896" spans="1:8">
      <c r="A4896" t="s">
        <v>4902</v>
      </c>
      <c r="B4896" t="s">
        <v>9198</v>
      </c>
      <c r="C4896" t="s">
        <v>9564</v>
      </c>
      <c r="D4896" t="s">
        <v>15716</v>
      </c>
      <c r="E4896" s="2">
        <v>18285</v>
      </c>
      <c r="F4896">
        <f>HYPERLINK("https://www2.assemblee-nationale.fr/sycomore/fiche/(num_dept)/7334", "7334.0")</f>
        <v>0</v>
      </c>
      <c r="H4896">
        <f>HYPERLINK("https://www.wikidata.org/wiki/Q16026589", "Q16026589")</f>
        <v>0</v>
      </c>
    </row>
    <row r="4897" spans="1:8">
      <c r="A4897" t="s">
        <v>4903</v>
      </c>
      <c r="B4897" t="s">
        <v>9199</v>
      </c>
      <c r="C4897" t="s">
        <v>11346</v>
      </c>
      <c r="D4897" t="s">
        <v>15717</v>
      </c>
      <c r="E4897" t="s">
        <v>16468</v>
      </c>
      <c r="F4897">
        <f>HYPERLINK("https://www2.assemblee-nationale.fr/sycomore/fiche/(num_dept)/7470", "7470.0")</f>
        <v>0</v>
      </c>
      <c r="H4897">
        <f>HYPERLINK("https://www.wikidata.org/wiki/Q16026590", "Q16026590")</f>
        <v>0</v>
      </c>
    </row>
    <row r="4898" spans="1:8">
      <c r="A4898" t="s">
        <v>4904</v>
      </c>
      <c r="B4898" t="s">
        <v>9200</v>
      </c>
      <c r="C4898" t="s">
        <v>11347</v>
      </c>
      <c r="D4898" t="s">
        <v>15223</v>
      </c>
      <c r="E4898" s="2">
        <v>17771</v>
      </c>
      <c r="F4898">
        <f>HYPERLINK("https://www2.assemblee-nationale.fr/sycomore/fiche/(num_dept)/6770", "6770.0")</f>
        <v>0</v>
      </c>
      <c r="H4898">
        <f>HYPERLINK("https://www.wikidata.org/wiki/Q3131913", "Q3131913")</f>
        <v>0</v>
      </c>
    </row>
    <row r="4899" spans="1:8">
      <c r="A4899" t="s">
        <v>4905</v>
      </c>
      <c r="B4899" t="s">
        <v>9201</v>
      </c>
      <c r="C4899" t="s">
        <v>11348</v>
      </c>
      <c r="D4899" t="s">
        <v>15718</v>
      </c>
      <c r="E4899" t="s">
        <v>16469</v>
      </c>
      <c r="F4899">
        <f>HYPERLINK("https://www2.assemblee-nationale.fr/sycomore/fiche/(num_dept)/7458", "7458.0")</f>
        <v>0</v>
      </c>
      <c r="H4899">
        <f>HYPERLINK("https://www.wikidata.org/wiki/Q16026591", "Q16026591")</f>
        <v>0</v>
      </c>
    </row>
    <row r="4900" spans="1:8">
      <c r="A4900" t="s">
        <v>4906</v>
      </c>
      <c r="B4900" t="s">
        <v>9202</v>
      </c>
      <c r="C4900" t="s">
        <v>9453</v>
      </c>
      <c r="D4900" t="s">
        <v>15719</v>
      </c>
      <c r="E4900" s="2">
        <v>19622</v>
      </c>
      <c r="F4900">
        <f>HYPERLINK("https://www2.assemblee-nationale.fr/sycomore/fiche/(num_dept)/7372", "7372.0")</f>
        <v>0</v>
      </c>
      <c r="H4900">
        <f>HYPERLINK("https://www.wikidata.org/wiki/Q21334336", "Q21334336")</f>
        <v>0</v>
      </c>
    </row>
    <row r="4901" spans="1:8">
      <c r="A4901" t="s">
        <v>4907</v>
      </c>
      <c r="B4901" t="s">
        <v>9203</v>
      </c>
      <c r="C4901" t="s">
        <v>11349</v>
      </c>
      <c r="D4901" t="s">
        <v>15720</v>
      </c>
      <c r="E4901" s="2">
        <v>6871</v>
      </c>
      <c r="F4901">
        <f>HYPERLINK("https://www2.assemblee-nationale.fr/sycomore/fiche/(num_dept)/7459", "7459.0")</f>
        <v>0</v>
      </c>
      <c r="H4901">
        <f>HYPERLINK("https://www.wikidata.org/wiki/Q16026592", "Q16026592")</f>
        <v>0</v>
      </c>
    </row>
    <row r="4902" spans="1:8">
      <c r="A4902" t="s">
        <v>4908</v>
      </c>
      <c r="B4902" t="s">
        <v>9204</v>
      </c>
      <c r="C4902" t="s">
        <v>9337</v>
      </c>
      <c r="D4902" t="s">
        <v>15721</v>
      </c>
      <c r="E4902" s="2">
        <v>369</v>
      </c>
      <c r="G4902">
        <f>HYPERLINK("https://www.senat.fr/senateur-3eme-republique/veron_auguste0527r3.html", "veron_auguste0527r3")</f>
        <v>0</v>
      </c>
      <c r="H4902">
        <f>HYPERLINK("https://www.wikidata.org/wiki/Q2871462", "Q2871462")</f>
        <v>0</v>
      </c>
    </row>
    <row r="4903" spans="1:8">
      <c r="A4903" t="s">
        <v>4909</v>
      </c>
      <c r="B4903" t="s">
        <v>9205</v>
      </c>
      <c r="C4903" t="s">
        <v>11350</v>
      </c>
      <c r="D4903" t="s">
        <v>15612</v>
      </c>
      <c r="E4903" s="2">
        <v>3845</v>
      </c>
      <c r="F4903">
        <f>HYPERLINK("https://www2.assemblee-nationale.fr/sycomore/fiche/(num_dept)/8056", "8056.0")</f>
        <v>0</v>
      </c>
      <c r="H4903">
        <f>HYPERLINK("https://www.wikidata.org/wiki/Q16026593", "Q16026593")</f>
        <v>0</v>
      </c>
    </row>
    <row r="4904" spans="1:8">
      <c r="A4904" t="s">
        <v>4910</v>
      </c>
      <c r="B4904" t="s">
        <v>9206</v>
      </c>
      <c r="C4904" t="s">
        <v>8006</v>
      </c>
      <c r="D4904" t="s">
        <v>15722</v>
      </c>
      <c r="E4904" t="s">
        <v>15902</v>
      </c>
      <c r="G4904">
        <f>HYPERLINK("https://www.senat.fr/senateur-3eme-republique/vetillart_michel1244r3.html", "vetillart_michel1244r3")</f>
        <v>0</v>
      </c>
      <c r="H4904">
        <f>HYPERLINK("https://www.wikidata.org/wiki/Q3311101", "Q3311101")</f>
        <v>0</v>
      </c>
    </row>
    <row r="4905" spans="1:8">
      <c r="A4905" t="s">
        <v>4911</v>
      </c>
      <c r="B4905" t="s">
        <v>9207</v>
      </c>
      <c r="C4905" t="s">
        <v>9430</v>
      </c>
      <c r="D4905" t="s">
        <v>15723</v>
      </c>
      <c r="E4905" s="2">
        <v>5248</v>
      </c>
      <c r="F4905">
        <f>HYPERLINK("https://www2.assemblee-nationale.fr/sycomore/fiche/(num_dept)/7432", "7432.0")</f>
        <v>0</v>
      </c>
      <c r="H4905">
        <f>HYPERLINK("https://www.wikidata.org/wiki/Q8335648", "Q8335648")</f>
        <v>0</v>
      </c>
    </row>
    <row r="4906" spans="1:8">
      <c r="A4906" t="s">
        <v>4912</v>
      </c>
      <c r="B4906" t="s">
        <v>9208</v>
      </c>
      <c r="C4906" t="s">
        <v>9512</v>
      </c>
      <c r="D4906" t="s">
        <v>15724</v>
      </c>
      <c r="E4906" s="2">
        <v>17803</v>
      </c>
      <c r="G4906">
        <f>HYPERLINK("https://www.senat.fr/senateur-3eme-republique/veyssiere_gaston1589r3.html", "veyssiere_gaston1589r3")</f>
        <v>0</v>
      </c>
      <c r="H4906">
        <f>HYPERLINK("https://www.wikidata.org/wiki/Q3099176", "Q3099176")</f>
        <v>0</v>
      </c>
    </row>
    <row r="4907" spans="1:8">
      <c r="A4907" t="s">
        <v>4913</v>
      </c>
      <c r="B4907" t="s">
        <v>9209</v>
      </c>
      <c r="C4907" t="s">
        <v>11351</v>
      </c>
      <c r="D4907" t="s">
        <v>15725</v>
      </c>
      <c r="E4907" s="2">
        <v>19611</v>
      </c>
      <c r="F4907">
        <f>HYPERLINK("https://www2.assemblee-nationale.fr/sycomore/fiche/(num_dept)/7633", "7633.0")</f>
        <v>0</v>
      </c>
      <c r="H4907">
        <f>HYPERLINK("https://www.wikidata.org/wiki/Q3131451", "Q3131451")</f>
        <v>0</v>
      </c>
    </row>
    <row r="4908" spans="1:8">
      <c r="A4908" t="s">
        <v>4914</v>
      </c>
      <c r="B4908" t="s">
        <v>9210</v>
      </c>
      <c r="C4908" t="s">
        <v>8384</v>
      </c>
      <c r="D4908" t="s">
        <v>15726</v>
      </c>
      <c r="E4908" s="2">
        <v>13191</v>
      </c>
      <c r="F4908">
        <f>HYPERLINK("https://www2.assemblee-nationale.fr/sycomore/fiche/(num_dept)/7369", "7369.0")</f>
        <v>0</v>
      </c>
      <c r="H4908">
        <f>HYPERLINK("https://www.wikidata.org/wiki/Q1448769", "Q1448769")</f>
        <v>0</v>
      </c>
    </row>
    <row r="4909" spans="1:8">
      <c r="A4909" t="s">
        <v>4915</v>
      </c>
      <c r="B4909" t="s">
        <v>9211</v>
      </c>
      <c r="C4909" t="s">
        <v>9430</v>
      </c>
      <c r="D4909" t="s">
        <v>15727</v>
      </c>
      <c r="E4909" s="2">
        <v>4780</v>
      </c>
      <c r="F4909">
        <f>HYPERLINK("https://www2.assemblee-nationale.fr/sycomore/fiche/(num_dept)/7438", "7438.0")</f>
        <v>0</v>
      </c>
      <c r="H4909">
        <f>HYPERLINK("https://www.wikidata.org/wiki/Q3372369", "Q3372369")</f>
        <v>0</v>
      </c>
    </row>
    <row r="4910" spans="1:8">
      <c r="A4910" t="s">
        <v>4916</v>
      </c>
      <c r="B4910" t="s">
        <v>9212</v>
      </c>
      <c r="C4910" t="s">
        <v>7001</v>
      </c>
      <c r="D4910" t="s">
        <v>15728</v>
      </c>
      <c r="E4910" s="2">
        <v>1846</v>
      </c>
      <c r="F4910">
        <f>HYPERLINK("https://www2.assemblee-nationale.fr/sycomore/fiche/(num_dept)/7468", "7468.0")</f>
        <v>0</v>
      </c>
      <c r="H4910">
        <f>HYPERLINK("https://www.wikidata.org/wiki/Q16026595", "Q16026595")</f>
        <v>0</v>
      </c>
    </row>
    <row r="4911" spans="1:8">
      <c r="A4911" t="s">
        <v>4917</v>
      </c>
      <c r="B4911" t="s">
        <v>9212</v>
      </c>
      <c r="C4911" t="s">
        <v>9482</v>
      </c>
      <c r="D4911" t="s">
        <v>15729</v>
      </c>
      <c r="E4911" s="2">
        <v>11118</v>
      </c>
      <c r="F4911">
        <f>HYPERLINK("https://www2.assemblee-nationale.fr/sycomore/fiche/(num_dept)/7424", "7424.0")</f>
        <v>0</v>
      </c>
      <c r="H4911">
        <f>HYPERLINK("https://www.wikidata.org/wiki/Q16026594", "Q16026594")</f>
        <v>0</v>
      </c>
    </row>
    <row r="4912" spans="1:8">
      <c r="A4912" t="s">
        <v>4918</v>
      </c>
      <c r="B4912" t="s">
        <v>9213</v>
      </c>
      <c r="C4912" t="s">
        <v>9397</v>
      </c>
      <c r="D4912" t="s">
        <v>15730</v>
      </c>
      <c r="E4912" s="2">
        <v>11587</v>
      </c>
      <c r="F4912">
        <f>HYPERLINK("https://www2.assemblee-nationale.fr/sycomore/fiche/(num_dept)/7420", "7420.0")</f>
        <v>0</v>
      </c>
      <c r="H4912">
        <f>HYPERLINK("https://www.wikidata.org/wiki/Q16026596", "Q16026596")</f>
        <v>0</v>
      </c>
    </row>
    <row r="4913" spans="1:8">
      <c r="A4913" t="s">
        <v>4919</v>
      </c>
      <c r="B4913" t="s">
        <v>9214</v>
      </c>
      <c r="C4913" t="s">
        <v>7754</v>
      </c>
      <c r="D4913" t="s">
        <v>15731</v>
      </c>
      <c r="E4913" s="2">
        <v>19</v>
      </c>
      <c r="F4913">
        <f>HYPERLINK("https://www2.assemblee-nationale.fr/sycomore/fiche/(num_dept)/7451", "7451.0")</f>
        <v>0</v>
      </c>
      <c r="H4913">
        <f>HYPERLINK("https://www.wikidata.org/wiki/Q3260340", "Q3260340")</f>
        <v>0</v>
      </c>
    </row>
    <row r="4914" spans="1:8">
      <c r="A4914" t="s">
        <v>4920</v>
      </c>
      <c r="B4914" t="s">
        <v>9215</v>
      </c>
      <c r="C4914" t="s">
        <v>6895</v>
      </c>
      <c r="D4914" t="s">
        <v>15377</v>
      </c>
      <c r="E4914" s="2">
        <v>9452</v>
      </c>
      <c r="G4914">
        <f>HYPERLINK("https://www.senat.fr/senateur-3eme-republique/vidal_de_saint_urbain_gabriel0294r3.html", "vidal_de_saint_urbain_gabriel0294r3")</f>
        <v>0</v>
      </c>
      <c r="H4914">
        <f>HYPERLINK("https://www.wikidata.org/wiki/Q3093994", "Q3093994")</f>
        <v>0</v>
      </c>
    </row>
    <row r="4915" spans="1:8">
      <c r="A4915" t="s">
        <v>4921</v>
      </c>
      <c r="B4915" t="s">
        <v>9216</v>
      </c>
      <c r="C4915" t="s">
        <v>10064</v>
      </c>
      <c r="D4915" t="s">
        <v>15732</v>
      </c>
      <c r="E4915" s="2">
        <v>19051</v>
      </c>
      <c r="G4915">
        <f>HYPERLINK("https://www.senat.fr/senateur-3eme-republique/vidal_amedee0295r3.html", "vidal_amedee0295r3")</f>
        <v>0</v>
      </c>
      <c r="H4915">
        <f>HYPERLINK("https://www.wikidata.org/wiki/Q2844712", "Q2844712")</f>
        <v>0</v>
      </c>
    </row>
    <row r="4916" spans="1:8">
      <c r="A4916" t="s">
        <v>4922</v>
      </c>
      <c r="B4916" t="s">
        <v>9217</v>
      </c>
      <c r="C4916" t="s">
        <v>9373</v>
      </c>
      <c r="D4916" t="s">
        <v>15733</v>
      </c>
      <c r="E4916" s="2">
        <v>13245</v>
      </c>
      <c r="F4916">
        <f>HYPERLINK("https://www2.assemblee-nationale.fr/sycomore/fiche/(num_dept)/7332", "7332.0")</f>
        <v>0</v>
      </c>
      <c r="H4916">
        <f>HYPERLINK("https://www.wikidata.org/wiki/Q1708140", "Q1708140")</f>
        <v>0</v>
      </c>
    </row>
    <row r="4917" spans="1:8">
      <c r="A4917" t="s">
        <v>4923</v>
      </c>
      <c r="B4917" t="s">
        <v>9217</v>
      </c>
      <c r="C4917" t="s">
        <v>9512</v>
      </c>
      <c r="D4917" t="s">
        <v>15734</v>
      </c>
      <c r="E4917" s="2">
        <v>17971</v>
      </c>
      <c r="F4917">
        <f>HYPERLINK("https://www2.assemblee-nationale.fr/sycomore/fiche/(num_dept)/7365", "7365.0")</f>
        <v>0</v>
      </c>
      <c r="H4917">
        <f>HYPERLINK("https://www.wikidata.org/wiki/Q3099181", "Q3099181")</f>
        <v>0</v>
      </c>
    </row>
    <row r="4918" spans="1:8">
      <c r="A4918" t="s">
        <v>4924</v>
      </c>
      <c r="B4918" t="s">
        <v>9217</v>
      </c>
      <c r="C4918" t="s">
        <v>8384</v>
      </c>
      <c r="D4918" t="s">
        <v>15735</v>
      </c>
      <c r="E4918" s="2">
        <v>21283</v>
      </c>
      <c r="F4918">
        <f>HYPERLINK("https://www2.assemblee-nationale.fr/sycomore/fiche/(num_dept)/7331", "7331.0")</f>
        <v>0</v>
      </c>
      <c r="H4918">
        <f>HYPERLINK("https://www.wikidata.org/wiki/Q16026597", "Q16026597")</f>
        <v>0</v>
      </c>
    </row>
    <row r="4919" spans="1:8">
      <c r="A4919" t="s">
        <v>4925</v>
      </c>
      <c r="B4919" t="s">
        <v>9217</v>
      </c>
      <c r="C4919" t="s">
        <v>9386</v>
      </c>
      <c r="D4919" t="s">
        <v>15736</v>
      </c>
      <c r="E4919" s="2">
        <v>33407</v>
      </c>
      <c r="F4919">
        <f>HYPERLINK("https://www2.assemblee-nationale.fr/sycomore/fiche/(num_dept)/7286", "7286.0")</f>
        <v>0</v>
      </c>
      <c r="H4919">
        <f>HYPERLINK("https://www.wikidata.org/wiki/Q1603251", "Q1603251")</f>
        <v>0</v>
      </c>
    </row>
    <row r="4920" spans="1:8">
      <c r="A4920" t="s">
        <v>4926</v>
      </c>
      <c r="B4920" t="s">
        <v>9218</v>
      </c>
      <c r="C4920" t="s">
        <v>9631</v>
      </c>
      <c r="D4920" t="s">
        <v>15737</v>
      </c>
      <c r="E4920" s="2">
        <v>14559</v>
      </c>
      <c r="F4920">
        <f>HYPERLINK("https://www2.assemblee-nationale.fr/sycomore/fiche/(num_dept)/7384", "7384.0")</f>
        <v>0</v>
      </c>
      <c r="H4920">
        <f>HYPERLINK("https://www.wikidata.org/wiki/Q16026599", "Q16026599")</f>
        <v>0</v>
      </c>
    </row>
    <row r="4921" spans="1:8">
      <c r="A4921" t="s">
        <v>4927</v>
      </c>
      <c r="B4921" t="s">
        <v>9219</v>
      </c>
      <c r="C4921" t="s">
        <v>11352</v>
      </c>
      <c r="D4921" t="s">
        <v>15738</v>
      </c>
      <c r="E4921" s="2">
        <v>4898</v>
      </c>
      <c r="F4921">
        <f>HYPERLINK("https://www2.assemblee-nationale.fr/sycomore/fiche/(num_dept)/7435", "7435.0")</f>
        <v>0</v>
      </c>
      <c r="H4921">
        <f>HYPERLINK("https://www.wikidata.org/wiki/Q16026600", "Q16026600")</f>
        <v>0</v>
      </c>
    </row>
    <row r="4922" spans="1:8">
      <c r="A4922" t="s">
        <v>4928</v>
      </c>
      <c r="B4922" t="s">
        <v>9220</v>
      </c>
      <c r="C4922" t="s">
        <v>7754</v>
      </c>
      <c r="D4922" t="s">
        <v>12948</v>
      </c>
      <c r="E4922" s="2">
        <v>9282</v>
      </c>
      <c r="F4922">
        <f>HYPERLINK("https://www2.assemblee-nationale.fr/sycomore/fiche/(num_dept)/7426", "7426.0")</f>
        <v>0</v>
      </c>
      <c r="H4922">
        <f>HYPERLINK("https://www.wikidata.org/wiki/Q16026601", "Q16026601")</f>
        <v>0</v>
      </c>
    </row>
    <row r="4923" spans="1:8">
      <c r="A4923" t="s">
        <v>4929</v>
      </c>
      <c r="B4923" t="s">
        <v>9221</v>
      </c>
      <c r="C4923" t="s">
        <v>11353</v>
      </c>
      <c r="D4923" t="s">
        <v>15739</v>
      </c>
      <c r="E4923" t="s">
        <v>16470</v>
      </c>
      <c r="F4923">
        <f>HYPERLINK("https://www2.assemblee-nationale.fr/sycomore/fiche/(num_dept)/8173", "8173.0")</f>
        <v>0</v>
      </c>
      <c r="H4923">
        <f>HYPERLINK("https://www.wikidata.org/wiki/Q3085049", "Q3085049")</f>
        <v>0</v>
      </c>
    </row>
    <row r="4924" spans="1:8">
      <c r="A4924" t="s">
        <v>4930</v>
      </c>
      <c r="B4924" t="s">
        <v>9222</v>
      </c>
      <c r="C4924" t="s">
        <v>11354</v>
      </c>
      <c r="D4924" t="s">
        <v>15740</v>
      </c>
      <c r="E4924" t="s">
        <v>15828</v>
      </c>
      <c r="F4924">
        <f>HYPERLINK("https://www2.assemblee-nationale.fr/sycomore/fiche/(num_dept)/7471", "7471.0")</f>
        <v>0</v>
      </c>
      <c r="H4924">
        <f>HYPERLINK("https://www.wikidata.org/wiki/Q16026602", "Q16026602")</f>
        <v>0</v>
      </c>
    </row>
    <row r="4925" spans="1:8">
      <c r="A4925" t="s">
        <v>4931</v>
      </c>
      <c r="B4925" t="s">
        <v>9223</v>
      </c>
      <c r="C4925" t="s">
        <v>6864</v>
      </c>
      <c r="D4925" t="s">
        <v>15741</v>
      </c>
      <c r="E4925" t="s">
        <v>16471</v>
      </c>
      <c r="G4925">
        <f>HYPERLINK("https://www.senat.fr/senateur-3eme-republique/viellard_migeon_francois1815r3.html", "viellard_migeon_francois1815r3")</f>
        <v>0</v>
      </c>
      <c r="H4925">
        <f>HYPERLINK("https://www.wikidata.org/wiki/Q3086008", "Q3086008")</f>
        <v>0</v>
      </c>
    </row>
    <row r="4926" spans="1:8">
      <c r="A4926" t="s">
        <v>4932</v>
      </c>
      <c r="B4926" t="s">
        <v>9224</v>
      </c>
      <c r="C4926" t="s">
        <v>5117</v>
      </c>
      <c r="D4926" t="s">
        <v>15742</v>
      </c>
      <c r="E4926" s="2">
        <v>2027</v>
      </c>
      <c r="F4926">
        <f>HYPERLINK("https://www2.assemblee-nationale.fr/sycomore/fiche/(num_dept)/7446", "7446.0")</f>
        <v>0</v>
      </c>
      <c r="H4926">
        <f>HYPERLINK("https://www.wikidata.org/wiki/Q2861987", "Q2861987")</f>
        <v>0</v>
      </c>
    </row>
    <row r="4927" spans="1:8">
      <c r="A4927" t="s">
        <v>4933</v>
      </c>
      <c r="B4927" t="s">
        <v>9225</v>
      </c>
      <c r="C4927" t="s">
        <v>7754</v>
      </c>
      <c r="D4927" t="s">
        <v>12149</v>
      </c>
      <c r="E4927" s="2">
        <v>20548</v>
      </c>
      <c r="F4927">
        <f>HYPERLINK("https://www2.assemblee-nationale.fr/sycomore/fiche/(num_dept)/7388", "7388.0")</f>
        <v>0</v>
      </c>
      <c r="G4927">
        <f>HYPERLINK("https://www.senat.fr/senateur-3eme-republique/viellard_louis1820r3.html", "viellard_louis1820r3")</f>
        <v>0</v>
      </c>
      <c r="H4927">
        <f>HYPERLINK("https://www.wikidata.org/wiki/Q3263279", "Q3263279")</f>
        <v>0</v>
      </c>
    </row>
    <row r="4928" spans="1:8">
      <c r="A4928" t="s">
        <v>4934</v>
      </c>
      <c r="B4928" t="s">
        <v>9226</v>
      </c>
      <c r="C4928" t="s">
        <v>9471</v>
      </c>
      <c r="D4928" t="s">
        <v>15743</v>
      </c>
      <c r="E4928" t="s">
        <v>16472</v>
      </c>
      <c r="F4928">
        <f>HYPERLINK("https://www2.assemblee-nationale.fr/sycomore/fiche/(num_dept)/7450", "7450.0")</f>
        <v>0</v>
      </c>
      <c r="H4928">
        <f>HYPERLINK("https://www.wikidata.org/wiki/Q3188959", "Q3188959")</f>
        <v>0</v>
      </c>
    </row>
    <row r="4929" spans="1:8">
      <c r="A4929" t="s">
        <v>4935</v>
      </c>
      <c r="B4929" t="s">
        <v>9227</v>
      </c>
      <c r="C4929" t="s">
        <v>7754</v>
      </c>
      <c r="D4929" t="s">
        <v>15744</v>
      </c>
      <c r="E4929" s="2">
        <v>11544</v>
      </c>
      <c r="G4929">
        <f>HYPERLINK("https://www.senat.fr/senateur-3eme-republique/vieu_louis1694r3.html", "vieu_louis1694r3")</f>
        <v>0</v>
      </c>
      <c r="H4929">
        <f>HYPERLINK("https://www.wikidata.org/wiki/Q3263283", "Q3263283")</f>
        <v>0</v>
      </c>
    </row>
    <row r="4930" spans="1:8">
      <c r="A4930" t="s">
        <v>4936</v>
      </c>
      <c r="B4930" t="s">
        <v>9228</v>
      </c>
      <c r="C4930" t="s">
        <v>9312</v>
      </c>
      <c r="D4930" t="s">
        <v>15745</v>
      </c>
      <c r="E4930" t="s">
        <v>16473</v>
      </c>
      <c r="G4930">
        <f>HYPERLINK("https://www.senat.fr/senateur-3eme-republique/vigarosy_jean_baptiste0185r3.html", "vigarosy_jean_baptiste0185r3")</f>
        <v>0</v>
      </c>
      <c r="H4930">
        <f>HYPERLINK("https://www.wikidata.org/wiki/Q3164480", "Q3164480")</f>
        <v>0</v>
      </c>
    </row>
    <row r="4931" spans="1:8">
      <c r="A4931" t="s">
        <v>4937</v>
      </c>
      <c r="B4931" t="s">
        <v>9229</v>
      </c>
      <c r="C4931" t="s">
        <v>5058</v>
      </c>
      <c r="D4931" t="s">
        <v>15746</v>
      </c>
      <c r="E4931" s="2">
        <v>9686</v>
      </c>
      <c r="F4931">
        <f>HYPERLINK("https://www2.assemblee-nationale.fr/sycomore/fiche/(num_dept)/7443", "7443.0")</f>
        <v>0</v>
      </c>
      <c r="G4931">
        <f>HYPERLINK("https://www.senat.fr/senateur-3eme-republique/viger_albert0500r3.html", "viger_albert0500r3")</f>
        <v>0</v>
      </c>
      <c r="H4931">
        <f>HYPERLINK("https://www.wikidata.org/wiki/Q2153536", "Q2153536")</f>
        <v>0</v>
      </c>
    </row>
    <row r="4932" spans="1:8">
      <c r="A4932" t="s">
        <v>4938</v>
      </c>
      <c r="B4932" t="s">
        <v>9230</v>
      </c>
      <c r="C4932" t="s">
        <v>7899</v>
      </c>
      <c r="D4932" t="s">
        <v>15747</v>
      </c>
      <c r="E4932" s="2">
        <v>11101</v>
      </c>
      <c r="F4932">
        <f>HYPERLINK("https://www2.assemblee-nationale.fr/sycomore/fiche/(num_dept)/7429", "7429.0")</f>
        <v>0</v>
      </c>
      <c r="H4932">
        <f>HYPERLINK("https://www.wikidata.org/wiki/Q16026603", "Q16026603")</f>
        <v>0</v>
      </c>
    </row>
    <row r="4933" spans="1:8">
      <c r="A4933" t="s">
        <v>4939</v>
      </c>
      <c r="B4933" t="s">
        <v>9231</v>
      </c>
      <c r="C4933" t="s">
        <v>7754</v>
      </c>
      <c r="D4933" t="s">
        <v>15748</v>
      </c>
      <c r="E4933" s="2">
        <v>14</v>
      </c>
      <c r="F4933">
        <f>HYPERLINK("https://www2.assemblee-nationale.fr/sycomore/fiche/(num_dept)/7463", "7463.0")</f>
        <v>0</v>
      </c>
      <c r="G4933">
        <f>HYPERLINK("https://www.senat.fr/senateur-3eme-republique/vignancour_louis1056r3.html", "vignancour_louis1056r3")</f>
        <v>0</v>
      </c>
      <c r="H4933">
        <f>HYPERLINK("https://www.wikidata.org/wiki/Q3263285", "Q3263285")</f>
        <v>0</v>
      </c>
    </row>
    <row r="4934" spans="1:8">
      <c r="A4934" t="s">
        <v>4940</v>
      </c>
      <c r="B4934" t="s">
        <v>9232</v>
      </c>
      <c r="C4934" t="s">
        <v>9891</v>
      </c>
      <c r="D4934" t="s">
        <v>14177</v>
      </c>
      <c r="E4934" s="2">
        <v>16741</v>
      </c>
      <c r="F4934">
        <f>HYPERLINK("https://www2.assemblee-nationale.fr/sycomore/fiche/(num_dept)/7393", "7393.0")</f>
        <v>0</v>
      </c>
      <c r="H4934">
        <f>HYPERLINK("https://www.wikidata.org/wiki/Q16026605", "Q16026605")</f>
        <v>0</v>
      </c>
    </row>
    <row r="4935" spans="1:8">
      <c r="A4935" t="s">
        <v>4941</v>
      </c>
      <c r="B4935" t="s">
        <v>9233</v>
      </c>
      <c r="C4935" t="s">
        <v>7754</v>
      </c>
      <c r="D4935" t="s">
        <v>15749</v>
      </c>
      <c r="E4935" s="2">
        <v>20775</v>
      </c>
      <c r="F4935">
        <f>HYPERLINK("https://www2.assemblee-nationale.fr/sycomore/fiche/(num_dept)/7427", "7427.0")</f>
        <v>0</v>
      </c>
      <c r="H4935">
        <f>HYPERLINK("https://www.wikidata.org/wiki/Q8332480", "Q8332480")</f>
        <v>0</v>
      </c>
    </row>
    <row r="4936" spans="1:8">
      <c r="A4936" t="s">
        <v>4942</v>
      </c>
      <c r="B4936" t="s">
        <v>9234</v>
      </c>
      <c r="C4936" t="s">
        <v>9346</v>
      </c>
      <c r="D4936" t="s">
        <v>15750</v>
      </c>
      <c r="E4936" s="2">
        <v>10986</v>
      </c>
      <c r="F4936">
        <f>HYPERLINK("https://www2.assemblee-nationale.fr/sycomore/fiche/(num_dept)/7464", "7464.0")</f>
        <v>0</v>
      </c>
      <c r="G4936">
        <f>HYPERLINK("https://www.senat.fr/senateur-3eme-republique/vilar_edouard1097r3.html", "vilar_edouard1097r3")</f>
        <v>0</v>
      </c>
      <c r="H4936">
        <f>HYPERLINK("https://www.wikidata.org/wiki/Q3580059", "Q3580059")</f>
        <v>0</v>
      </c>
    </row>
    <row r="4937" spans="1:8">
      <c r="A4937" t="s">
        <v>4943</v>
      </c>
      <c r="B4937" t="s">
        <v>9235</v>
      </c>
      <c r="C4937" t="s">
        <v>11355</v>
      </c>
      <c r="D4937" t="s">
        <v>15751</v>
      </c>
      <c r="E4937" s="2">
        <v>6643</v>
      </c>
      <c r="F4937">
        <f>HYPERLINK("https://www2.assemblee-nationale.fr/sycomore/fiche/(num_dept)/7605", "7605.0")</f>
        <v>0</v>
      </c>
      <c r="H4937">
        <f>HYPERLINK("https://www.wikidata.org/wiki/Q2959611", "Q2959611")</f>
        <v>0</v>
      </c>
    </row>
    <row r="4938" spans="1:8">
      <c r="A4938" t="s">
        <v>4944</v>
      </c>
      <c r="B4938" t="s">
        <v>9236</v>
      </c>
      <c r="C4938" t="s">
        <v>11356</v>
      </c>
      <c r="D4938" t="s">
        <v>13895</v>
      </c>
      <c r="E4938" t="s">
        <v>16474</v>
      </c>
      <c r="F4938">
        <f>HYPERLINK("https://www2.assemblee-nationale.fr/sycomore/fiche/(num_dept)/7466", "7466.0")</f>
        <v>0</v>
      </c>
      <c r="H4938">
        <f>HYPERLINK("https://www.wikidata.org/wiki/Q8311148", "Q8311148")</f>
        <v>0</v>
      </c>
    </row>
    <row r="4939" spans="1:8">
      <c r="A4939" t="s">
        <v>4945</v>
      </c>
      <c r="B4939" t="s">
        <v>9237</v>
      </c>
      <c r="C4939" t="s">
        <v>9332</v>
      </c>
      <c r="D4939" t="s">
        <v>15752</v>
      </c>
      <c r="E4939" s="2">
        <v>15357</v>
      </c>
      <c r="H4939">
        <f>HYPERLINK("https://www.wikidata.org/wiki/Q3057200", "Q3057200")</f>
        <v>0</v>
      </c>
    </row>
    <row r="4940" spans="1:8">
      <c r="A4940" t="s">
        <v>4946</v>
      </c>
      <c r="B4940" t="s">
        <v>9238</v>
      </c>
      <c r="C4940" t="s">
        <v>11357</v>
      </c>
      <c r="D4940" t="s">
        <v>15753</v>
      </c>
      <c r="E4940" t="s">
        <v>16475</v>
      </c>
      <c r="F4940">
        <f>HYPERLINK("https://www2.assemblee-nationale.fr/sycomore/fiche/(num_dept)/7469", "7469.0")</f>
        <v>0</v>
      </c>
      <c r="H4940">
        <f>HYPERLINK("https://www.wikidata.org/wiki/Q3173263", "Q3173263")</f>
        <v>0</v>
      </c>
    </row>
    <row r="4941" spans="1:8">
      <c r="A4941" t="s">
        <v>4947</v>
      </c>
      <c r="B4941" t="s">
        <v>9238</v>
      </c>
      <c r="C4941" t="s">
        <v>7298</v>
      </c>
      <c r="D4941" t="s">
        <v>15754</v>
      </c>
      <c r="E4941" s="2">
        <v>2870</v>
      </c>
      <c r="F4941">
        <f>HYPERLINK("https://www2.assemblee-nationale.fr/sycomore/fiche/(num_dept)/7448", "7448.0")</f>
        <v>0</v>
      </c>
      <c r="H4941">
        <f>HYPERLINK("https://www.wikidata.org/wiki/Q3154781", "Q3154781")</f>
        <v>0</v>
      </c>
    </row>
    <row r="4942" spans="1:8">
      <c r="A4942" t="s">
        <v>4948</v>
      </c>
      <c r="B4942" t="s">
        <v>9239</v>
      </c>
      <c r="C4942" t="s">
        <v>11358</v>
      </c>
      <c r="D4942" t="s">
        <v>13496</v>
      </c>
      <c r="E4942" s="2">
        <v>11106</v>
      </c>
      <c r="F4942">
        <f>HYPERLINK("https://www2.assemblee-nationale.fr/sycomore/fiche/(num_dept)/7952", "7952.0")</f>
        <v>0</v>
      </c>
      <c r="H4942">
        <f>HYPERLINK("https://www.wikidata.org/wiki/Q2825178", "Q2825178")</f>
        <v>0</v>
      </c>
    </row>
    <row r="4943" spans="1:8">
      <c r="A4943" t="s">
        <v>4949</v>
      </c>
      <c r="B4943" t="s">
        <v>9240</v>
      </c>
      <c r="C4943" t="s">
        <v>9414</v>
      </c>
      <c r="D4943" t="s">
        <v>15755</v>
      </c>
      <c r="E4943" s="2">
        <v>2746</v>
      </c>
      <c r="G4943">
        <f>HYPERLINK("https://www.senat.fr/senateur-3eme-republique/villard_ferdinand0618r3.html", "villard_ferdinand0618r3")</f>
        <v>0</v>
      </c>
      <c r="H4943">
        <f>HYPERLINK("https://www.wikidata.org/wiki/Q3068662", "Q3068662")</f>
        <v>0</v>
      </c>
    </row>
    <row r="4944" spans="1:8">
      <c r="A4944" t="s">
        <v>4950</v>
      </c>
      <c r="B4944" t="s">
        <v>9241</v>
      </c>
      <c r="C4944" t="s">
        <v>7342</v>
      </c>
      <c r="D4944" t="s">
        <v>15756</v>
      </c>
      <c r="E4944" s="2">
        <v>16231</v>
      </c>
      <c r="F4944">
        <f>HYPERLINK("https://www2.assemblee-nationale.fr/sycomore/fiche/(num_dept)/7358", "7358.0")</f>
        <v>0</v>
      </c>
      <c r="G4944">
        <f>HYPERLINK("https://www.senat.fr/senateur-3eme-republique/villault_duchesnois_jean1032r3.html", "villault_duchesnois_jean1032r3")</f>
        <v>0</v>
      </c>
      <c r="H4944">
        <f>HYPERLINK("https://www.wikidata.org/wiki/Q3175043", "Q3175043")</f>
        <v>0</v>
      </c>
    </row>
    <row r="4945" spans="1:8">
      <c r="A4945" t="s">
        <v>4951</v>
      </c>
      <c r="B4945" t="s">
        <v>9242</v>
      </c>
      <c r="C4945" t="s">
        <v>10265</v>
      </c>
      <c r="D4945" t="s">
        <v>15757</v>
      </c>
      <c r="E4945" s="2">
        <v>6703</v>
      </c>
      <c r="F4945">
        <f>HYPERLINK("https://www2.assemblee-nationale.fr/sycomore/fiche/(num_dept)/7434", "7434.0")</f>
        <v>0</v>
      </c>
      <c r="G4945">
        <f>HYPERLINK("https://www.senat.fr/senateur-3eme-republique/ville_pierre0048r3.html", "ville_pierre0048r3")</f>
        <v>0</v>
      </c>
      <c r="H4945">
        <f>HYPERLINK("https://www.wikidata.org/wiki/Q3387297", "Q3387297")</f>
        <v>0</v>
      </c>
    </row>
    <row r="4946" spans="1:8">
      <c r="A4946" t="s">
        <v>4952</v>
      </c>
      <c r="B4946" t="s">
        <v>9243</v>
      </c>
      <c r="C4946" t="s">
        <v>11359</v>
      </c>
      <c r="D4946" t="s">
        <v>11520</v>
      </c>
      <c r="E4946" s="2">
        <v>8879</v>
      </c>
      <c r="F4946">
        <f>HYPERLINK("https://www2.assemblee-nationale.fr/sycomore/fiche/(num_dept)/7421", "7421.0")</f>
        <v>0</v>
      </c>
      <c r="H4946">
        <f>HYPERLINK("https://www.wikidata.org/wiki/Q2965729", "Q2965729")</f>
        <v>0</v>
      </c>
    </row>
    <row r="4947" spans="1:8">
      <c r="A4947" t="s">
        <v>4953</v>
      </c>
      <c r="B4947" t="s">
        <v>9244</v>
      </c>
      <c r="C4947" t="s">
        <v>9533</v>
      </c>
      <c r="D4947" t="s">
        <v>15758</v>
      </c>
      <c r="E4947" s="2">
        <v>17365</v>
      </c>
      <c r="F4947">
        <f>HYPERLINK("https://www2.assemblee-nationale.fr/sycomore/fiche/(num_dept)/7298", "7298.0")</f>
        <v>0</v>
      </c>
      <c r="H4947">
        <f>HYPERLINK("https://www.wikidata.org/wiki/Q2856798", "Q2856798")</f>
        <v>0</v>
      </c>
    </row>
    <row r="4948" spans="1:8">
      <c r="A4948" t="s">
        <v>4954</v>
      </c>
      <c r="B4948" t="s">
        <v>9245</v>
      </c>
      <c r="C4948" t="s">
        <v>11360</v>
      </c>
      <c r="D4948" t="s">
        <v>13386</v>
      </c>
      <c r="E4948" s="2">
        <v>7519</v>
      </c>
      <c r="F4948">
        <f>HYPERLINK("https://www2.assemblee-nationale.fr/sycomore/fiche/(num_dept)/8143", "8143.0")</f>
        <v>0</v>
      </c>
      <c r="H4948">
        <f>HYPERLINK("https://www.wikidata.org/wiki/Q3383345", "Q3383345")</f>
        <v>0</v>
      </c>
    </row>
    <row r="4949" spans="1:8">
      <c r="A4949" t="s">
        <v>4955</v>
      </c>
      <c r="B4949" t="s">
        <v>9246</v>
      </c>
      <c r="C4949" t="s">
        <v>9368</v>
      </c>
      <c r="D4949" t="s">
        <v>15759</v>
      </c>
      <c r="E4949" s="2">
        <v>11039</v>
      </c>
      <c r="F4949">
        <f>HYPERLINK("https://www2.assemblee-nationale.fr/sycomore/fiche/(num_dept)/7431", "7431.0")</f>
        <v>0</v>
      </c>
      <c r="H4949">
        <f>HYPERLINK("https://www.wikidata.org/wiki/Q16026607", "Q16026607")</f>
        <v>0</v>
      </c>
    </row>
    <row r="4950" spans="1:8">
      <c r="A4950" t="s">
        <v>4956</v>
      </c>
      <c r="B4950" t="s">
        <v>9247</v>
      </c>
      <c r="C4950" t="s">
        <v>11361</v>
      </c>
      <c r="D4950" t="s">
        <v>15760</v>
      </c>
      <c r="E4950" s="2">
        <v>12462</v>
      </c>
      <c r="F4950">
        <f>HYPERLINK("https://www2.assemblee-nationale.fr/sycomore/fiche/(num_dept)/7353", "7353.0")</f>
        <v>0</v>
      </c>
      <c r="G4950">
        <f>HYPERLINK("https://www.senat.fr/senateur-3eme-republique/villemant_emile0039r3.html", "villemant_emile0039r3")</f>
        <v>0</v>
      </c>
      <c r="H4950">
        <f>HYPERLINK("https://www.wikidata.org/wiki/Q3588784", "Q3588784")</f>
        <v>0</v>
      </c>
    </row>
    <row r="4951" spans="1:8">
      <c r="A4951" t="s">
        <v>4957</v>
      </c>
      <c r="B4951" t="s">
        <v>9248</v>
      </c>
      <c r="C4951" t="s">
        <v>11362</v>
      </c>
      <c r="D4951" t="s">
        <v>15761</v>
      </c>
      <c r="E4951" s="2">
        <v>9629</v>
      </c>
      <c r="F4951">
        <f>HYPERLINK("https://www2.assemblee-nationale.fr/sycomore/fiche/(num_dept)/7457", "7457.0")</f>
        <v>0</v>
      </c>
      <c r="H4951">
        <f>HYPERLINK("https://www.wikidata.org/wiki/Q16026608", "Q16026608")</f>
        <v>0</v>
      </c>
    </row>
    <row r="4952" spans="1:8">
      <c r="A4952" t="s">
        <v>4958</v>
      </c>
      <c r="B4952" t="s">
        <v>9249</v>
      </c>
      <c r="C4952" t="s">
        <v>11363</v>
      </c>
      <c r="D4952" t="s">
        <v>15762</v>
      </c>
      <c r="E4952" s="2">
        <v>23431</v>
      </c>
      <c r="F4952">
        <f>HYPERLINK("https://www2.assemblee-nationale.fr/sycomore/fiche/(num_dept)/7366", "7366.0")</f>
        <v>0</v>
      </c>
      <c r="H4952">
        <f>HYPERLINK("https://www.wikidata.org/wiki/Q2980559", "Q2980559")</f>
        <v>0</v>
      </c>
    </row>
    <row r="4953" spans="1:8">
      <c r="A4953" t="s">
        <v>4959</v>
      </c>
      <c r="B4953" t="s">
        <v>9250</v>
      </c>
      <c r="C4953" t="s">
        <v>11364</v>
      </c>
      <c r="D4953" t="s">
        <v>15763</v>
      </c>
      <c r="E4953" t="s">
        <v>16476</v>
      </c>
      <c r="F4953">
        <f>HYPERLINK("https://www2.assemblee-nationale.fr/sycomore/fiche/(num_dept)/8057", "8057.0")</f>
        <v>0</v>
      </c>
      <c r="H4953">
        <f>HYPERLINK("https://www.wikidata.org/wiki/Q16026610", "Q16026610")</f>
        <v>0</v>
      </c>
    </row>
    <row r="4954" spans="1:8">
      <c r="A4954" t="s">
        <v>4960</v>
      </c>
      <c r="B4954" t="s">
        <v>9250</v>
      </c>
      <c r="C4954" t="s">
        <v>11365</v>
      </c>
      <c r="D4954" t="s">
        <v>15764</v>
      </c>
      <c r="E4954" s="2">
        <v>11416</v>
      </c>
      <c r="F4954">
        <f>HYPERLINK("https://www2.assemblee-nationale.fr/sycomore/fiche/(num_dept)/7456", "7456.0")</f>
        <v>0</v>
      </c>
      <c r="H4954">
        <f>HYPERLINK("https://www.wikidata.org/wiki/Q2965731", "Q2965731")</f>
        <v>0</v>
      </c>
    </row>
    <row r="4955" spans="1:8">
      <c r="A4955" t="s">
        <v>4961</v>
      </c>
      <c r="B4955" t="s">
        <v>9250</v>
      </c>
      <c r="C4955" t="s">
        <v>11366</v>
      </c>
      <c r="D4955" t="s">
        <v>15765</v>
      </c>
      <c r="E4955" s="2">
        <v>14432</v>
      </c>
      <c r="F4955">
        <f>HYPERLINK("https://www2.assemblee-nationale.fr/sycomore/fiche/(num_dept)/3712", "3712.0")</f>
        <v>0</v>
      </c>
      <c r="H4955">
        <f>HYPERLINK("https://www.wikidata.org/wiki/Q2934951", "Q2934951")</f>
        <v>0</v>
      </c>
    </row>
    <row r="4956" spans="1:8">
      <c r="A4956" t="s">
        <v>4962</v>
      </c>
      <c r="B4956" t="s">
        <v>9250</v>
      </c>
      <c r="C4956" t="s">
        <v>11367</v>
      </c>
      <c r="D4956" t="s">
        <v>15766</v>
      </c>
      <c r="E4956" s="2">
        <v>3411</v>
      </c>
      <c r="F4956">
        <f>HYPERLINK("https://www2.assemblee-nationale.fr/sycomore/fiche/(num_dept)/3713", "3713.0")</f>
        <v>0</v>
      </c>
      <c r="H4956">
        <f>HYPERLINK("https://www.wikidata.org/wiki/Q3172457", "Q3172457")</f>
        <v>0</v>
      </c>
    </row>
    <row r="4957" spans="1:8">
      <c r="A4957" t="s">
        <v>4963</v>
      </c>
      <c r="B4957" t="s">
        <v>9251</v>
      </c>
      <c r="C4957" t="s">
        <v>11368</v>
      </c>
      <c r="D4957" t="s">
        <v>15767</v>
      </c>
      <c r="E4957" s="2">
        <v>14317</v>
      </c>
      <c r="F4957">
        <f>HYPERLINK("https://www2.assemblee-nationale.fr/sycomore/fiche/(num_dept)/2850", "2850.0")</f>
        <v>0</v>
      </c>
      <c r="H4957">
        <f>HYPERLINK("https://www.wikidata.org/wiki/Q2865088", "Q2865088")</f>
        <v>0</v>
      </c>
    </row>
    <row r="4958" spans="1:8">
      <c r="A4958" t="s">
        <v>4964</v>
      </c>
      <c r="B4958" t="s">
        <v>9252</v>
      </c>
      <c r="C4958" t="s">
        <v>9324</v>
      </c>
      <c r="D4958" t="s">
        <v>15768</v>
      </c>
      <c r="E4958" s="2">
        <v>10262</v>
      </c>
      <c r="G4958">
        <f>HYPERLINK("https://www.senat.fr/senateur-3eme-republique/villette_gate_henri0769r3.html", "villette_gate_henri0769r3")</f>
        <v>0</v>
      </c>
      <c r="H4958">
        <f>HYPERLINK("https://www.wikidata.org/wiki/Q3132163", "Q3132163")</f>
        <v>0</v>
      </c>
    </row>
    <row r="4959" spans="1:8">
      <c r="A4959" t="s">
        <v>4965</v>
      </c>
      <c r="B4959" t="s">
        <v>9253</v>
      </c>
      <c r="C4959" t="s">
        <v>11369</v>
      </c>
      <c r="D4959" t="s">
        <v>15769</v>
      </c>
      <c r="E4959" t="s">
        <v>16477</v>
      </c>
      <c r="F4959">
        <f>HYPERLINK("https://www2.assemblee-nationale.fr/sycomore/fiche/(num_dept)/8125", "8125.0")</f>
        <v>0</v>
      </c>
      <c r="H4959">
        <f>HYPERLINK("https://www.wikidata.org/wiki/Q3083565", "Q3083565")</f>
        <v>0</v>
      </c>
    </row>
    <row r="4960" spans="1:8">
      <c r="A4960" t="s">
        <v>4966</v>
      </c>
      <c r="B4960" t="s">
        <v>9253</v>
      </c>
      <c r="C4960" t="s">
        <v>11370</v>
      </c>
      <c r="D4960" t="s">
        <v>15770</v>
      </c>
      <c r="E4960" s="2">
        <v>14996</v>
      </c>
      <c r="F4960">
        <f>HYPERLINK("https://www2.assemblee-nationale.fr/sycomore/fiche/(num_dept)/7418", "7418.0")</f>
        <v>0</v>
      </c>
      <c r="G4960">
        <f>HYPERLINK("https://www.senat.fr/senateur-3eme-republique/villiers_emile0785r3.html", "villiers_emile0785r3")</f>
        <v>0</v>
      </c>
      <c r="H4960">
        <f>HYPERLINK("https://www.wikidata.org/wiki/Q3083748", "Q3083748")</f>
        <v>0</v>
      </c>
    </row>
    <row r="4961" spans="1:8">
      <c r="A4961" t="s">
        <v>4967</v>
      </c>
      <c r="B4961" t="s">
        <v>9254</v>
      </c>
      <c r="C4961" t="s">
        <v>11371</v>
      </c>
      <c r="D4961" t="s">
        <v>15771</v>
      </c>
      <c r="E4961" t="s">
        <v>16478</v>
      </c>
      <c r="F4961">
        <f>HYPERLINK("https://www2.assemblee-nationale.fr/sycomore/fiche/(num_dept)/8064", "8064.0")</f>
        <v>0</v>
      </c>
      <c r="H4961">
        <f>HYPERLINK("https://www.wikidata.org/wiki/Q16026612", "Q16026612")</f>
        <v>0</v>
      </c>
    </row>
    <row r="4962" spans="1:8">
      <c r="A4962" t="s">
        <v>4968</v>
      </c>
      <c r="B4962" t="s">
        <v>9255</v>
      </c>
      <c r="C4962" t="s">
        <v>9337</v>
      </c>
      <c r="D4962" t="s">
        <v>15772</v>
      </c>
      <c r="E4962" s="2">
        <v>5538</v>
      </c>
      <c r="G4962">
        <f>HYPERLINK("https://www.senat.fr/senateur-3eme-republique/vincent_auguste0143r3.html", "vincent_auguste0143r3")</f>
        <v>0</v>
      </c>
      <c r="H4962">
        <f>HYPERLINK("https://www.wikidata.org/wiki/Q2871449", "Q2871449")</f>
        <v>0</v>
      </c>
    </row>
    <row r="4963" spans="1:8">
      <c r="A4963" t="s">
        <v>4969</v>
      </c>
      <c r="B4963" t="s">
        <v>9256</v>
      </c>
      <c r="C4963" t="s">
        <v>11372</v>
      </c>
      <c r="D4963" t="s">
        <v>15773</v>
      </c>
      <c r="E4963" s="2">
        <v>17460</v>
      </c>
      <c r="F4963">
        <f>HYPERLINK("https://www2.assemblee-nationale.fr/sycomore/fiche/(num_dept)/7333", "7333.0")</f>
        <v>0</v>
      </c>
      <c r="G4963">
        <f>HYPERLINK("https://www.senat.fr/senateur-3eme-republique/vincent_emile0534r3.html", "vincent_emile0534r3")</f>
        <v>0</v>
      </c>
      <c r="H4963">
        <f>HYPERLINK("https://www.wikidata.org/wiki/Q3588785", "Q3588785")</f>
        <v>0</v>
      </c>
    </row>
    <row r="4964" spans="1:8">
      <c r="A4964" t="s">
        <v>4970</v>
      </c>
      <c r="B4964" t="s">
        <v>9256</v>
      </c>
      <c r="C4964" t="s">
        <v>9357</v>
      </c>
      <c r="D4964" t="s">
        <v>12638</v>
      </c>
      <c r="E4964" s="2">
        <v>16925</v>
      </c>
      <c r="H4964">
        <f>HYPERLINK("https://www.wikidata.org/wiki/Q3014792", "Q3014792")</f>
        <v>0</v>
      </c>
    </row>
    <row r="4965" spans="1:8">
      <c r="A4965" t="s">
        <v>4971</v>
      </c>
      <c r="B4965" t="s">
        <v>9256</v>
      </c>
      <c r="C4965" t="s">
        <v>11373</v>
      </c>
      <c r="D4965" t="s">
        <v>15774</v>
      </c>
      <c r="E4965" s="2">
        <v>20305</v>
      </c>
      <c r="F4965">
        <f>HYPERLINK("https://www2.assemblee-nationale.fr/sycomore/fiche/(num_dept)/7338", "7338.0")</f>
        <v>0</v>
      </c>
      <c r="H4965">
        <f>HYPERLINK("https://www.wikidata.org/wiki/Q15971879", "Q15971879")</f>
        <v>0</v>
      </c>
    </row>
    <row r="4966" spans="1:8">
      <c r="A4966" t="s">
        <v>4972</v>
      </c>
      <c r="B4966" t="s">
        <v>9256</v>
      </c>
      <c r="C4966" t="s">
        <v>11374</v>
      </c>
      <c r="D4966" t="s">
        <v>13760</v>
      </c>
      <c r="E4966" s="2">
        <v>22429</v>
      </c>
      <c r="F4966">
        <f>HYPERLINK("https://www2.assemblee-nationale.fr/sycomore/fiche/(num_dept)/7337", "7337.0")</f>
        <v>0</v>
      </c>
      <c r="H4966">
        <f>HYPERLINK("https://www.wikidata.org/wiki/Q16026615", "Q16026615")</f>
        <v>0</v>
      </c>
    </row>
    <row r="4967" spans="1:8">
      <c r="A4967" t="s">
        <v>4973</v>
      </c>
      <c r="B4967" t="s">
        <v>9257</v>
      </c>
      <c r="C4967" t="s">
        <v>7754</v>
      </c>
      <c r="D4967" t="s">
        <v>15775</v>
      </c>
      <c r="E4967" s="2">
        <v>8802</v>
      </c>
      <c r="G4967">
        <f>HYPERLINK("https://www.senat.fr/senateur-3eme-republique/vinet_louis0767r3.html", "vinet_louis0767r3")</f>
        <v>0</v>
      </c>
      <c r="H4967">
        <f>HYPERLINK("https://www.wikidata.org/wiki/Q3263292", "Q3263292")</f>
        <v>0</v>
      </c>
    </row>
    <row r="4968" spans="1:8">
      <c r="A4968" t="s">
        <v>4974</v>
      </c>
      <c r="B4968" t="s">
        <v>9258</v>
      </c>
      <c r="C4968" t="s">
        <v>9918</v>
      </c>
      <c r="D4968" t="s">
        <v>15776</v>
      </c>
      <c r="E4968" s="2">
        <v>14592</v>
      </c>
      <c r="F4968">
        <f>HYPERLINK("https://www2.assemblee-nationale.fr/sycomore/fiche/(num_dept)/7359", "7359.0")</f>
        <v>0</v>
      </c>
      <c r="H4968">
        <f>HYPERLINK("https://www.wikidata.org/wiki/Q3069370", "Q3069370")</f>
        <v>0</v>
      </c>
    </row>
    <row r="4969" spans="1:8">
      <c r="A4969" t="s">
        <v>4975</v>
      </c>
      <c r="B4969" t="s">
        <v>9259</v>
      </c>
      <c r="C4969" t="s">
        <v>7942</v>
      </c>
      <c r="D4969" t="s">
        <v>13395</v>
      </c>
      <c r="E4969" s="2">
        <v>22168</v>
      </c>
      <c r="F4969">
        <f>HYPERLINK("https://www2.assemblee-nationale.fr/sycomore/fiche/(num_dept)/7238", "7238.0")</f>
        <v>0</v>
      </c>
      <c r="G4969">
        <f>HYPERLINK("https://www.senat.fr/senateur-3eme-republique/viollette_maurice0773r3.html", "viollette_maurice0773r3")</f>
        <v>0</v>
      </c>
      <c r="H4969">
        <f>HYPERLINK("https://www.wikidata.org/wiki/Q3301513", "Q3301513")</f>
        <v>0</v>
      </c>
    </row>
    <row r="4970" spans="1:8">
      <c r="A4970" t="s">
        <v>4976</v>
      </c>
      <c r="B4970" t="s">
        <v>9260</v>
      </c>
      <c r="C4970" t="s">
        <v>9324</v>
      </c>
      <c r="D4970" t="s">
        <v>13675</v>
      </c>
      <c r="E4970" s="2">
        <v>4673</v>
      </c>
      <c r="F4970">
        <f>HYPERLINK("https://www2.assemblee-nationale.fr/sycomore/fiche/(num_dept)/7430", "7430.0")</f>
        <v>0</v>
      </c>
      <c r="H4970">
        <f>HYPERLINK("https://www.wikidata.org/wiki/Q16026617", "Q16026617")</f>
        <v>0</v>
      </c>
    </row>
    <row r="4971" spans="1:8">
      <c r="A4971" t="s">
        <v>4977</v>
      </c>
      <c r="B4971" t="s">
        <v>9261</v>
      </c>
      <c r="C4971" t="s">
        <v>9352</v>
      </c>
      <c r="D4971" t="s">
        <v>15777</v>
      </c>
      <c r="E4971" s="2">
        <v>3702</v>
      </c>
      <c r="F4971">
        <f>HYPERLINK("https://www2.assemblee-nationale.fr/sycomore/fiche/(num_dept)/7461", "7461.0")</f>
        <v>0</v>
      </c>
      <c r="H4971">
        <f>HYPERLINK("https://www.wikidata.org/wiki/Q15971948", "Q15971948")</f>
        <v>0</v>
      </c>
    </row>
    <row r="4972" spans="1:8">
      <c r="A4972" t="s">
        <v>4978</v>
      </c>
      <c r="B4972" t="s">
        <v>9262</v>
      </c>
      <c r="C4972" t="s">
        <v>9471</v>
      </c>
      <c r="D4972" t="s">
        <v>15511</v>
      </c>
      <c r="E4972" s="2">
        <v>8438</v>
      </c>
      <c r="G4972">
        <f>HYPERLINK("https://www.senat.fr/senateur-3eme-republique/viseur_jules0959r3.html", "viseur_jules0959r3")</f>
        <v>0</v>
      </c>
      <c r="H4972">
        <f>HYPERLINK("https://www.wikidata.org/wiki/Q3188961", "Q3188961")</f>
        <v>0</v>
      </c>
    </row>
    <row r="4973" spans="1:8">
      <c r="A4973" t="s">
        <v>4979</v>
      </c>
      <c r="B4973" t="s">
        <v>9263</v>
      </c>
      <c r="C4973" t="s">
        <v>9332</v>
      </c>
      <c r="D4973" t="s">
        <v>15778</v>
      </c>
      <c r="E4973" s="2">
        <v>7385</v>
      </c>
      <c r="G4973">
        <f>HYPERLINK("https://www.senat.fr/senateur-3eme-republique/vissaguet_ernest0517r3.html", "vissaguet_ernest0517r3")</f>
        <v>0</v>
      </c>
      <c r="H4973">
        <f>HYPERLINK("https://www.wikidata.org/wiki/Q3057205", "Q3057205")</f>
        <v>0</v>
      </c>
    </row>
    <row r="4974" spans="1:8">
      <c r="A4974" t="s">
        <v>4980</v>
      </c>
      <c r="B4974" t="s">
        <v>9264</v>
      </c>
      <c r="C4974" t="s">
        <v>11375</v>
      </c>
      <c r="D4974" t="s">
        <v>15779</v>
      </c>
      <c r="E4974" s="2">
        <v>6150</v>
      </c>
      <c r="F4974">
        <f>HYPERLINK("https://www2.assemblee-nationale.fr/sycomore/fiche/(num_dept)/10599", "10599.0")</f>
        <v>0</v>
      </c>
      <c r="H4974">
        <f>HYPERLINK("https://www.wikidata.org/wiki/Q16026619", "Q16026619")</f>
        <v>0</v>
      </c>
    </row>
    <row r="4975" spans="1:8">
      <c r="A4975" t="s">
        <v>4981</v>
      </c>
      <c r="B4975" t="s">
        <v>9265</v>
      </c>
      <c r="C4975" t="s">
        <v>7754</v>
      </c>
      <c r="D4975" t="s">
        <v>14876</v>
      </c>
      <c r="E4975" s="2">
        <v>2422</v>
      </c>
      <c r="F4975">
        <f>HYPERLINK("https://www2.assemblee-nationale.fr/sycomore/fiche/(num_dept)/7433", "7433.0")</f>
        <v>0</v>
      </c>
      <c r="H4975">
        <f>HYPERLINK("https://www.wikidata.org/wiki/Q16026620", "Q16026620")</f>
        <v>0</v>
      </c>
    </row>
    <row r="4976" spans="1:8">
      <c r="A4976" t="s">
        <v>4982</v>
      </c>
      <c r="B4976" t="s">
        <v>9266</v>
      </c>
      <c r="C4976" t="s">
        <v>9337</v>
      </c>
      <c r="D4976" t="s">
        <v>15780</v>
      </c>
      <c r="G4976">
        <f>HYPERLINK("https://www.senat.fr/senateur-3eme-republique/vivenot_auguste1011r3.html", "vivenot_auguste1011r3")</f>
        <v>0</v>
      </c>
      <c r="H4976">
        <f>HYPERLINK("https://www.wikidata.org/wiki/Q2871457", "Q2871457")</f>
        <v>0</v>
      </c>
    </row>
    <row r="4977" spans="1:8">
      <c r="A4977" t="s">
        <v>4983</v>
      </c>
      <c r="B4977" t="s">
        <v>9267</v>
      </c>
      <c r="C4977" t="s">
        <v>9320</v>
      </c>
      <c r="D4977" t="s">
        <v>15781</v>
      </c>
      <c r="E4977" s="2">
        <v>9381</v>
      </c>
      <c r="G4977">
        <f>HYPERLINK("https://www.senat.fr/senateur-3eme-republique/viviani_rene0627r3.html", "viviani_rene0627r3")</f>
        <v>0</v>
      </c>
      <c r="H4977">
        <f>HYPERLINK("https://www.wikidata.org/wiki/Q431074", "Q431074")</f>
        <v>0</v>
      </c>
    </row>
    <row r="4978" spans="1:8">
      <c r="A4978" t="s">
        <v>4984</v>
      </c>
      <c r="B4978" t="s">
        <v>9268</v>
      </c>
      <c r="C4978" t="s">
        <v>9320</v>
      </c>
      <c r="D4978" t="s">
        <v>15782</v>
      </c>
      <c r="E4978" s="2">
        <v>9382</v>
      </c>
      <c r="H4978">
        <f>HYPERLINK("https://www.wikidata.org/wiki/Q431074", "Q431074")</f>
        <v>0</v>
      </c>
    </row>
    <row r="4979" spans="1:8">
      <c r="A4979" t="s">
        <v>4985</v>
      </c>
      <c r="B4979" t="s">
        <v>9268</v>
      </c>
      <c r="C4979" t="s">
        <v>9320</v>
      </c>
      <c r="D4979" t="s">
        <v>15783</v>
      </c>
      <c r="E4979" s="2">
        <v>9381</v>
      </c>
      <c r="F4979">
        <f>HYPERLINK("https://www2.assemblee-nationale.fr/sycomore/fiche/(num_dept)/7368", "7368.0")</f>
        <v>0</v>
      </c>
      <c r="H4979">
        <f>HYPERLINK("https://www.wikidata.org/wiki/Q431074", "Q431074")</f>
        <v>0</v>
      </c>
    </row>
    <row r="4980" spans="1:8">
      <c r="A4980" t="s">
        <v>4986</v>
      </c>
      <c r="B4980" t="s">
        <v>9269</v>
      </c>
      <c r="C4980" t="s">
        <v>8384</v>
      </c>
      <c r="D4980" t="s">
        <v>15784</v>
      </c>
      <c r="E4980" s="2">
        <v>16271</v>
      </c>
      <c r="F4980">
        <f>HYPERLINK("https://www2.assemblee-nationale.fr/sycomore/fiche/(num_dept)/7285", "7285.0")</f>
        <v>0</v>
      </c>
      <c r="H4980">
        <f>HYPERLINK("https://www.wikidata.org/wiki/Q3387321", "Q3387321")</f>
        <v>0</v>
      </c>
    </row>
    <row r="4981" spans="1:8">
      <c r="A4981" t="s">
        <v>4987</v>
      </c>
      <c r="B4981" t="s">
        <v>9270</v>
      </c>
      <c r="C4981" t="s">
        <v>6888</v>
      </c>
      <c r="D4981" t="s">
        <v>15785</v>
      </c>
      <c r="E4981" s="2">
        <v>3805</v>
      </c>
      <c r="F4981">
        <f>HYPERLINK("https://www2.assemblee-nationale.fr/sycomore/fiche/(num_dept)/7437", "7437.0")</f>
        <v>0</v>
      </c>
      <c r="H4981">
        <f>HYPERLINK("https://www.wikidata.org/wiki/Q3092631", "Q3092631")</f>
        <v>0</v>
      </c>
    </row>
    <row r="4982" spans="1:8">
      <c r="A4982" t="s">
        <v>4988</v>
      </c>
      <c r="B4982" t="s">
        <v>9271</v>
      </c>
      <c r="C4982" t="s">
        <v>11376</v>
      </c>
      <c r="D4982" t="s">
        <v>15786</v>
      </c>
      <c r="E4982" s="2">
        <v>3736</v>
      </c>
      <c r="F4982">
        <f>HYPERLINK("https://www2.assemblee-nationale.fr/sycomore/fiche/(num_dept)/7447", "7447.0")</f>
        <v>0</v>
      </c>
      <c r="H4982">
        <f>HYPERLINK("https://www.wikidata.org/wiki/Q16053", "Q16053")</f>
        <v>0</v>
      </c>
    </row>
    <row r="4983" spans="1:8">
      <c r="A4983" t="s">
        <v>4989</v>
      </c>
      <c r="B4983" t="s">
        <v>9272</v>
      </c>
      <c r="C4983" t="s">
        <v>9377</v>
      </c>
      <c r="D4983" t="s">
        <v>15787</v>
      </c>
      <c r="E4983" s="2">
        <v>21168</v>
      </c>
      <c r="F4983">
        <f>HYPERLINK("https://www2.assemblee-nationale.fr/sycomore/fiche/(num_dept)/7364", "7364.0")</f>
        <v>0</v>
      </c>
      <c r="G4983">
        <f>HYPERLINK("https://www.senat.fr/senateur-3eme-republique/voilin_lucien1366r3.html", "voilin_lucien1366r3")</f>
        <v>0</v>
      </c>
      <c r="H4983">
        <f>HYPERLINK("https://www.wikidata.org/wiki/Q3265740", "Q3265740")</f>
        <v>0</v>
      </c>
    </row>
    <row r="4984" spans="1:8">
      <c r="A4984" t="s">
        <v>4990</v>
      </c>
      <c r="B4984" t="s">
        <v>9273</v>
      </c>
      <c r="C4984" t="s">
        <v>7342</v>
      </c>
      <c r="D4984" t="s">
        <v>15788</v>
      </c>
      <c r="E4984" s="2">
        <v>19408</v>
      </c>
      <c r="F4984">
        <f>HYPERLINK("https://www2.assemblee-nationale.fr/sycomore/fiche/(num_dept)/7389", "7389.0")</f>
        <v>0</v>
      </c>
      <c r="G4984">
        <f>HYPERLINK("https://www.senat.fr/senateur-3eme-republique/voillot_jean1145r3.html", "voillot_jean1145r3")</f>
        <v>0</v>
      </c>
      <c r="H4984">
        <f>HYPERLINK("https://www.wikidata.org/wiki/Q3175075", "Q3175075")</f>
        <v>0</v>
      </c>
    </row>
    <row r="4985" spans="1:8">
      <c r="A4985" t="s">
        <v>4991</v>
      </c>
      <c r="B4985" t="s">
        <v>9274</v>
      </c>
      <c r="C4985" t="s">
        <v>7942</v>
      </c>
      <c r="D4985" t="s">
        <v>15789</v>
      </c>
      <c r="E4985" s="2">
        <v>29574</v>
      </c>
      <c r="F4985">
        <f>HYPERLINK("https://www2.assemblee-nationale.fr/sycomore/fiche/(num_dept)/7284", "7284.0")</f>
        <v>0</v>
      </c>
      <c r="H4985">
        <f>HYPERLINK("https://www.wikidata.org/wiki/Q3301510", "Q3301510")</f>
        <v>0</v>
      </c>
    </row>
    <row r="4986" spans="1:8">
      <c r="A4986" t="s">
        <v>4992</v>
      </c>
      <c r="B4986" t="s">
        <v>9275</v>
      </c>
      <c r="C4986" t="s">
        <v>6864</v>
      </c>
      <c r="D4986" t="s">
        <v>11707</v>
      </c>
      <c r="E4986" s="2">
        <v>156</v>
      </c>
      <c r="G4986">
        <f>HYPERLINK("https://www.senat.fr/senateur-3eme-republique/volland_francois0931r3.html", "volland_francois0931r3")</f>
        <v>0</v>
      </c>
      <c r="H4986">
        <f>HYPERLINK("https://www.wikidata.org/wiki/Q3086029", "Q3086029")</f>
        <v>0</v>
      </c>
    </row>
    <row r="4987" spans="1:8">
      <c r="A4987" t="s">
        <v>4993</v>
      </c>
      <c r="B4987" t="s">
        <v>9276</v>
      </c>
      <c r="C4987" t="s">
        <v>8384</v>
      </c>
      <c r="D4987" t="s">
        <v>15790</v>
      </c>
      <c r="E4987" s="2">
        <v>14893</v>
      </c>
      <c r="F4987">
        <f>HYPERLINK("https://www2.assemblee-nationale.fr/sycomore/fiche/(num_dept)/7367", "7367.0")</f>
        <v>0</v>
      </c>
      <c r="H4987">
        <f>HYPERLINK("https://www.wikidata.org/wiki/Q16026621", "Q16026621")</f>
        <v>0</v>
      </c>
    </row>
    <row r="4988" spans="1:8">
      <c r="A4988" t="s">
        <v>4994</v>
      </c>
      <c r="B4988" t="s">
        <v>9277</v>
      </c>
      <c r="C4988" t="s">
        <v>7342</v>
      </c>
      <c r="D4988" t="s">
        <v>15791</v>
      </c>
      <c r="E4988" s="2">
        <v>6546</v>
      </c>
      <c r="F4988">
        <f>HYPERLINK("https://www2.assemblee-nationale.fr/sycomore/fiche/(num_dept)/7465", "7465.0")</f>
        <v>0</v>
      </c>
      <c r="G4988">
        <f>HYPERLINK("https://www.senat.fr/senateur-3eme-republique/vuillod_jean0440r3.html", "vuillod_jean0440r3")</f>
        <v>0</v>
      </c>
      <c r="H4988">
        <f>HYPERLINK("https://www.wikidata.org/wiki/Q8312093", "Q8312093")</f>
        <v>0</v>
      </c>
    </row>
    <row r="4989" spans="1:8">
      <c r="A4989" t="s">
        <v>4995</v>
      </c>
      <c r="B4989" t="s">
        <v>9278</v>
      </c>
      <c r="C4989" t="s">
        <v>9578</v>
      </c>
      <c r="D4989" t="s">
        <v>15792</v>
      </c>
      <c r="E4989" t="s">
        <v>16479</v>
      </c>
      <c r="G4989">
        <f>HYPERLINK("https://www.senat.fr/senateur-3eme-republique/waddington_william0028r3.html", "waddington_william0028r3")</f>
        <v>0</v>
      </c>
      <c r="H4989">
        <f>HYPERLINK("https://www.wikidata.org/wiki/Q548696", "Q548696")</f>
        <v>0</v>
      </c>
    </row>
    <row r="4990" spans="1:8">
      <c r="A4990" t="s">
        <v>4996</v>
      </c>
      <c r="B4990" t="s">
        <v>9279</v>
      </c>
      <c r="C4990" t="s">
        <v>11377</v>
      </c>
      <c r="D4990" t="s">
        <v>15793</v>
      </c>
      <c r="E4990" s="2">
        <v>4926</v>
      </c>
      <c r="F4990">
        <f>HYPERLINK("https://www2.assemblee-nationale.fr/sycomore/fiche/(num_dept)/7467", "7467.0")</f>
        <v>0</v>
      </c>
      <c r="G4990">
        <f>HYPERLINK("https://www.senat.fr/senateur-3eme-republique/waddington_richard1606r3.html", "waddington_richard1606r3")</f>
        <v>0</v>
      </c>
      <c r="H4990">
        <f>HYPERLINK("https://www.wikidata.org/wiki/Q2150850", "Q2150850")</f>
        <v>0</v>
      </c>
    </row>
    <row r="4991" spans="1:8">
      <c r="A4991" t="s">
        <v>4997</v>
      </c>
      <c r="B4991" t="s">
        <v>9280</v>
      </c>
      <c r="C4991" t="s">
        <v>11378</v>
      </c>
      <c r="D4991" t="s">
        <v>15794</v>
      </c>
      <c r="E4991" s="2">
        <v>1684</v>
      </c>
      <c r="F4991">
        <f>HYPERLINK("https://www2.assemblee-nationale.fr/sycomore/fiche/(num_dept)/7473", "7473.0")</f>
        <v>0</v>
      </c>
      <c r="G4991">
        <f>HYPERLINK("https://www.senat.fr/senateur-3eme-republique/waldeck_rousseau_pierre1368r3.html", "waldeck_rousseau_pierre1368r3")</f>
        <v>0</v>
      </c>
      <c r="H4991">
        <f>HYPERLINK("https://www.wikidata.org/wiki/Q358452", "Q358452")</f>
        <v>0</v>
      </c>
    </row>
    <row r="4992" spans="1:8">
      <c r="A4992" t="s">
        <v>4998</v>
      </c>
      <c r="B4992" t="s">
        <v>9281</v>
      </c>
      <c r="C4992" t="s">
        <v>9564</v>
      </c>
      <c r="D4992" t="s">
        <v>15795</v>
      </c>
      <c r="E4992" s="2">
        <v>22450</v>
      </c>
      <c r="F4992">
        <f>HYPERLINK("https://www2.assemblee-nationale.fr/sycomore/fiche/(num_dept)/7301", "7301.0")</f>
        <v>0</v>
      </c>
      <c r="H4992">
        <f>HYPERLINK("https://www.wikidata.org/wiki/Q8317532", "Q8317532")</f>
        <v>0</v>
      </c>
    </row>
    <row r="4993" spans="1:8">
      <c r="A4993" t="s">
        <v>4999</v>
      </c>
      <c r="B4993" t="s">
        <v>9282</v>
      </c>
      <c r="C4993" t="s">
        <v>9324</v>
      </c>
      <c r="D4993" t="s">
        <v>15796</v>
      </c>
      <c r="E4993" s="2">
        <v>1779</v>
      </c>
      <c r="G4993">
        <f>HYPERLINK("https://www.senat.fr/senateur-3eme-republique/wallon_henri1544r3.html", "wallon_henri1544r3")</f>
        <v>0</v>
      </c>
      <c r="H4993">
        <f>HYPERLINK("https://www.wikidata.org/wiki/Q589355", "Q589355")</f>
        <v>0</v>
      </c>
    </row>
    <row r="4994" spans="1:8">
      <c r="A4994" t="s">
        <v>5000</v>
      </c>
      <c r="B4994" t="s">
        <v>9283</v>
      </c>
      <c r="C4994" t="s">
        <v>5058</v>
      </c>
      <c r="D4994" t="s">
        <v>15797</v>
      </c>
      <c r="E4994" s="2">
        <v>7012</v>
      </c>
      <c r="F4994">
        <f>HYPERLINK("https://www2.assemblee-nationale.fr/sycomore/fiche/(num_dept)/7390", "7390.0")</f>
        <v>0</v>
      </c>
      <c r="H4994">
        <f>HYPERLINK("https://www.wikidata.org/wiki/Q13080029", "Q13080029")</f>
        <v>0</v>
      </c>
    </row>
    <row r="4995" spans="1:8">
      <c r="A4995" t="s">
        <v>5001</v>
      </c>
      <c r="B4995" t="s">
        <v>9283</v>
      </c>
      <c r="C4995" t="s">
        <v>8006</v>
      </c>
      <c r="D4995" t="s">
        <v>15798</v>
      </c>
      <c r="E4995" s="2">
        <v>17196</v>
      </c>
      <c r="F4995">
        <f>HYPERLINK("https://www2.assemblee-nationale.fr/sycomore/fiche/(num_dept)/7300", "7300.0")</f>
        <v>0</v>
      </c>
      <c r="H4995">
        <f>HYPERLINK("https://www.wikidata.org/wiki/Q3311115", "Q3311115")</f>
        <v>0</v>
      </c>
    </row>
    <row r="4996" spans="1:8">
      <c r="A4996" t="s">
        <v>5002</v>
      </c>
      <c r="B4996" t="s">
        <v>9284</v>
      </c>
      <c r="C4996" t="s">
        <v>5117</v>
      </c>
      <c r="D4996" t="s">
        <v>15799</v>
      </c>
      <c r="E4996" s="2">
        <v>20784</v>
      </c>
      <c r="F4996">
        <f>HYPERLINK("https://www2.assemblee-nationale.fr/sycomore/fiche/(num_dept)/7357", "7357.0")</f>
        <v>0</v>
      </c>
      <c r="H4996">
        <f>HYPERLINK("https://www.wikidata.org/wiki/Q2861993", "Q2861993")</f>
        <v>0</v>
      </c>
    </row>
    <row r="4997" spans="1:8">
      <c r="A4997" t="s">
        <v>5003</v>
      </c>
      <c r="B4997" t="s">
        <v>9285</v>
      </c>
      <c r="C4997" t="s">
        <v>11379</v>
      </c>
      <c r="D4997" t="s">
        <v>15800</v>
      </c>
      <c r="E4997" s="2">
        <v>22788</v>
      </c>
      <c r="F4997">
        <f>HYPERLINK("https://www2.assemblee-nationale.fr/sycomore/fiche/(num_dept)/7342", "7342.0")</f>
        <v>0</v>
      </c>
      <c r="H4997">
        <f>HYPERLINK("https://www.wikidata.org/wiki/Q3580086", "Q3580086")</f>
        <v>0</v>
      </c>
    </row>
    <row r="4998" spans="1:8">
      <c r="A4998" t="s">
        <v>5004</v>
      </c>
      <c r="B4998" t="s">
        <v>9286</v>
      </c>
      <c r="C4998" t="s">
        <v>9457</v>
      </c>
      <c r="D4998" t="s">
        <v>15801</v>
      </c>
      <c r="E4998" s="2">
        <v>22043</v>
      </c>
      <c r="G4998">
        <f>HYPERLINK("https://www.senat.fr/senateur-3eme-republique/warusfel_alphonse0887r3.html", "warusfel_alphonse0887r3")</f>
        <v>0</v>
      </c>
      <c r="H4998">
        <f>HYPERLINK("https://www.wikidata.org/wiki/Q2839993", "Q2839993")</f>
        <v>0</v>
      </c>
    </row>
    <row r="4999" spans="1:8">
      <c r="A4999" t="s">
        <v>5005</v>
      </c>
      <c r="B4999" t="s">
        <v>9287</v>
      </c>
      <c r="C4999" t="s">
        <v>9524</v>
      </c>
      <c r="D4999" t="s">
        <v>15802</v>
      </c>
      <c r="E4999" s="2">
        <v>1540</v>
      </c>
      <c r="F4999">
        <f>HYPERLINK("https://www2.assemblee-nationale.fr/sycomore/fiche/(num_dept)/7445", "7445.0")</f>
        <v>0</v>
      </c>
      <c r="H4999">
        <f>HYPERLINK("https://www.wikidata.org/wiki/Q16026623", "Q16026623")</f>
        <v>0</v>
      </c>
    </row>
    <row r="5000" spans="1:8">
      <c r="A5000" t="s">
        <v>5006</v>
      </c>
      <c r="B5000" t="s">
        <v>9288</v>
      </c>
      <c r="C5000" t="s">
        <v>7001</v>
      </c>
      <c r="D5000" t="s">
        <v>15803</v>
      </c>
      <c r="E5000" s="2">
        <v>25578</v>
      </c>
      <c r="F5000">
        <f>HYPERLINK("https://www2.assemblee-nationale.fr/sycomore/fiche/(num_dept)/7339", "7339.0")</f>
        <v>0</v>
      </c>
      <c r="H5000">
        <f>HYPERLINK("https://www.wikidata.org/wiki/Q111836", "Q111836")</f>
        <v>0</v>
      </c>
    </row>
    <row r="5001" spans="1:8">
      <c r="A5001" t="s">
        <v>5007</v>
      </c>
      <c r="B5001" t="s">
        <v>9289</v>
      </c>
      <c r="C5001" t="s">
        <v>10470</v>
      </c>
      <c r="D5001" t="s">
        <v>15804</v>
      </c>
      <c r="E5001" s="2">
        <v>10452</v>
      </c>
      <c r="F5001">
        <f>HYPERLINK("https://www2.assemblee-nationale.fr/sycomore/fiche/(num_dept)/7385", "7385.0")</f>
        <v>0</v>
      </c>
      <c r="G5001">
        <f>HYPERLINK("https://www.senat.fr/senateur-3eme-republique/weiller_jean1106r3.html", "weiller_jean1106r3")</f>
        <v>0</v>
      </c>
      <c r="H5001">
        <f>HYPERLINK("https://www.wikidata.org/wiki/Q166295", "Q166295")</f>
        <v>0</v>
      </c>
    </row>
    <row r="5002" spans="1:8">
      <c r="A5002" t="s">
        <v>5008</v>
      </c>
      <c r="B5002" t="s">
        <v>9290</v>
      </c>
      <c r="C5002" t="s">
        <v>10841</v>
      </c>
      <c r="D5002" t="s">
        <v>12787</v>
      </c>
      <c r="E5002" s="2">
        <v>17910</v>
      </c>
      <c r="F5002">
        <f>HYPERLINK("https://www2.assemblee-nationale.fr/sycomore/fiche/(num_dept)/7335", "7335.0")</f>
        <v>0</v>
      </c>
      <c r="H5002">
        <f>HYPERLINK("https://www.wikidata.org/wiki/Q3086338", "Q3086338")</f>
        <v>0</v>
      </c>
    </row>
    <row r="5003" spans="1:8">
      <c r="A5003" t="s">
        <v>5009</v>
      </c>
      <c r="B5003" t="s">
        <v>9290</v>
      </c>
      <c r="C5003" t="s">
        <v>10839</v>
      </c>
      <c r="D5003" t="s">
        <v>12788</v>
      </c>
      <c r="E5003" s="2">
        <v>20185</v>
      </c>
      <c r="F5003">
        <f>HYPERLINK("https://www2.assemblee-nationale.fr/sycomore/fiche/(num_dept)/7360", "7360.0")</f>
        <v>0</v>
      </c>
      <c r="H5003">
        <f>HYPERLINK("https://www.wikidata.org/wiki/Q3122301", "Q3122301")</f>
        <v>0</v>
      </c>
    </row>
    <row r="5004" spans="1:8">
      <c r="A5004" t="s">
        <v>5010</v>
      </c>
      <c r="B5004" t="s">
        <v>9291</v>
      </c>
      <c r="C5004" t="s">
        <v>11380</v>
      </c>
      <c r="D5004" t="s">
        <v>15805</v>
      </c>
      <c r="E5004" t="s">
        <v>16296</v>
      </c>
      <c r="F5004">
        <f>HYPERLINK("https://www2.assemblee-nationale.fr/sycomore/fiche/(num_dept)/7462", "7462.0")</f>
        <v>0</v>
      </c>
      <c r="H5004">
        <f>HYPERLINK("https://www.wikidata.org/wiki/Q16026624", "Q16026624")</f>
        <v>0</v>
      </c>
    </row>
    <row r="5005" spans="1:8">
      <c r="A5005" t="s">
        <v>5011</v>
      </c>
      <c r="B5005" t="s">
        <v>9292</v>
      </c>
      <c r="C5005" t="s">
        <v>9524</v>
      </c>
      <c r="D5005" t="s">
        <v>14903</v>
      </c>
      <c r="E5005" s="2">
        <v>11528</v>
      </c>
      <c r="F5005">
        <f>HYPERLINK("https://www2.assemblee-nationale.fr/sycomore/fiche/(num_dept)/7373", "7373.0")</f>
        <v>0</v>
      </c>
      <c r="H5005">
        <f>HYPERLINK("https://www.wikidata.org/wiki/Q91750", "Q91750")</f>
        <v>0</v>
      </c>
    </row>
    <row r="5006" spans="1:8">
      <c r="A5006" t="s">
        <v>5012</v>
      </c>
      <c r="B5006" t="s">
        <v>9293</v>
      </c>
      <c r="C5006" t="s">
        <v>9373</v>
      </c>
      <c r="D5006" t="s">
        <v>15609</v>
      </c>
      <c r="E5006" s="2">
        <v>19688</v>
      </c>
      <c r="F5006">
        <f>HYPERLINK("https://www2.assemblee-nationale.fr/sycomore/fiche/(num_dept)/7343", "7343.0")</f>
        <v>0</v>
      </c>
      <c r="H5006">
        <f>HYPERLINK("https://www.wikidata.org/wiki/Q8340374", "Q8340374")</f>
        <v>0</v>
      </c>
    </row>
    <row r="5007" spans="1:8">
      <c r="A5007" t="s">
        <v>5013</v>
      </c>
      <c r="B5007" t="s">
        <v>9294</v>
      </c>
      <c r="C5007" t="s">
        <v>10349</v>
      </c>
      <c r="D5007" t="s">
        <v>15806</v>
      </c>
      <c r="E5007" s="2">
        <v>23770</v>
      </c>
      <c r="H5007">
        <f>HYPERLINK("https://www.wikidata.org/wiki/Q170357", "Q170357")</f>
        <v>0</v>
      </c>
    </row>
    <row r="5008" spans="1:8">
      <c r="A5008" t="s">
        <v>5014</v>
      </c>
      <c r="B5008" t="s">
        <v>9295</v>
      </c>
      <c r="C5008" t="s">
        <v>10198</v>
      </c>
      <c r="D5008" t="s">
        <v>15807</v>
      </c>
      <c r="E5008" s="2">
        <v>5801</v>
      </c>
      <c r="F5008">
        <f>HYPERLINK("https://www2.assemblee-nationale.fr/sycomore/fiche/(num_dept)/7455", "7455.0")</f>
        <v>0</v>
      </c>
      <c r="H5008">
        <f>HYPERLINK("https://www.wikidata.org/wiki/Q15407335", "Q15407335")</f>
        <v>0</v>
      </c>
    </row>
    <row r="5009" spans="1:8">
      <c r="A5009" t="s">
        <v>5015</v>
      </c>
      <c r="B5009" t="s">
        <v>9296</v>
      </c>
      <c r="C5009" t="s">
        <v>11381</v>
      </c>
      <c r="D5009" t="s">
        <v>15808</v>
      </c>
      <c r="E5009" s="2">
        <v>5773</v>
      </c>
      <c r="F5009">
        <f>HYPERLINK("https://www2.assemblee-nationale.fr/sycomore/fiche/(num_dept)/7449", "7449.0")</f>
        <v>0</v>
      </c>
      <c r="H5009">
        <f>HYPERLINK("https://www.wikidata.org/wiki/Q2825300", "Q2825300")</f>
        <v>0</v>
      </c>
    </row>
    <row r="5010" spans="1:8">
      <c r="A5010" t="s">
        <v>5016</v>
      </c>
      <c r="B5010" t="s">
        <v>9297</v>
      </c>
      <c r="C5010" t="s">
        <v>5058</v>
      </c>
      <c r="D5010" t="s">
        <v>15809</v>
      </c>
      <c r="F5010">
        <f>HYPERLINK("https://www2.assemblee-nationale.fr/sycomore/fiche/(num_dept)/7423", "7423.0")</f>
        <v>0</v>
      </c>
      <c r="H5010">
        <f>HYPERLINK("https://www.wikidata.org/wiki/Q2831639", "Q2831639")</f>
        <v>0</v>
      </c>
    </row>
    <row r="5011" spans="1:8">
      <c r="A5011" t="s">
        <v>5017</v>
      </c>
      <c r="B5011" t="s">
        <v>9298</v>
      </c>
      <c r="C5011" t="s">
        <v>9357</v>
      </c>
      <c r="D5011" t="s">
        <v>15810</v>
      </c>
      <c r="E5011" s="2">
        <v>6984</v>
      </c>
      <c r="F5011">
        <f>HYPERLINK("https://www2.assemblee-nationale.fr/sycomore/fiche/(num_dept)/7442", "7442.0")</f>
        <v>0</v>
      </c>
      <c r="H5011">
        <f>HYPERLINK("https://www.wikidata.org/wiki/Q3014816", "Q3014816")</f>
        <v>0</v>
      </c>
    </row>
    <row r="5012" spans="1:8">
      <c r="A5012" t="s">
        <v>5018</v>
      </c>
      <c r="B5012" t="s">
        <v>9299</v>
      </c>
      <c r="C5012" t="s">
        <v>11382</v>
      </c>
      <c r="D5012" s="2">
        <v>1281</v>
      </c>
      <c r="E5012" s="2">
        <v>29954</v>
      </c>
      <c r="F5012">
        <f>HYPERLINK("https://www2.assemblee-nationale.fr/sycomore/fiche/(num_dept)/7293", "7293.0")</f>
        <v>0</v>
      </c>
      <c r="H5012">
        <f>HYPERLINK("https://www.wikidata.org/wiki/Q2833055", "Q2833055")</f>
        <v>0</v>
      </c>
    </row>
    <row r="5013" spans="1:8">
      <c r="A5013" t="s">
        <v>5019</v>
      </c>
      <c r="B5013" t="s">
        <v>9300</v>
      </c>
      <c r="C5013" t="s">
        <v>11383</v>
      </c>
      <c r="D5013" t="s">
        <v>15811</v>
      </c>
      <c r="E5013" s="2">
        <v>3520</v>
      </c>
      <c r="F5013">
        <f>HYPERLINK("https://www2.assemblee-nationale.fr/sycomore/fiche/(num_dept)/7440", "7440.0")</f>
        <v>0</v>
      </c>
      <c r="H5013">
        <f>HYPERLINK("https://www.wikidata.org/wiki/Q2993635", "Q2993635")</f>
        <v>0</v>
      </c>
    </row>
    <row r="5014" spans="1:8">
      <c r="A5014" t="s">
        <v>5020</v>
      </c>
      <c r="B5014" t="s">
        <v>9301</v>
      </c>
      <c r="C5014" t="s">
        <v>9471</v>
      </c>
      <c r="D5014" t="s">
        <v>15812</v>
      </c>
      <c r="E5014" s="2">
        <v>20234</v>
      </c>
      <c r="F5014">
        <f>HYPERLINK("https://www2.assemblee-nationale.fr/sycomore/fiche/(num_dept)/7336", "7336.0")</f>
        <v>0</v>
      </c>
      <c r="G5014">
        <f>HYPERLINK("https://www.senat.fr/senateur-3eme-republique/wolff_jules0712r3.html", "wolff_jules0712r3")</f>
        <v>0</v>
      </c>
      <c r="H5014">
        <f>HYPERLINK("https://www.wikidata.org/wiki/Q3188969", "Q3188969")</f>
        <v>0</v>
      </c>
    </row>
    <row r="5015" spans="1:8">
      <c r="A5015" t="s">
        <v>5021</v>
      </c>
      <c r="B5015" t="s">
        <v>9302</v>
      </c>
      <c r="C5015" t="s">
        <v>11384</v>
      </c>
      <c r="D5015" t="s">
        <v>15813</v>
      </c>
      <c r="E5015" t="s">
        <v>16480</v>
      </c>
      <c r="G5015">
        <f>HYPERLINK("https://www.senat.fr/senateur-3eme-republique/wurtz_charles_adolphe1546r3.html", "wurtz_charles_adolphe1546r3")</f>
        <v>0</v>
      </c>
      <c r="H5015">
        <f>HYPERLINK("https://www.wikidata.org/wiki/Q366051", "Q366051")</f>
        <v>0</v>
      </c>
    </row>
    <row r="5016" spans="1:8">
      <c r="A5016" t="s">
        <v>5022</v>
      </c>
      <c r="B5016" t="s">
        <v>9303</v>
      </c>
      <c r="C5016" t="s">
        <v>7342</v>
      </c>
      <c r="D5016" t="s">
        <v>15814</v>
      </c>
      <c r="E5016" s="2">
        <v>20570</v>
      </c>
      <c r="H5016">
        <f>HYPERLINK("https://www.wikidata.org/wiki/Q2624477", "Q2624477")</f>
        <v>0</v>
      </c>
    </row>
    <row r="5017" spans="1:8">
      <c r="A5017" t="s">
        <v>5023</v>
      </c>
      <c r="B5017" t="s">
        <v>9304</v>
      </c>
      <c r="C5017" t="s">
        <v>7342</v>
      </c>
      <c r="D5017" t="s">
        <v>15814</v>
      </c>
      <c r="E5017" s="2">
        <v>20570</v>
      </c>
      <c r="F5017">
        <f>HYPERLINK("https://www2.assemblee-nationale.fr/sycomore/fiche/(num_dept)/7299", "7299.0")</f>
        <v>0</v>
      </c>
      <c r="H5017">
        <f>HYPERLINK("https://www.wikidata.org/wiki/Q2624477", "Q2624477")</f>
        <v>0</v>
      </c>
    </row>
    <row r="5018" spans="1:8">
      <c r="A5018" t="s">
        <v>5024</v>
      </c>
      <c r="B5018" t="s">
        <v>9305</v>
      </c>
      <c r="C5018" t="s">
        <v>11097</v>
      </c>
      <c r="D5018" t="s">
        <v>15177</v>
      </c>
      <c r="E5018" s="2">
        <v>19538</v>
      </c>
      <c r="F5018">
        <f>HYPERLINK("https://www2.assemblee-nationale.fr/sycomore/fiche/(num_dept)/6003", "6003.0")</f>
        <v>0</v>
      </c>
      <c r="H5018">
        <f>HYPERLINK("https://www.wikidata.org/wiki/Q2831506", "Q2831506")</f>
        <v>0</v>
      </c>
    </row>
    <row r="5019" spans="1:8">
      <c r="A5019" t="s">
        <v>5025</v>
      </c>
      <c r="B5019" t="s">
        <v>9306</v>
      </c>
      <c r="C5019" t="s">
        <v>7342</v>
      </c>
      <c r="D5019" s="2">
        <v>1680</v>
      </c>
      <c r="E5019" s="2">
        <v>16244</v>
      </c>
      <c r="F5019">
        <f>HYPERLINK("https://www2.assemblee-nationale.fr/sycomore/fiche/(num_dept)/7291", "7291.0")</f>
        <v>0</v>
      </c>
      <c r="H5019">
        <f>HYPERLINK("https://www.wikidata.org/wiki/Q713487", "Q713487")</f>
        <v>0</v>
      </c>
    </row>
    <row r="5020" spans="1:8">
      <c r="A5020" t="s">
        <v>5026</v>
      </c>
      <c r="B5020" t="s">
        <v>9307</v>
      </c>
      <c r="C5020" t="s">
        <v>9868</v>
      </c>
      <c r="D5020" t="s">
        <v>12967</v>
      </c>
      <c r="E5020" s="2">
        <v>10661</v>
      </c>
      <c r="H5020">
        <f>HYPERLINK("https://www.wikidata.org/wiki/Q274898", "Q274898")</f>
        <v>0</v>
      </c>
    </row>
    <row r="5021" spans="1:8">
      <c r="A5021" t="s">
        <v>5027</v>
      </c>
      <c r="B5021" t="s">
        <v>9308</v>
      </c>
      <c r="C5021" t="s">
        <v>11385</v>
      </c>
      <c r="D5021" t="s">
        <v>15815</v>
      </c>
      <c r="E5021" s="2">
        <v>19410</v>
      </c>
      <c r="F5021">
        <f>HYPERLINK("https://www2.assemblee-nationale.fr/sycomore/fiche/(num_dept)/7422", "7422.0")</f>
        <v>0</v>
      </c>
      <c r="H5021">
        <f>HYPERLINK("https://www.wikidata.org/wiki/Q2834151", "Q2834151")</f>
        <v>0</v>
      </c>
    </row>
    <row r="5022" spans="1:8">
      <c r="A5022" t="s">
        <v>5028</v>
      </c>
      <c r="B5022" t="s">
        <v>9309</v>
      </c>
      <c r="C5022" t="s">
        <v>9368</v>
      </c>
      <c r="D5022" t="s">
        <v>13197</v>
      </c>
      <c r="E5022" s="2">
        <v>7804</v>
      </c>
      <c r="H5022">
        <f>HYPERLINK("https://www.wikidata.org/wiki/Q2612305", "Q2612305")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2026-03-30T15:01:42Z</dcterms:created>
  <dcterms:modified xsi:type="dcterms:W3CDTF">2026-03-30T15:01:42Z</dcterms:modified>
</cp:coreProperties>
</file>